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out" sheetId="1" r:id="rId4"/>
    <sheet state="visible" name="Check-in" sheetId="2" r:id="rId5"/>
    <sheet state="visible" name="Dashboard" sheetId="3" r:id="rId6"/>
    <sheet state="visible" name="Current inventory list" sheetId="4" r:id="rId7"/>
    <sheet state="visible" name="Stickered Items" sheetId="5" r:id="rId8"/>
    <sheet state="visible" name="Detailed Check-out" sheetId="6" r:id="rId9"/>
    <sheet state="visible" name="Waitlist" sheetId="7" r:id="rId10"/>
    <sheet state="hidden" name="Parameters" sheetId="8" r:id="rId11"/>
    <sheet state="hidden" name="Data preparation (Week analysis" sheetId="9" r:id="rId12"/>
    <sheet state="hidden" name="Data preparation (Last 15 days)" sheetId="10" r:id="rId13"/>
    <sheet state="hidden" name="Data preparation (Over sold ite" sheetId="11" r:id="rId14"/>
  </sheets>
  <definedNames>
    <definedName name="totalItemsInStock">Dashboard!$H$4</definedName>
  </definedNames>
  <calcPr/>
</workbook>
</file>

<file path=xl/sharedStrings.xml><?xml version="1.0" encoding="utf-8"?>
<sst xmlns="http://schemas.openxmlformats.org/spreadsheetml/2006/main" count="11364" uniqueCount="2024">
  <si>
    <t>Check-out date</t>
  </si>
  <si>
    <t>Stock keeping unit (SKU)</t>
  </si>
  <si>
    <t>Quantity</t>
  </si>
  <si>
    <t/>
  </si>
  <si>
    <t>ENPG</t>
  </si>
  <si>
    <t>Party Games</t>
  </si>
  <si>
    <t>unit</t>
  </si>
  <si>
    <t>Date</t>
  </si>
  <si>
    <t>Item name</t>
  </si>
  <si>
    <t>Unit of measure</t>
  </si>
  <si>
    <t>BAAF</t>
  </si>
  <si>
    <t>Air Freshener</t>
  </si>
  <si>
    <t>ELAC</t>
  </si>
  <si>
    <t>Alarm Clocks</t>
  </si>
  <si>
    <t>BAAS</t>
  </si>
  <si>
    <t>Alcohol Swabs/Lens Wipes</t>
  </si>
  <si>
    <t>KIAF</t>
  </si>
  <si>
    <t>Aluminum Foil</t>
  </si>
  <si>
    <t>BAAN</t>
  </si>
  <si>
    <t>Antiseptic</t>
  </si>
  <si>
    <t>BABP</t>
  </si>
  <si>
    <t>Baby Powder</t>
  </si>
  <si>
    <t>KIBP</t>
  </si>
  <si>
    <t>Baking Pans</t>
  </si>
  <si>
    <t>BABA</t>
  </si>
  <si>
    <t>Band-Aids</t>
  </si>
  <si>
    <t>KIBA</t>
  </si>
  <si>
    <t>Barware</t>
  </si>
  <si>
    <t>LABA</t>
  </si>
  <si>
    <t>Baskets</t>
  </si>
  <si>
    <t>ARBE</t>
  </si>
  <si>
    <t>Beads</t>
  </si>
  <si>
    <t>FUBR</t>
  </si>
  <si>
    <t>Bed Risers</t>
  </si>
  <si>
    <t>OFBC</t>
  </si>
  <si>
    <t>Binder Clips</t>
  </si>
  <si>
    <t>OFBI</t>
  </si>
  <si>
    <t>Binders</t>
  </si>
  <si>
    <t>STBI</t>
  </si>
  <si>
    <t>Bins</t>
  </si>
  <si>
    <t>APBL</t>
  </si>
  <si>
    <t>Blenders</t>
  </si>
  <si>
    <t>ENBG</t>
  </si>
  <si>
    <t>Board Games</t>
  </si>
  <si>
    <t>BABW</t>
  </si>
  <si>
    <t>Body Wash</t>
  </si>
  <si>
    <t>ENBO</t>
  </si>
  <si>
    <t>Books</t>
  </si>
  <si>
    <t>KIBO</t>
  </si>
  <si>
    <t>Bottles</t>
  </si>
  <si>
    <t>KIJA</t>
  </si>
  <si>
    <t>Bottles/Jars/Misc</t>
  </si>
  <si>
    <t>KIBW</t>
  </si>
  <si>
    <t>Bowls</t>
  </si>
  <si>
    <t>CPBR</t>
  </si>
  <si>
    <t>Brushes</t>
  </si>
  <si>
    <t>BABS</t>
  </si>
  <si>
    <t>Bug Spray</t>
  </si>
  <si>
    <t>OFCA</t>
  </si>
  <si>
    <t>Calculators</t>
  </si>
  <si>
    <t>KICA</t>
  </si>
  <si>
    <t>Can Openers</t>
  </si>
  <si>
    <t>ARCA</t>
  </si>
  <si>
    <t>Canvas</t>
  </si>
  <si>
    <t>ENCD</t>
  </si>
  <si>
    <t>CDs</t>
  </si>
  <si>
    <t>FUCH</t>
  </si>
  <si>
    <t>Chairs</t>
  </si>
  <si>
    <t>ARCK</t>
  </si>
  <si>
    <t>Chalk</t>
  </si>
  <si>
    <t>ELCC</t>
  </si>
  <si>
    <t>Chargers/Cords</t>
  </si>
  <si>
    <t>KICH</t>
  </si>
  <si>
    <t>Chopsticks</t>
  </si>
  <si>
    <t>KICS</t>
  </si>
  <si>
    <t>Coasters</t>
  </si>
  <si>
    <t>KICF</t>
  </si>
  <si>
    <t>Coffee</t>
  </si>
  <si>
    <t>APCM</t>
  </si>
  <si>
    <t>Coffee Machines</t>
  </si>
  <si>
    <t>KICO</t>
  </si>
  <si>
    <t>Colanders</t>
  </si>
  <si>
    <t>ARCP</t>
  </si>
  <si>
    <t>Colored Pencils</t>
  </si>
  <si>
    <t>HICS</t>
  </si>
  <si>
    <t>Command Strips</t>
  </si>
  <si>
    <t>BACO</t>
  </si>
  <si>
    <t>Conditioner</t>
  </si>
  <si>
    <t>OFCB</t>
  </si>
  <si>
    <t>Cork Boards</t>
  </si>
  <si>
    <t>KICB</t>
  </si>
  <si>
    <t>Corkscrews &amp; Bottle Openers</t>
  </si>
  <si>
    <t>CJCO</t>
  </si>
  <si>
    <t>Costumes</t>
  </si>
  <si>
    <t>BACB</t>
  </si>
  <si>
    <t>Cotton Balls</t>
  </si>
  <si>
    <t>BACR</t>
  </si>
  <si>
    <t>Cotton Rounds</t>
  </si>
  <si>
    <t>BACS</t>
  </si>
  <si>
    <t>Cotton Swabs</t>
  </si>
  <si>
    <t>BACD</t>
  </si>
  <si>
    <t>Cough Drops</t>
  </si>
  <si>
    <t>ARCH</t>
  </si>
  <si>
    <t>Craft Hardware</t>
  </si>
  <si>
    <t>ARCR</t>
  </si>
  <si>
    <t>Crayons</t>
  </si>
  <si>
    <t>KICU</t>
  </si>
  <si>
    <t>Cups</t>
  </si>
  <si>
    <t>BACU</t>
  </si>
  <si>
    <t>Curlers</t>
  </si>
  <si>
    <t>KICT</t>
  </si>
  <si>
    <t>Cutting Boards</t>
  </si>
  <si>
    <t>BADE</t>
  </si>
  <si>
    <t>Deodorant</t>
  </si>
  <si>
    <t>APFD</t>
  </si>
  <si>
    <t>Desk fan</t>
  </si>
  <si>
    <t>LIDL</t>
  </si>
  <si>
    <t>Desk Lamp</t>
  </si>
  <si>
    <t>STDS</t>
  </si>
  <si>
    <t>Desktop Storage</t>
  </si>
  <si>
    <t>LADE</t>
  </si>
  <si>
    <t>Detergent</t>
  </si>
  <si>
    <t>KIDD</t>
  </si>
  <si>
    <t>Dish Drain</t>
  </si>
  <si>
    <t>CPDS</t>
  </si>
  <si>
    <t>Dish Soap</t>
  </si>
  <si>
    <t>CPDI</t>
  </si>
  <si>
    <t>Disinfectant</t>
  </si>
  <si>
    <t>CPDO</t>
  </si>
  <si>
    <t>Drain Opener</t>
  </si>
  <si>
    <t>STDU</t>
  </si>
  <si>
    <t>Drawer Units</t>
  </si>
  <si>
    <t>CJDS</t>
  </si>
  <si>
    <t>Dress Shirt Collar Stays</t>
  </si>
  <si>
    <t>LADS</t>
  </si>
  <si>
    <t>Dryer Sheets</t>
  </si>
  <si>
    <t>LADR</t>
  </si>
  <si>
    <t>Drying Rack</t>
  </si>
  <si>
    <t>CPDU</t>
  </si>
  <si>
    <t>Dusters</t>
  </si>
  <si>
    <t>ENDV</t>
  </si>
  <si>
    <t>DVDs</t>
  </si>
  <si>
    <t>APEK</t>
  </si>
  <si>
    <t>Electric Kettles</t>
  </si>
  <si>
    <t>OFER</t>
  </si>
  <si>
    <t>Erasers</t>
  </si>
  <si>
    <t>SPEX</t>
  </si>
  <si>
    <t>Exercise</t>
  </si>
  <si>
    <t>OFEM</t>
  </si>
  <si>
    <t>Expo Markers</t>
  </si>
  <si>
    <t>ELEC</t>
  </si>
  <si>
    <t>Extension Cords</t>
  </si>
  <si>
    <t>ARFA</t>
  </si>
  <si>
    <t>Fabric</t>
  </si>
  <si>
    <t>BAFM</t>
  </si>
  <si>
    <t>Face Masks</t>
  </si>
  <si>
    <t>BATL</t>
  </si>
  <si>
    <t>Face Tools</t>
  </si>
  <si>
    <t>BAFW</t>
  </si>
  <si>
    <t>Face Wash</t>
  </si>
  <si>
    <t>LIFA</t>
  </si>
  <si>
    <t>Fairy Lights</t>
  </si>
  <si>
    <t>APFB</t>
  </si>
  <si>
    <t>Fans - Box</t>
  </si>
  <si>
    <t>Fans - Desk</t>
  </si>
  <si>
    <t>APFF</t>
  </si>
  <si>
    <t>Fans - Floor</t>
  </si>
  <si>
    <t>KIFI</t>
  </si>
  <si>
    <t>Filters</t>
  </si>
  <si>
    <t>LIFL</t>
  </si>
  <si>
    <t>Floor Lamp</t>
  </si>
  <si>
    <t>BAFL</t>
  </si>
  <si>
    <t>Floss</t>
  </si>
  <si>
    <t>OFFO</t>
  </si>
  <si>
    <t>Folders</t>
  </si>
  <si>
    <t>APFP</t>
  </si>
  <si>
    <t>Food Processors</t>
  </si>
  <si>
    <t>KIFO</t>
  </si>
  <si>
    <t>Forks</t>
  </si>
  <si>
    <t>APFR</t>
  </si>
  <si>
    <t>Fridge</t>
  </si>
  <si>
    <t>ARGP</t>
  </si>
  <si>
    <t>Gel Pens</t>
  </si>
  <si>
    <t>KIGL</t>
  </si>
  <si>
    <t>Glasses</t>
  </si>
  <si>
    <t>ARGL</t>
  </si>
  <si>
    <t>Glitter</t>
  </si>
  <si>
    <t>CPGL</t>
  </si>
  <si>
    <t>Gloves</t>
  </si>
  <si>
    <t>OFGL</t>
  </si>
  <si>
    <t>Glue</t>
  </si>
  <si>
    <t>KIGR</t>
  </si>
  <si>
    <t>Graters</t>
  </si>
  <si>
    <t>BAHA</t>
  </si>
  <si>
    <t>Hair Accessories</t>
  </si>
  <si>
    <t>BAHD</t>
  </si>
  <si>
    <t>Hair Dryers</t>
  </si>
  <si>
    <t>BAHG</t>
  </si>
  <si>
    <t>Hair Gel</t>
  </si>
  <si>
    <t>BAHS</t>
  </si>
  <si>
    <t>Hair Spray</t>
  </si>
  <si>
    <t>LAHA</t>
  </si>
  <si>
    <t>Hampers</t>
  </si>
  <si>
    <t>BAHZ</t>
  </si>
  <si>
    <t>Hand Sanitizer</t>
  </si>
  <si>
    <t>CPHS</t>
  </si>
  <si>
    <t>Hand Soap</t>
  </si>
  <si>
    <t>STHA</t>
  </si>
  <si>
    <t>Hangers</t>
  </si>
  <si>
    <t>OFHI</t>
  </si>
  <si>
    <t>Highlighters</t>
  </si>
  <si>
    <t>MIHO</t>
  </si>
  <si>
    <t>Holiday</t>
  </si>
  <si>
    <t>LIHL</t>
  </si>
  <si>
    <t>Holiday Lights</t>
  </si>
  <si>
    <t>STHO</t>
  </si>
  <si>
    <t>Hooks</t>
  </si>
  <si>
    <t>APHU</t>
  </si>
  <si>
    <t>Humidifiers</t>
  </si>
  <si>
    <t>KIIC</t>
  </si>
  <si>
    <t>Ice Cube Trays</t>
  </si>
  <si>
    <t>BAIP</t>
  </si>
  <si>
    <t>Ice Packs</t>
  </si>
  <si>
    <t>OFIC</t>
  </si>
  <si>
    <t>Index Cards</t>
  </si>
  <si>
    <t>LAIB</t>
  </si>
  <si>
    <t>Ironing Board</t>
  </si>
  <si>
    <t>APIR</t>
  </si>
  <si>
    <t>Irons</t>
  </si>
  <si>
    <t>CJJC</t>
  </si>
  <si>
    <t>Jewelry Cleaning</t>
  </si>
  <si>
    <t>KIKK</t>
  </si>
  <si>
    <t>Knives (Kitchen)</t>
  </si>
  <si>
    <t>KIKS</t>
  </si>
  <si>
    <t>Knives (Silverware)</t>
  </si>
  <si>
    <t>LILI</t>
  </si>
  <si>
    <t>Lightbulbs</t>
  </si>
  <si>
    <t>BALI</t>
  </si>
  <si>
    <t>Liners</t>
  </si>
  <si>
    <t>LALR</t>
  </si>
  <si>
    <t>Lint Roller</t>
  </si>
  <si>
    <t>BALO</t>
  </si>
  <si>
    <t>Lotion</t>
  </si>
  <si>
    <t>BAMA</t>
  </si>
  <si>
    <t>Makeup</t>
  </si>
  <si>
    <t>ARMA</t>
  </si>
  <si>
    <t>Markers</t>
  </si>
  <si>
    <t>KIME</t>
  </si>
  <si>
    <t>Measuring</t>
  </si>
  <si>
    <t>APMI</t>
  </si>
  <si>
    <t>Microwaves</t>
  </si>
  <si>
    <t>DEMI</t>
  </si>
  <si>
    <t>Mirrors</t>
  </si>
  <si>
    <t>KIMB</t>
  </si>
  <si>
    <t>Mixing Bowls</t>
  </si>
  <si>
    <t>BAMW</t>
  </si>
  <si>
    <t>Mouth Wash</t>
  </si>
  <si>
    <t>KIMU</t>
  </si>
  <si>
    <t>Mugs</t>
  </si>
  <si>
    <t>BANF</t>
  </si>
  <si>
    <t>Nail File</t>
  </si>
  <si>
    <t>BANK</t>
  </si>
  <si>
    <t>Nail Kit</t>
  </si>
  <si>
    <t>BANP</t>
  </si>
  <si>
    <t>Nail Polish</t>
  </si>
  <si>
    <t>MINA</t>
  </si>
  <si>
    <t>Napkins</t>
  </si>
  <si>
    <t>OFNO</t>
  </si>
  <si>
    <t>Notebooks</t>
  </si>
  <si>
    <t>BAOC</t>
  </si>
  <si>
    <t>Oral Care</t>
  </si>
  <si>
    <t>BAPA</t>
  </si>
  <si>
    <t>Pads</t>
  </si>
  <si>
    <t>ARPA</t>
  </si>
  <si>
    <t>Paint</t>
  </si>
  <si>
    <t>ARPB</t>
  </si>
  <si>
    <t>Paint Brushes</t>
  </si>
  <si>
    <t>ARPS</t>
  </si>
  <si>
    <t>Painting Supplies</t>
  </si>
  <si>
    <t>KIPA</t>
  </si>
  <si>
    <t>Pans</t>
  </si>
  <si>
    <t>ARPP</t>
  </si>
  <si>
    <t>Paper</t>
  </si>
  <si>
    <t>OFPA</t>
  </si>
  <si>
    <t>OFPC</t>
  </si>
  <si>
    <t>Paper Clips</t>
  </si>
  <si>
    <t>BAPC</t>
  </si>
  <si>
    <t>Paper Cups</t>
  </si>
  <si>
    <t>BAPT</t>
  </si>
  <si>
    <t>Paper Towels</t>
  </si>
  <si>
    <t>Pastels</t>
  </si>
  <si>
    <t>KIPE</t>
  </si>
  <si>
    <t>Peelers</t>
  </si>
  <si>
    <t>OFPE</t>
  </si>
  <si>
    <t>Pencils</t>
  </si>
  <si>
    <t>OFPN</t>
  </si>
  <si>
    <t>Pens</t>
  </si>
  <si>
    <t>BAPE</t>
  </si>
  <si>
    <t>Perfume</t>
  </si>
  <si>
    <t>DEPF</t>
  </si>
  <si>
    <t>Picture Frames</t>
  </si>
  <si>
    <t>BAPO</t>
  </si>
  <si>
    <t>Pill Organization</t>
  </si>
  <si>
    <t>CJPI</t>
  </si>
  <si>
    <t>Pins</t>
  </si>
  <si>
    <t>KIPI</t>
  </si>
  <si>
    <t>Pint</t>
  </si>
  <si>
    <t>KIPT</t>
  </si>
  <si>
    <t>Pitchers</t>
  </si>
  <si>
    <t>DEPL</t>
  </si>
  <si>
    <t>Planters</t>
  </si>
  <si>
    <t>KIPW</t>
  </si>
  <si>
    <t>Plastic Wrap</t>
  </si>
  <si>
    <t>KIPL</t>
  </si>
  <si>
    <t>Plates</t>
  </si>
  <si>
    <t>ARPO</t>
  </si>
  <si>
    <t>Pom-poms &amp; Pipe Cleaners</t>
  </si>
  <si>
    <t>KIPO</t>
  </si>
  <si>
    <t>Pots</t>
  </si>
  <si>
    <t>ELPS</t>
  </si>
  <si>
    <t>Power Strips</t>
  </si>
  <si>
    <t>APPC</t>
  </si>
  <si>
    <t>Pressure Cookers</t>
  </si>
  <si>
    <t>OFPP</t>
  </si>
  <si>
    <t>Push Pins</t>
  </si>
  <si>
    <t>KIPY</t>
  </si>
  <si>
    <t>Pyrex</t>
  </si>
  <si>
    <t>BARB</t>
  </si>
  <si>
    <t>Razor Blades</t>
  </si>
  <si>
    <t>BARA</t>
  </si>
  <si>
    <t>Razors</t>
  </si>
  <si>
    <t>ENRE</t>
  </si>
  <si>
    <t>Records</t>
  </si>
  <si>
    <t>ARRI</t>
  </si>
  <si>
    <t>Ribbon</t>
  </si>
  <si>
    <t>OFRB</t>
  </si>
  <si>
    <t>Rubber Bands</t>
  </si>
  <si>
    <t>OFRU</t>
  </si>
  <si>
    <t>Rulers</t>
  </si>
  <si>
    <t>BASC</t>
  </si>
  <si>
    <t>Scales</t>
  </si>
  <si>
    <t>OFSC</t>
  </si>
  <si>
    <t>Scissors</t>
  </si>
  <si>
    <t>CPSB</t>
  </si>
  <si>
    <t>Scrub Brushes</t>
  </si>
  <si>
    <t>ARSS</t>
  </si>
  <si>
    <t>Sewing Supplies</t>
  </si>
  <si>
    <t>BASH</t>
  </si>
  <si>
    <t>Shampoo</t>
  </si>
  <si>
    <t>OFSH</t>
  </si>
  <si>
    <t>Sharpies</t>
  </si>
  <si>
    <t>Shaving Cream</t>
  </si>
  <si>
    <t>FUSH</t>
  </si>
  <si>
    <t>Shelves</t>
  </si>
  <si>
    <t>BASV</t>
  </si>
  <si>
    <t>Shelving</t>
  </si>
  <si>
    <t>CJSH</t>
  </si>
  <si>
    <t>Shoe Horn</t>
  </si>
  <si>
    <t>CJSI</t>
  </si>
  <si>
    <t>Shoe Inserts</t>
  </si>
  <si>
    <t>FUSR</t>
  </si>
  <si>
    <t>Shoe Racks</t>
  </si>
  <si>
    <t>KISH</t>
  </si>
  <si>
    <t>Shot</t>
  </si>
  <si>
    <t>BASD</t>
  </si>
  <si>
    <t>Shower Caddy</t>
  </si>
  <si>
    <t>ARSP</t>
  </si>
  <si>
    <t>Sketch Pads</t>
  </si>
  <si>
    <t>APSC</t>
  </si>
  <si>
    <t>Slow Cookers</t>
  </si>
  <si>
    <t>BASO</t>
  </si>
  <si>
    <t>Soap</t>
  </si>
  <si>
    <t>BASP</t>
  </si>
  <si>
    <t>Soap Pump</t>
  </si>
  <si>
    <t>KISP</t>
  </si>
  <si>
    <t>Spatulas</t>
  </si>
  <si>
    <t>CPSP</t>
  </si>
  <si>
    <t>Sponges</t>
  </si>
  <si>
    <t>BASS</t>
  </si>
  <si>
    <t>Sponges/Scrubbing</t>
  </si>
  <si>
    <t>KISS</t>
  </si>
  <si>
    <t>Spoons (Serving)</t>
  </si>
  <si>
    <t>KISI</t>
  </si>
  <si>
    <t>Spoons (Silverware)</t>
  </si>
  <si>
    <t>Spray Bottles</t>
  </si>
  <si>
    <t>LASR</t>
  </si>
  <si>
    <t>Stain Remover</t>
  </si>
  <si>
    <t>OFST</t>
  </si>
  <si>
    <t>Stapler</t>
  </si>
  <si>
    <t>LASG</t>
  </si>
  <si>
    <t>Static Guard</t>
  </si>
  <si>
    <t>ARST</t>
  </si>
  <si>
    <t>Stationery</t>
  </si>
  <si>
    <t>APST</t>
  </si>
  <si>
    <t>Steamers</t>
  </si>
  <si>
    <t>ARSK</t>
  </si>
  <si>
    <t>Stickers</t>
  </si>
  <si>
    <t>OFSN</t>
  </si>
  <si>
    <t>Sticky Notes</t>
  </si>
  <si>
    <t>STSC</t>
  </si>
  <si>
    <t>Storage Containers (Tupperwares)</t>
  </si>
  <si>
    <t>BAST</t>
  </si>
  <si>
    <t>Straighteners</t>
  </si>
  <si>
    <t>KIST</t>
  </si>
  <si>
    <t>Strainers</t>
  </si>
  <si>
    <t>CJSG</t>
  </si>
  <si>
    <t>Sunglasses</t>
  </si>
  <si>
    <t>BASU</t>
  </si>
  <si>
    <t>Sunscreen</t>
  </si>
  <si>
    <t>CPSW</t>
  </si>
  <si>
    <t>Swiffers</t>
  </si>
  <si>
    <t>FUTA</t>
  </si>
  <si>
    <t>Table</t>
  </si>
  <si>
    <t>BATA</t>
  </si>
  <si>
    <t>Tampons</t>
  </si>
  <si>
    <t>OFTA</t>
  </si>
  <si>
    <t>Tape</t>
  </si>
  <si>
    <t>DETC</t>
  </si>
  <si>
    <t>Tchotchkes</t>
  </si>
  <si>
    <t>KITE</t>
  </si>
  <si>
    <t>Tea</t>
  </si>
  <si>
    <t>BATH</t>
  </si>
  <si>
    <t>Thermometer</t>
  </si>
  <si>
    <t>BATI</t>
  </si>
  <si>
    <t>Tissues</t>
  </si>
  <si>
    <t>APTO</t>
  </si>
  <si>
    <t>Toasters</t>
  </si>
  <si>
    <t>CPTC</t>
  </si>
  <si>
    <t>Toilet Cleaner</t>
  </si>
  <si>
    <t>BATP</t>
  </si>
  <si>
    <t>Toilet Paper</t>
  </si>
  <si>
    <t>KITO</t>
  </si>
  <si>
    <t>Tongs</t>
  </si>
  <si>
    <t>HITO</t>
  </si>
  <si>
    <t>Tools</t>
  </si>
  <si>
    <t>BATD</t>
  </si>
  <si>
    <t>Tooth Brush Holder</t>
  </si>
  <si>
    <t>BATB</t>
  </si>
  <si>
    <t>Tooth Brushes</t>
  </si>
  <si>
    <t>BATO</t>
  </si>
  <si>
    <t>Tooth Paste</t>
  </si>
  <si>
    <t>STTO</t>
  </si>
  <si>
    <t>Totes</t>
  </si>
  <si>
    <t>STTB</t>
  </si>
  <si>
    <t>Trash Bags</t>
  </si>
  <si>
    <t>STTC</t>
  </si>
  <si>
    <t>Trash Cans</t>
  </si>
  <si>
    <t>BATR</t>
  </si>
  <si>
    <t>Travel Accessories</t>
  </si>
  <si>
    <t>STTU</t>
  </si>
  <si>
    <t>Tubs</t>
  </si>
  <si>
    <t>ELTV</t>
  </si>
  <si>
    <t>TV/Monitor</t>
  </si>
  <si>
    <t>MIUM</t>
  </si>
  <si>
    <t>Umbrellas</t>
  </si>
  <si>
    <t>STUO</t>
  </si>
  <si>
    <t>Utensil Organizers</t>
  </si>
  <si>
    <t>KIUT</t>
  </si>
  <si>
    <t>Utensils</t>
  </si>
  <si>
    <t>DEVA</t>
  </si>
  <si>
    <t>Vases</t>
  </si>
  <si>
    <t>BAVS</t>
  </si>
  <si>
    <t>Vitamins and Support</t>
  </si>
  <si>
    <t>APWM</t>
  </si>
  <si>
    <t>Waffle Makers</t>
  </si>
  <si>
    <t>DEWA</t>
  </si>
  <si>
    <t>Wall Art</t>
  </si>
  <si>
    <t>KIWP</t>
  </si>
  <si>
    <t>Wax Paper</t>
  </si>
  <si>
    <t>BAWA</t>
  </si>
  <si>
    <t>Waxing</t>
  </si>
  <si>
    <t>KIWH</t>
  </si>
  <si>
    <t>Whisky</t>
  </si>
  <si>
    <t>White Bin</t>
  </si>
  <si>
    <t>OFWB</t>
  </si>
  <si>
    <t>White Board</t>
  </si>
  <si>
    <t>OFWO</t>
  </si>
  <si>
    <t>White Out</t>
  </si>
  <si>
    <t>KIWI</t>
  </si>
  <si>
    <t>Wine</t>
  </si>
  <si>
    <t>BAWI</t>
  </si>
  <si>
    <t>Wipes</t>
  </si>
  <si>
    <t>KIWS</t>
  </si>
  <si>
    <t>Wisks</t>
  </si>
  <si>
    <t>ARYA</t>
  </si>
  <si>
    <t>Yarn</t>
  </si>
  <si>
    <t>SPYO</t>
  </si>
  <si>
    <t>Yoga</t>
  </si>
  <si>
    <t>KIZI</t>
  </si>
  <si>
    <t>Ziplocs</t>
  </si>
  <si>
    <t>TOTAL ITEMS IN STOCK</t>
  </si>
  <si>
    <t>SOLD OUT ITEMS</t>
  </si>
  <si>
    <t>Inventory management</t>
  </si>
  <si>
    <t>TOP ITEMS</t>
  </si>
  <si>
    <t>by</t>
  </si>
  <si>
    <t>IN</t>
  </si>
  <si>
    <t>OUT</t>
  </si>
  <si>
    <t>Year of Entry</t>
  </si>
  <si>
    <t>Check-out Date</t>
  </si>
  <si>
    <t>Owner's Name</t>
  </si>
  <si>
    <t>Email</t>
  </si>
  <si>
    <t>Number</t>
  </si>
  <si>
    <t>Category</t>
  </si>
  <si>
    <t>Item</t>
  </si>
  <si>
    <t>Size</t>
  </si>
  <si>
    <t>Color</t>
  </si>
  <si>
    <t>Brand | Type</t>
  </si>
  <si>
    <t>Condition</t>
  </si>
  <si>
    <t>Notes</t>
  </si>
  <si>
    <t>Mustafa Elhassan</t>
  </si>
  <si>
    <t>melhassan@haverford.edu</t>
  </si>
  <si>
    <t>Appliances</t>
  </si>
  <si>
    <t>Fridge - Freezer</t>
  </si>
  <si>
    <t>Cube</t>
  </si>
  <si>
    <t>Black</t>
  </si>
  <si>
    <t>Haier</t>
  </si>
  <si>
    <t>Yuko Zhuo</t>
  </si>
  <si>
    <t>yzhuo1@haverford.edu</t>
  </si>
  <si>
    <t>Mid</t>
  </si>
  <si>
    <t>White</t>
  </si>
  <si>
    <t>Midea</t>
  </si>
  <si>
    <t>Haverodeo Sticker</t>
  </si>
  <si>
    <t>Abigail Pruszinski</t>
  </si>
  <si>
    <t>apruszinsk@haverford.edu</t>
  </si>
  <si>
    <t>Large</t>
  </si>
  <si>
    <t>Excellent</t>
  </si>
  <si>
    <t>Two Glass Shelves (wants to return early - post Thanksgiving Break) | Returned during the school year</t>
  </si>
  <si>
    <t>Hazel Alvarado</t>
  </si>
  <si>
    <t>halvarado@haverford.edu</t>
  </si>
  <si>
    <t>Seperate Freezer</t>
  </si>
  <si>
    <t>Silver</t>
  </si>
  <si>
    <t>Euhomy</t>
  </si>
  <si>
    <t>Great</t>
  </si>
  <si>
    <t>New to Program | Not Pictured!</t>
  </si>
  <si>
    <t>Grace Nasrallah</t>
  </si>
  <si>
    <t>gnasrallah@haverford.edu</t>
  </si>
  <si>
    <t>Insignia</t>
  </si>
  <si>
    <t>Could have possibly been returned, there is one matching description in the store</t>
  </si>
  <si>
    <t>Aida Standerford</t>
  </si>
  <si>
    <t>astanderfo@haverford.edu</t>
  </si>
  <si>
    <t>Citlali Camacho</t>
  </si>
  <si>
    <t>ccamacho@haverford.edu</t>
  </si>
  <si>
    <t>Emerson</t>
  </si>
  <si>
    <t>Two Glass Shelves | Some Sticky Residue On top and Peeled Sticker On Front</t>
  </si>
  <si>
    <t>Ibinabo West</t>
  </si>
  <si>
    <t>iwest@haverford.edu</t>
  </si>
  <si>
    <t>Damião Victor Andrade da Silva</t>
  </si>
  <si>
    <t>dandradeda@haverford.edu</t>
  </si>
  <si>
    <t>Kenmore</t>
  </si>
  <si>
    <t>Two Shelves</t>
  </si>
  <si>
    <t>Samantha Fabel</t>
  </si>
  <si>
    <t xml:space="preserve">sfable@haverford.edu </t>
  </si>
  <si>
    <t>RCA</t>
  </si>
  <si>
    <t>Stickers on the Front</t>
  </si>
  <si>
    <t xml:space="preserve">Jersson veliz Hernandez </t>
  </si>
  <si>
    <t>jvelizhern@haverford.edu</t>
  </si>
  <si>
    <t>One Glass Shelf | One Small Yellow Stain | Stickers on Front (Yeti, PoleOno, Tresor, Liverpool, Vmoda) | Some Door Staining</t>
  </si>
  <si>
    <t>Heshu Yin</t>
  </si>
  <si>
    <t>eyin@haverford.edu</t>
  </si>
  <si>
    <t>Mateo Kietzman</t>
  </si>
  <si>
    <t>mkietzman@haverford.edu</t>
  </si>
  <si>
    <t>Arctic Fresh</t>
  </si>
  <si>
    <t>Very Clean | Can Holder on Door | One Shelf</t>
  </si>
  <si>
    <t>Shakhzoda Mamadalieva</t>
  </si>
  <si>
    <t>smamadalie@haverford.edu</t>
  </si>
  <si>
    <t>Dan Adamopulos</t>
  </si>
  <si>
    <t>dadamopulo@haverford.edu</t>
  </si>
  <si>
    <t>Silver/Black</t>
  </si>
  <si>
    <t>Whirlpool</t>
  </si>
  <si>
    <t>One Shelf</t>
  </si>
  <si>
    <t>Wale Oguntomi</t>
  </si>
  <si>
    <t>woguntomi@haverford.edu</t>
  </si>
  <si>
    <t>Okay</t>
  </si>
  <si>
    <t>No Shelves | No Freezer Door | Missing Top of Hinge | No Bottom Door Bar | Residue on Front | Staining Inside</t>
  </si>
  <si>
    <t>Zoe Lin</t>
  </si>
  <si>
    <t>zlin1@haverford.edu</t>
  </si>
  <si>
    <t>Some Slight Scratches | Two Shelves</t>
  </si>
  <si>
    <t>Ellie Park</t>
  </si>
  <si>
    <t>epark1@haverford.edu</t>
  </si>
  <si>
    <t>Good</t>
  </si>
  <si>
    <t>Two Glass Shelves | Small Scratches on Top</t>
  </si>
  <si>
    <t>Angel Huitzil Huitzil</t>
  </si>
  <si>
    <t>ahuitzilhu@haverford.edu</t>
  </si>
  <si>
    <t>Eugene Yang</t>
  </si>
  <si>
    <t>eyyang@haverford.edu</t>
  </si>
  <si>
    <t>SPT</t>
  </si>
  <si>
    <t>Tyleena Cantillo</t>
  </si>
  <si>
    <t>tcantillo@haverford.edu</t>
  </si>
  <si>
    <t>One Shelf | Slight scratch on Front</t>
  </si>
  <si>
    <t xml:space="preserve">Ana Isabela Azumatan Aceituno </t>
  </si>
  <si>
    <t>iazumatana@haverford.edu</t>
  </si>
  <si>
    <t>Frigidaire</t>
  </si>
  <si>
    <t>Script Silver Text on Freezer Door</t>
  </si>
  <si>
    <t>Hannah Jensen-Sizelove</t>
  </si>
  <si>
    <t>hjensensiz@haverford.edu</t>
  </si>
  <si>
    <t>Danby Designer</t>
  </si>
  <si>
    <t>Stickered (Includes Kelly Sticker)</t>
  </si>
  <si>
    <t>Yasmin Choudhury</t>
  </si>
  <si>
    <t>ychoudhury@haverford.edu</t>
  </si>
  <si>
    <t>Black/Silver</t>
  </si>
  <si>
    <t>HiSense</t>
  </si>
  <si>
    <t>Blue Sticker on the Front, Pantone Sticker on the Side - Not Pictured</t>
  </si>
  <si>
    <t>Ethan Rezer</t>
  </si>
  <si>
    <t>erezer@haverford.edu</t>
  </si>
  <si>
    <t>Grey</t>
  </si>
  <si>
    <t>Missing Hinge Cover, No shelfs, Can Holder on Door (Sticker put on Left Side)</t>
  </si>
  <si>
    <t>Fatoumata Sow</t>
  </si>
  <si>
    <t>fsow@haverford.edu</t>
  </si>
  <si>
    <t>Sanyo</t>
  </si>
  <si>
    <t>Dent on Front | One Shelf</t>
  </si>
  <si>
    <t>Deep Patel</t>
  </si>
  <si>
    <t>dcpatel@haverford.edu</t>
  </si>
  <si>
    <t xml:space="preserve">No Shelf | Some Scratches on Top </t>
  </si>
  <si>
    <t>Chrislove Lamour</t>
  </si>
  <si>
    <t>clamour@haverford.edu</t>
  </si>
  <si>
    <t>Not Pictured</t>
  </si>
  <si>
    <t>Uyen Tran</t>
  </si>
  <si>
    <t>utran@haverford.edu</t>
  </si>
  <si>
    <t>Magic Chef</t>
  </si>
  <si>
    <t>Three Glass Shelves | Large Freezer Component | Clear Door Accessories</t>
  </si>
  <si>
    <t>Anita Lau</t>
  </si>
  <si>
    <t>alau@haverford.edu</t>
  </si>
  <si>
    <t>Theodore Rodriguez</t>
  </si>
  <si>
    <t>trodriguez@haverford.edu</t>
  </si>
  <si>
    <t>Small dent on freezer door | One Shelf</t>
  </si>
  <si>
    <t>Melanee Coopwood</t>
  </si>
  <si>
    <t>mcoopwood@haverford.edu</t>
  </si>
  <si>
    <t>Missing Photos</t>
  </si>
  <si>
    <t>Grace Hannigan</t>
  </si>
  <si>
    <t>ghannigan@haverford.edu</t>
  </si>
  <si>
    <t>Two Shelves | Can holder on Door | Star Stickers/Tape on Front | Some Slight Scratches on Top</t>
  </si>
  <si>
    <t>Emma Ganaj</t>
  </si>
  <si>
    <t>eganaj@haverford.edu</t>
  </si>
  <si>
    <t>Costway</t>
  </si>
  <si>
    <t>Qianzhi Zhao</t>
  </si>
  <si>
    <t>qzhao@haverford.edu</t>
  </si>
  <si>
    <t>Small car sticker on front | One Shelf</t>
  </si>
  <si>
    <t>Alicia Alvarado</t>
  </si>
  <si>
    <t>asalvarado@haverford.edu</t>
  </si>
  <si>
    <t>Avalon</t>
  </si>
  <si>
    <t>No freezer door | One Shelf (Missing Shelf 2022) | Scuff on Upper Left Corner</t>
  </si>
  <si>
    <t>Carter Kroenke</t>
  </si>
  <si>
    <t>ckroenke@haverford.edu</t>
  </si>
  <si>
    <t>Avanti</t>
  </si>
  <si>
    <t>No Shelf | Homemade (RE)use Store Label</t>
  </si>
  <si>
    <t>Fatoumata Bamba</t>
  </si>
  <si>
    <t>fbamba@haverford.edu</t>
  </si>
  <si>
    <t>Haitong Lian</t>
  </si>
  <si>
    <t>llian@haverford.edu</t>
  </si>
  <si>
    <t>Black and Decker</t>
  </si>
  <si>
    <t>Missing top Cap | One Shelf</t>
  </si>
  <si>
    <t>Leo Gordon</t>
  </si>
  <si>
    <t>lsgordon@haverford.edu</t>
  </si>
  <si>
    <t>Dent on the Front | Residual Tape | Clean Inside | Elongated Freezer | One Glass Shelf</t>
  </si>
  <si>
    <t>One Shelf | Small Dent and Tape on Front | Scuffs on Top</t>
  </si>
  <si>
    <t>Zoe Liu</t>
  </si>
  <si>
    <t>zliu@haverford.edu</t>
  </si>
  <si>
    <t>Glass Shelf | Holographic Sticker on Front | Elongated Freezer | Slight Tape Mark on Front</t>
  </si>
  <si>
    <t>Fahim Mosharrof Ratul</t>
  </si>
  <si>
    <t>fratul@haverford.edu</t>
  </si>
  <si>
    <t>2 Shelves | Some Scuffs on Top | Can holder on door</t>
  </si>
  <si>
    <t>Chyane Sims</t>
  </si>
  <si>
    <t>casims@haverford.edu</t>
  </si>
  <si>
    <t>Daewoo</t>
  </si>
  <si>
    <t>No Freezer Door | Some Scratches on the Top</t>
  </si>
  <si>
    <t>Saylen Cardoni</t>
  </si>
  <si>
    <t>scardoni@haverford.edu</t>
  </si>
  <si>
    <t>No freezer Door | Some Dents in Front | No Shelf 2022</t>
  </si>
  <si>
    <t>Siqi Li</t>
  </si>
  <si>
    <t>sli5@haverford.edu</t>
  </si>
  <si>
    <t>No Shelves | Very Clean</t>
  </si>
  <si>
    <t>Shay Newton</t>
  </si>
  <si>
    <t>snewton@haverford.edu</t>
  </si>
  <si>
    <t>No Shelves, Can holder on door</t>
  </si>
  <si>
    <t>Judy Xie</t>
  </si>
  <si>
    <t>jxie@haverford.edu</t>
  </si>
  <si>
    <t>Missing Top Cap | One Shelf, Can Holder and Thermometer on Door | Thermometer Removed 2023</t>
  </si>
  <si>
    <t>Zenas Boamah</t>
  </si>
  <si>
    <t>zboamah@haverford.edu</t>
  </si>
  <si>
    <t>One Shelf 2022, Can holder on Door</t>
  </si>
  <si>
    <t>Sid Roy</t>
  </si>
  <si>
    <t>sroy2@haverford.edu</t>
  </si>
  <si>
    <t>One Shelf | Can Holder on Door | Double Label on the Front | Missing Bar from Door 2022</t>
  </si>
  <si>
    <t>Daniel Braun</t>
  </si>
  <si>
    <t>dbraun@haverford.edu</t>
  </si>
  <si>
    <t>Diplomat</t>
  </si>
  <si>
    <t>One Shelf | Horizontal Freezer | Discoloration on the front | Left in Lobby - left school early</t>
  </si>
  <si>
    <t>Alina Hasnani</t>
  </si>
  <si>
    <t>ahasnani@haverford.edu</t>
  </si>
  <si>
    <t>No Freezer Door | One Shelf | Slight Scratch on Front</t>
  </si>
  <si>
    <t>Qingyao Li</t>
  </si>
  <si>
    <t>gli1@haverford.edu</t>
  </si>
  <si>
    <t>Shelf that is mismatched | No Freezer Door</t>
  </si>
  <si>
    <t>BROKEN</t>
  </si>
  <si>
    <t>No Shelves | Covered in Stickers</t>
  </si>
  <si>
    <t>Lorena Veras</t>
  </si>
  <si>
    <t xml:space="preserve">lveras@haverford.edu </t>
  </si>
  <si>
    <t>One Shelf | No Freezer Door | Some Scratches on Top | Yellowing Inside | Sticker Says "This is a Fridge" on Front</t>
  </si>
  <si>
    <t>Jasmeen Basra</t>
  </si>
  <si>
    <t>jbasra@haverford.edu</t>
  </si>
  <si>
    <t>No Shelves</t>
  </si>
  <si>
    <t>Isaac Roth</t>
  </si>
  <si>
    <t>iroth@haverford.edu</t>
  </si>
  <si>
    <t>No Shelves | Some Staining</t>
  </si>
  <si>
    <t>Kayla Ho</t>
  </si>
  <si>
    <t>kho1@haverford.edu</t>
  </si>
  <si>
    <t>One Shelf | Missing Top Cap</t>
  </si>
  <si>
    <t>No Shelves | No (RE)use Sticker</t>
  </si>
  <si>
    <t>Emma Doty</t>
  </si>
  <si>
    <t>edoty@haverford.edu</t>
  </si>
  <si>
    <t>Missing Top Cap | Opens on the Left | One Shelf</t>
  </si>
  <si>
    <t>Sienna Chung</t>
  </si>
  <si>
    <t>skchung@haverford.edu</t>
  </si>
  <si>
    <t>Some Small Outside Scratches | Two Glass Shelves</t>
  </si>
  <si>
    <t>Glass Shelf and Crisper Bin | Large Freezer</t>
  </si>
  <si>
    <t>Lauren Petrilla</t>
  </si>
  <si>
    <t>lpetrilla@haverford.edu</t>
  </si>
  <si>
    <t>One Shelf | Strange Locking Handle Outside</t>
  </si>
  <si>
    <t>Christie Joyner</t>
  </si>
  <si>
    <t>cjoyner@haverford.edu</t>
  </si>
  <si>
    <t>Academic Calendar Magnet on Front | One Shelf | No Freezer Door</t>
  </si>
  <si>
    <t>Carter Rostron</t>
  </si>
  <si>
    <t>crostron@haverford.edu</t>
  </si>
  <si>
    <t>Covered in Stickers (Knockaround, NRS, Sunoco etc.) | No Shelves | No Freezer Door</t>
  </si>
  <si>
    <t>Leilani Davis</t>
  </si>
  <si>
    <t>lndavis@haverford.edu</t>
  </si>
  <si>
    <t>Galanz</t>
  </si>
  <si>
    <t>No Shelves | Missing some Door Rods</t>
  </si>
  <si>
    <t>Dakarai Lindsay</t>
  </si>
  <si>
    <t>dlindsay@haverford.edu</t>
  </si>
  <si>
    <t>Two Shleves | Very Clean</t>
  </si>
  <si>
    <t>Majdouline Benlahcen</t>
  </si>
  <si>
    <t>mbenlahcen@haverford.edu</t>
  </si>
  <si>
    <t>Two Shelves | Can holder on Door | 2022 Two Stickers Added to Front (Friends and First Gen Fords) | Haverford Magnets all over it, Front Label very peeling</t>
  </si>
  <si>
    <t>Iywren Fenrir</t>
  </si>
  <si>
    <t>ifenrir@haverford.edu</t>
  </si>
  <si>
    <t>General Electric</t>
  </si>
  <si>
    <t>Some Scratches on the Top | One Shelf</t>
  </si>
  <si>
    <t>Annalise Sandrich</t>
  </si>
  <si>
    <t>asandrich@haverford.edu</t>
  </si>
  <si>
    <t>Brown/Wood Grain</t>
  </si>
  <si>
    <t>Some Small Scratches | Has Stain in Center of Inside | No Shelves</t>
  </si>
  <si>
    <t>Juliett Ortiz</t>
  </si>
  <si>
    <t>jaortiz@haverford.edu</t>
  </si>
  <si>
    <t>One Shelf | Some Slight Scratches</t>
  </si>
  <si>
    <t>No Shelves | No Freezer Door | Stickers All Over Front</t>
  </si>
  <si>
    <t>Lorella Adams</t>
  </si>
  <si>
    <t>ladams@haverford.edu</t>
  </si>
  <si>
    <t>One Shelf | No Freezer Door | Missing Bottom Door Bar</t>
  </si>
  <si>
    <t>Rachel Wang</t>
  </si>
  <si>
    <t>rwang@haverford.edu</t>
  </si>
  <si>
    <t>One Shelf | Freezer Door off but included 2022</t>
  </si>
  <si>
    <t>No Shelves | Missing Hinge Cap | Clean</t>
  </si>
  <si>
    <t>Finn Nicolois</t>
  </si>
  <si>
    <t>fnicolois@haverford.edu</t>
  </si>
  <si>
    <t>One shelf | No freezer door | Dinosaur sticker on the front | Two Haverford Magnets (2023)</t>
  </si>
  <si>
    <t>Ali Gulamhusein</t>
  </si>
  <si>
    <t>agulamhuse@haverford.edu</t>
  </si>
  <si>
    <t>Two Shelves | Some slight black staining | Kaiser Permanente Sticker On The Front (Sticker Removed - 2022) | Taller | Freezer Needs to be checked</t>
  </si>
  <si>
    <t>Riya Mehta</t>
  </si>
  <si>
    <t>rsmehta@haverford.edu</t>
  </si>
  <si>
    <t>No Shelves | Missing Hinge Cap  | Returned 5/5</t>
  </si>
  <si>
    <t>Haniyah Bilal</t>
  </si>
  <si>
    <t>hbilal@haverford.edu</t>
  </si>
  <si>
    <t>One Shelf | No Freezer Door</t>
  </si>
  <si>
    <t xml:space="preserve">Pierina Atoche Viera </t>
  </si>
  <si>
    <t>patochevie@haverford.edu</t>
  </si>
  <si>
    <t>One Glass Shelf</t>
  </si>
  <si>
    <t>Daria Colbath</t>
  </si>
  <si>
    <t>dcolbath@haverford.edu</t>
  </si>
  <si>
    <t>Blue</t>
  </si>
  <si>
    <t>Igloo</t>
  </si>
  <si>
    <t>Small Dent on Front | Missing Shelves | No Freezer Door</t>
  </si>
  <si>
    <t>Redd Tan</t>
  </si>
  <si>
    <t>rtan1@haverford.edu</t>
  </si>
  <si>
    <t>No door space | One Shelf</t>
  </si>
  <si>
    <t>Jonah Levine</t>
  </si>
  <si>
    <t>jblevine@haverford.edu</t>
  </si>
  <si>
    <t>Silina Awad</t>
  </si>
  <si>
    <t xml:space="preserve">smawad@haverford.edu </t>
  </si>
  <si>
    <t>One Shelf | Dented on the Outside (looks like a large slash)</t>
  </si>
  <si>
    <t>Fatomato Barry</t>
  </si>
  <si>
    <t>fbarry@haverford.edu</t>
  </si>
  <si>
    <t>Scratches on the Top | No Shelves</t>
  </si>
  <si>
    <t>Ziyin Zhang</t>
  </si>
  <si>
    <t>zzhang6@haverford.edu</t>
  </si>
  <si>
    <t>Some Small Scratches on the Top | One Shelf</t>
  </si>
  <si>
    <t>Andrej Coleman</t>
  </si>
  <si>
    <t>apcoleman@haverford.edu</t>
  </si>
  <si>
    <t>One Shelf | Film on top with small dents | Small scratches on front</t>
  </si>
  <si>
    <t>Elena Bien</t>
  </si>
  <si>
    <t xml:space="preserve">ebien@haverford.edu </t>
  </si>
  <si>
    <t>One Shelf | Some Peeling and Scratches in Top Film | Tape Marks</t>
  </si>
  <si>
    <t>Tim Foster</t>
  </si>
  <si>
    <t>tfoster1@haverford.edu</t>
  </si>
  <si>
    <t xml:space="preserve">Fridge </t>
  </si>
  <si>
    <t>No Shelves | Some Small Scratches on Top</t>
  </si>
  <si>
    <t>Leo Wellmann</t>
  </si>
  <si>
    <t>lwellmann@haverford.edu</t>
  </si>
  <si>
    <t>One Shelf | Some Top Scratches</t>
  </si>
  <si>
    <t>Yassine Falah</t>
  </si>
  <si>
    <t>yfalah@haverford.edu</t>
  </si>
  <si>
    <t>One Shelf | Some Peeling in Lines on the Top Film</t>
  </si>
  <si>
    <t>Kate Chen</t>
  </si>
  <si>
    <t>rchen2@haverford.edu</t>
  </si>
  <si>
    <t xml:space="preserve">No Shelves | Scratches on Top </t>
  </si>
  <si>
    <t>Daniel George</t>
  </si>
  <si>
    <t>dgeorge@haverford.edu</t>
  </si>
  <si>
    <t>Abby Ryan</t>
  </si>
  <si>
    <t>aryan1@haverford.edu</t>
  </si>
  <si>
    <t>No Shelves | Scratches on Top and Small Dent in Front</t>
  </si>
  <si>
    <t>Dark Horse and Equality Sticker | No Freezer Door | One Shelf (No Shelf 2022) | Remaining in Store</t>
  </si>
  <si>
    <t xml:space="preserve">Maurleah Hardie </t>
  </si>
  <si>
    <t>mhardie@haverford.edu</t>
  </si>
  <si>
    <t>Koolatron</t>
  </si>
  <si>
    <t>Two Shelves | Stickers Stuck to Front (Beats, RB, Energy Star) added two more stickers in 2022 (Dog, Couple)</t>
  </si>
  <si>
    <t>Obvious mold around the door | No Shelf | No Freezer Door</t>
  </si>
  <si>
    <t>Ghislaine Niyodusenga</t>
  </si>
  <si>
    <t>gniyodusen@haverford.edu</t>
  </si>
  <si>
    <t>One Shelf | Freezer Door off but Included 2022</t>
  </si>
  <si>
    <t>Qingyang Luo</t>
  </si>
  <si>
    <t>qluo1@haverford.edu</t>
  </si>
  <si>
    <t>One shelf | Top Film Starting to Peel</t>
  </si>
  <si>
    <t>Fabian Castro</t>
  </si>
  <si>
    <t>fcastro@haverford.edu</t>
  </si>
  <si>
    <t>One Shelf | No Freezer Door | Top Peeling Greatly | Scratch on Front | Apple Sticker on the Frong</t>
  </si>
  <si>
    <t>Fadi Totah</t>
  </si>
  <si>
    <t>ftotah@haverford.edu</t>
  </si>
  <si>
    <t>Some Staining | One Shelf | Top Peeling Greatly</t>
  </si>
  <si>
    <t>Noa Gilbert</t>
  </si>
  <si>
    <t>ngilbert@haverford.edu</t>
  </si>
  <si>
    <t xml:space="preserve">Small dent on front | Dinosaur Sticker | One Shelf | Protective Plastic on Top </t>
  </si>
  <si>
    <t>Patrick Wang</t>
  </si>
  <si>
    <t>pwang@haverford.edu</t>
  </si>
  <si>
    <t>Small dents on the front | Very Clean Inside | 2 Shelves | Can Holder on Door</t>
  </si>
  <si>
    <t>Kabir Hinduja-obregon</t>
  </si>
  <si>
    <t>khindujaob@haverford.edu</t>
  </si>
  <si>
    <t>No Freezer Door | No Shelf</t>
  </si>
  <si>
    <t>Nicole Huang</t>
  </si>
  <si>
    <t>nhuang@haverford.edu</t>
  </si>
  <si>
    <t>Sunbeam</t>
  </si>
  <si>
    <t>Yasmin Silva Nillson</t>
  </si>
  <si>
    <t>ysilvanils@haverford.edu</t>
  </si>
  <si>
    <t>Dasha Dorash</t>
  </si>
  <si>
    <t>ddorash@haverford.edu</t>
  </si>
  <si>
    <t>One Shelf | Given from Marina Ghobrial to Dasha upon closure of semester</t>
  </si>
  <si>
    <t>Small Dents on the Top | Two Shelves</t>
  </si>
  <si>
    <t>Owen Sykes</t>
  </si>
  <si>
    <t>osykes1@haverford.edu</t>
  </si>
  <si>
    <t>Outside is all Scratched Up | Dog Magnet | One Shelf</t>
  </si>
  <si>
    <t>Oliver Wilson</t>
  </si>
  <si>
    <t>owilson@haverford.edu</t>
  </si>
  <si>
    <t>Needed a lot of Cleaning | Some slight mold residue around closure | 1 Shelf</t>
  </si>
  <si>
    <t>No Shelf, Small rust spot on front</t>
  </si>
  <si>
    <t>Jonathan Lee</t>
  </si>
  <si>
    <t>jlee8@haverford.edu</t>
  </si>
  <si>
    <t>One Shelf | Stain on the Bottom | Drip Tray Included | Small Dents on the Front</t>
  </si>
  <si>
    <t>Mingjia (Nichole) Wang</t>
  </si>
  <si>
    <t>nwang2@haverford.edu</t>
  </si>
  <si>
    <t>Stickers all over the front and tape on top | One Shelf</t>
  </si>
  <si>
    <t>Luke Sheppard</t>
  </si>
  <si>
    <t>lsheppard@haverford.edu</t>
  </si>
  <si>
    <t>Two Glass Shelves | Small Scratch on Front</t>
  </si>
  <si>
    <t>Kenji Gullo</t>
  </si>
  <si>
    <t>kgullo@haverford.edu</t>
  </si>
  <si>
    <t>Hazany Palomino</t>
  </si>
  <si>
    <t>hcovarrubi@haverford.edu</t>
  </si>
  <si>
    <t>Tramontina</t>
  </si>
  <si>
    <t>Wide Freezer | Some Staining on the Very Bottom | Two Shelves</t>
  </si>
  <si>
    <t>Tinashe Mutasa</t>
  </si>
  <si>
    <t>tmutasa@haverford.edu</t>
  </si>
  <si>
    <t>Can holder on door | Two shelves</t>
  </si>
  <si>
    <t>Silver/Balck</t>
  </si>
  <si>
    <t>One Shelf | Label Peeling on the Top</t>
  </si>
  <si>
    <t>Julia Jung</t>
  </si>
  <si>
    <t>jjjung@haverford.edu</t>
  </si>
  <si>
    <t>Two Shelves | Can holder on Door | 2021 - Down to One Shelf, Yellow Stain on Door | 2022 - No Shelves</t>
  </si>
  <si>
    <t>Rustom Dubash</t>
  </si>
  <si>
    <t>rdubash@haverford.edu</t>
  </si>
  <si>
    <t>Small dents on front | Two Shelves | Can Holder on Door</t>
  </si>
  <si>
    <t>Stephanie Lopez</t>
  </si>
  <si>
    <t>slopez1@haverford.edu</t>
  </si>
  <si>
    <t>Two Shelves | Can Holder on Door |No Cap</t>
  </si>
  <si>
    <t>Fridge-Freezer</t>
  </si>
  <si>
    <t>Two Shelves | Can Holer on Door | Condensation Catcher | No Sticker | No Cap | Stopped Working?</t>
  </si>
  <si>
    <t>Two Glass Shelves</t>
  </si>
  <si>
    <t>Mini</t>
  </si>
  <si>
    <t>Yoleo</t>
  </si>
  <si>
    <t>Miniature | Not stickered and Doesn't need to come back</t>
  </si>
  <si>
    <t>Isabella Taylor</t>
  </si>
  <si>
    <t>itaylor@haverford.edu</t>
  </si>
  <si>
    <t>Stickered on Front | Two Shelves | Some Slight Spots | Missing Door bar</t>
  </si>
  <si>
    <t>Some Slight Yellow Staining on the Inside | Remaining in Store</t>
  </si>
  <si>
    <t>Manani Brown</t>
  </si>
  <si>
    <t>mzbrown@haverford.edu</t>
  </si>
  <si>
    <t>Not Fully Pictured</t>
  </si>
  <si>
    <t>Danylo Shudrenko</t>
  </si>
  <si>
    <t>dshudrenko@haverford.edu</t>
  </si>
  <si>
    <t>Genesis Woods</t>
  </si>
  <si>
    <t>gpwoods@haverford.edu</t>
  </si>
  <si>
    <t>Camille Mackenzie</t>
  </si>
  <si>
    <t>cmackenzie@haverford.edu</t>
  </si>
  <si>
    <t>Beat up nametag on the Frong but otherwise in great condition | One Shelf</t>
  </si>
  <si>
    <t>Danley?</t>
  </si>
  <si>
    <t>Olivia Rueger</t>
  </si>
  <si>
    <t>orueger@haverford.edu</t>
  </si>
  <si>
    <t>Missing the one rung on the door | Otherwise good and clean</t>
  </si>
  <si>
    <t>Leo Brainard</t>
  </si>
  <si>
    <t>lbrainard@haverford.edu</t>
  </si>
  <si>
    <t>Missing a Green Sticker | Three Scratches on Front</t>
  </si>
  <si>
    <t>Lucas Pinaire</t>
  </si>
  <si>
    <t>lpinaire@haverford.edu</t>
  </si>
  <si>
    <t>Clear film on front with white Sticker | Missing Green Sticker | One Shelf | No Freezer</t>
  </si>
  <si>
    <t xml:space="preserve">Tia Gupta </t>
  </si>
  <si>
    <t>tgupta@haverford.edu</t>
  </si>
  <si>
    <t>Oval Logo, Green Sticker on Side</t>
  </si>
  <si>
    <t xml:space="preserve">Eustace Ubah </t>
  </si>
  <si>
    <t>eubah@haverford.edu</t>
  </si>
  <si>
    <t>Missing Photos | Returned in store</t>
  </si>
  <si>
    <t xml:space="preserve">Nicole Agyeman </t>
  </si>
  <si>
    <t>nagyeman@haverford.edu</t>
  </si>
  <si>
    <t>Ingrid Layman</t>
  </si>
  <si>
    <t>ilayman@haverford.edu</t>
  </si>
  <si>
    <t xml:space="preserve">Nadia Martinez </t>
  </si>
  <si>
    <t>nmartinez@haverford.edu</t>
  </si>
  <si>
    <t>Andrea Recinos-Manchame</t>
  </si>
  <si>
    <t>arecinosma@haverford.edu</t>
  </si>
  <si>
    <t>Covered in Stickers</t>
  </si>
  <si>
    <t>Lucia Cortes</t>
  </si>
  <si>
    <t>lxcortes@haverford.edu</t>
  </si>
  <si>
    <t>Chantelle Mawoneke</t>
  </si>
  <si>
    <t>cmawoneke@haverford.edu</t>
  </si>
  <si>
    <t>Curved Front</t>
  </si>
  <si>
    <t>David Zeng</t>
  </si>
  <si>
    <t>dzeng@haverford.edu</t>
  </si>
  <si>
    <t>Viraj Singhania</t>
  </si>
  <si>
    <t>vsinghania@haverford.edu</t>
  </si>
  <si>
    <t>Aanya Luthra</t>
  </si>
  <si>
    <t>aluthra@haverford.edu</t>
  </si>
  <si>
    <t>One Shelf | Staining on the Inside Botom | Some Small Scratches | Left in LIFTFAR storage | Remained in Store</t>
  </si>
  <si>
    <t>Slight Scuff on Top | One Shelf</t>
  </si>
  <si>
    <t>Sumita Lacey</t>
  </si>
  <si>
    <t>slacey@haverford.edu</t>
  </si>
  <si>
    <t>One Shlef | Peeling White Sticker on the Top</t>
  </si>
  <si>
    <t>Two Glass Shelves | Clear Bin at Bottom | Some Staining on Door | Reminaing in Store</t>
  </si>
  <si>
    <t>Riley Starling</t>
  </si>
  <si>
    <t>rstarling@haverford.edu</t>
  </si>
  <si>
    <t>Black + Decker</t>
  </si>
  <si>
    <t>Lots of Spillage and Mold Inside | Two Glass Shelves</t>
  </si>
  <si>
    <t>Helen Moniz</t>
  </si>
  <si>
    <t>hmoniz@haverford.edu</t>
  </si>
  <si>
    <t>Silver/Grey</t>
  </si>
  <si>
    <t xml:space="preserve"> </t>
  </si>
  <si>
    <t>Housing Assignment</t>
  </si>
  <si>
    <t>Graduation Year</t>
  </si>
  <si>
    <t>Items</t>
  </si>
  <si>
    <t># of Items Checked Out</t>
  </si>
  <si>
    <t>Gummere</t>
  </si>
  <si>
    <t>Rolling Storage Cart, Pencil Cup, Water Filter, Replacement Filter, Trash Can, Mini Fridge (44), Standing Lamp</t>
  </si>
  <si>
    <t xml:space="preserve">Lila Rivera </t>
  </si>
  <si>
    <t>larivera@haverford.edu</t>
  </si>
  <si>
    <t>North Dorms</t>
  </si>
  <si>
    <t>Bed Risers, Power Strip</t>
  </si>
  <si>
    <t>Charlene Frimpong</t>
  </si>
  <si>
    <t xml:space="preserve">cfrimpong@haverford.edu </t>
  </si>
  <si>
    <t>HCA</t>
  </si>
  <si>
    <t>Fake Plant, Calendar Whiteboard, Terrarium (On Hold Behind Desk), Sticker, Markers x3, staples, Notebook, Tea Kettle, Mirror, Tape, Pencil x2, Pen</t>
  </si>
  <si>
    <t>Trishia Phan</t>
  </si>
  <si>
    <t>tphan@haverford.edu</t>
  </si>
  <si>
    <t>Microwave (No Photo)</t>
  </si>
  <si>
    <t>Kim/Tritton</t>
  </si>
  <si>
    <t>Mirror, Bed Risers, Hangers (x15), Cups (x3), Desk Lamp, Fan, Water Filter, Trash Can, Plates (x2), Forks (x2), Knives (x2), Spoons (x2), Binders (x2), Pencils (x8), Pens (x4), Clorox Wipes, Minifridge (14) , Laundry Detergent, Hamper, Decor, Storage (x2), Notebooks (x2), Alarm Clock, Shower Caddy, Bowls (x2), Power Strip, Toaster, Whiteboard, Shampoo, Conditioner, Facewash, Pinesol</t>
  </si>
  <si>
    <t>Power Strip, Lamp, Minifridge (Insignia - 34 NTP), Trash Can, Lysol, Paper Towles, Clorox, Toilet Paper (x2), Hamper, Hangers (x5)</t>
  </si>
  <si>
    <t>Fan, Trashcan, Mirror, Minifridge (53)</t>
  </si>
  <si>
    <t>BCC (Black Cultural Center)</t>
  </si>
  <si>
    <t>Minifridge (Whirlpool - Silver sticker on front 45), Water Filter</t>
  </si>
  <si>
    <t>Minifridge (Midea - 7), Mirror, Bathroom Caddy, Toilet Paper, Lamp, Storage Bin, Plastic Bowls, and Cups, Hangers x 10) Power Strip</t>
  </si>
  <si>
    <t>Minifridge (Kenmore - 16), Paper Towels, Mirror, Lamp, Trash Can, Flag, Hangers (x15), Plate, Cups (x2), Pencil Cup, Desktop Storage, Tap, Lysol, Fan, Water Filter</t>
  </si>
  <si>
    <t>Minifridge (Hi Sense), Lamp, Trash Can, Hangers (x12), Lysol Wipes (x2), Cups (x3), Mugs (x2), Mirror, Extension Cord, Plates (x2), Bowls (x2), Forks (x2), Mason Jar, Dust Pan, Carpe Diem, Tape, Cutting Board, Mirror, Hangers (x15), Iron, Tape, Basket</t>
  </si>
  <si>
    <t>Adorable giraffe and elephant lego, Bed Risers, Chalk Board, Extension Cord, Vines, Minifridge (Galanz - 42)</t>
  </si>
  <si>
    <t>Georgia Rebels</t>
  </si>
  <si>
    <t>jrevels@haverford.edu</t>
  </si>
  <si>
    <t>Power Strip, Frog, Mushroom Decor, Lysol Wipes, Spray</t>
  </si>
  <si>
    <t>Dart Board w/ Darts, Shower Caddy, Mirror, Extension Cord, Standing Lamp, Fruit Basket, Laundry Basket, Toilet paper, Mask, Broom, Facemasks, Toothbrush, Lanyard,  Minifridge (Hi Sense - 41 NTP), Umbrella, Playdough (x4)</t>
  </si>
  <si>
    <t>Minifridge (Costway - 57 NTP ), Standing Lamp, Water Filter</t>
  </si>
  <si>
    <t>Minifridge (Haier), Bed Risers, Storage Organizer, Power Strip</t>
  </si>
  <si>
    <t>Mirror w/ Hangers, Fan, Lamp, Hangers (x12), Binders (x4), Trash Can, Clorox Wipes, Corkboard, Minifridge (Insignia - 10)</t>
  </si>
  <si>
    <t>Mirror, Hanger (x10), Bed Risers, Door Hanger, Electric Kettle, Lamp, Trash Can, Fan, Pencil Cup, Storage Bin, Minifridge (Insignia - 15 NTP), Pushpins</t>
  </si>
  <si>
    <t>Fridge (Haier - 20), Mirror, Lamp, Power Strip</t>
  </si>
  <si>
    <t>Mirror, Lamp, Minifridge (Whirlpool - 55), Hangers (x12), Standing Mirror</t>
  </si>
  <si>
    <t>Minifridge (Whirlpool - 54), Standing Lamp, Books (x7), Binders (x2), Folders (x2), Pens, Clothespins, Toilet Paper (x2), Trash Bags, Yoga Mat, Roller, Storage Metal, Dish Soap, Tissues</t>
  </si>
  <si>
    <t>Minifridge (Midea), Water filter, Hangers (x10), Standing Lamp, Electric Kettle</t>
  </si>
  <si>
    <t>Lily Rabbitt</t>
  </si>
  <si>
    <t>lrabbitt@haverford.edu</t>
  </si>
  <si>
    <t>Hangers (x15), Hobbit</t>
  </si>
  <si>
    <t>Minifridge (Whirlpool - 23), Mirror, Blender</t>
  </si>
  <si>
    <t>Desk Lamp, Minifridge (Insignia - 50)</t>
  </si>
  <si>
    <t>Mirror, Hangers (x4), Trash Can, Fan, Standing Lamp, Minifridge (Frigidare) (NOT PICTURED)</t>
  </si>
  <si>
    <t>Electric Kettle, Extension Cord, Fan, Minifridge (Whirlpool), Whiteboard, Toilet Paper, Umbrella, Blender (NOT PICTURED)</t>
  </si>
  <si>
    <t>Fan, Lamp, Minifridge (Whirlpool - 28) (NOT PICTURED)</t>
  </si>
  <si>
    <t>Tarini Patel</t>
  </si>
  <si>
    <t>tpatel@haverford.edu</t>
  </si>
  <si>
    <t>Fan, Storage, (Coming back fridge), Mirror, Trash Can, Standing Lamp (NOT PICTURED)</t>
  </si>
  <si>
    <t>Minifridge (Midea - 4) (NOT PICTURED)</t>
  </si>
  <si>
    <t>Minifridge (Dany Designer - 39) (NOT PICTURED)</t>
  </si>
  <si>
    <t>Fan, Ironing Board, Hangers (x15), Lamp, Coffee Pot, Mirror, Iron, Water Filter, Umbrella, Sugar Holder, Blender, Icecube Tray, Dumbells, Extension Cord, Hot Plate, Mugs (x2), Minifridge (Kenmore - 36), extension cord (SOME NOT PICTURED)</t>
  </si>
  <si>
    <t>Simon Xie</t>
  </si>
  <si>
    <t>sxie@haverford.edu</t>
  </si>
  <si>
    <t>Lamp, Storage Basket (x2), Trash Can, Trash Bags, Hangers (x14), Toilet Paper</t>
  </si>
  <si>
    <t>Trash can, Lamp, Minifridge (Sanyo - 46)</t>
  </si>
  <si>
    <t>Fan, Kettle, Laundry Hamper, Minifridge (Insignia - 9), Wipes (x2), Storage Bins (x8), Extension Cord (NOT PICTURED)</t>
  </si>
  <si>
    <t>Minifridge (Whirlpool -13/15), Lamp, Fan, Book, Cork Tiles, Umbrealla, Extension Cord, Tennis Ball, Plant, Hangers (x 12), Tupperwares (x4), Adaptor, Extension Cord, Soccer Ball</t>
  </si>
  <si>
    <t>Minifridge (Midea, 22 bLACK NEW), Lamp, Fan (NOT PICTURED)</t>
  </si>
  <si>
    <t>Julia Knihs</t>
  </si>
  <si>
    <t xml:space="preserve">jknihs@haverford.edu </t>
  </si>
  <si>
    <t>Spatula, Knife</t>
  </si>
  <si>
    <t>Minifridge (Magic Chef - 52), Trash Can, Fan, Lamp, Binder, Hangers (x9)</t>
  </si>
  <si>
    <t>Minifridge (Whirlpool), Mirror, Electric Kettle, Hangers (x2), Mini Clothespins</t>
  </si>
  <si>
    <t>Isabelle Setou</t>
  </si>
  <si>
    <t>isetou@haverford.edu</t>
  </si>
  <si>
    <t>Hangers (x30)</t>
  </si>
  <si>
    <t xml:space="preserve">Isabela Jiménez </t>
  </si>
  <si>
    <t>ijimenez@haverford.edu</t>
  </si>
  <si>
    <t>Mirror w/ Hangers, Shower Caddy, Storage Bin, Drawer Liner, Minifridge (Whirlpool - 48)</t>
  </si>
  <si>
    <t xml:space="preserve">Mirror, Minifridge (Galanz)	</t>
  </si>
  <si>
    <t>Fan, Minifridge (Sunbeam)</t>
  </si>
  <si>
    <t>Fan, Minifridge (Galanz), Mirror, Towel Bar, Flash Light, Desk Lamp, Portable Charger, Plastic Plates, Mug, Notecards, Filter (x2), Holepunch, Desktop Storage (x2), Spoon, Pen, Paper Clips, Clothes Pins (NOT PICTURED)</t>
  </si>
  <si>
    <t>Minifridge (Haier  - 2), Bed Risers, Lamp, Hangers (x10), Fan, Trash Can (NOT PICTURED)</t>
  </si>
  <si>
    <t xml:space="preserve">Mischelly Low </t>
  </si>
  <si>
    <t>mlow</t>
  </si>
  <si>
    <t>Lamp, Iceskates, Rice Cooker, Brita, Wet Wipes, Shower Hnager, Kleenex, Mini Towels, Dish Rack, Tape, Pencils (x5), Pen</t>
  </si>
  <si>
    <t>Lloyd</t>
  </si>
  <si>
    <t>Minifridge (SPT 35)</t>
  </si>
  <si>
    <t>Frisbee, Pull up Bar, Paper Roll</t>
  </si>
  <si>
    <t>Minifridge (Frigidare - 37), Umbrella, Brita, Fan, Lamp</t>
  </si>
  <si>
    <t>Minifridge (Euhomy), Lanudry Basket, Trah Can, Desk Lamp, Bed Risers, Humidifier, Tiny AC, Tape, Pencil Cup, Destop Storage, Binder, Folder, Ruler, Glue, Hangers (x15), Eraser, Pencils (x3), Glue Stick, Calculator, Mirror</t>
  </si>
  <si>
    <t xml:space="preserve">Minifridge (Frigidare - 8), Mirror, Desktop Lamp, Hangers (x8), </t>
  </si>
  <si>
    <t>Mirror, Fan, Coffee Maker, Mug (x3), Drawer Storage, Water Filter, Pyrex, Hangers (x20), Flag, Drying Rack, Minifridge (Midea - 5)</t>
  </si>
  <si>
    <t>Lamp, Minifridge (Emerson), Storage, Folders (x2), Mason Jar, Lint Roller, Dust Pan and Brush, Febreeze, Paper, Standing Lamp, Fan</t>
  </si>
  <si>
    <t>Minifridge (Emerson - 56), Fan, Lamp</t>
  </si>
  <si>
    <t>Hangers (x10), Mug, Measuring Spoons, Salt Shaker, Lamp, Storage Bins (x2), Bed Risers, Steamer, Trash Can, Minifridge (Insignia)</t>
  </si>
  <si>
    <t>Minifridge (Igloo), Hangers (x8), Desk Lamp, Trash Can (NOT PICTURED)</t>
  </si>
  <si>
    <t>Fan, Decor, Lanyard, Minifridge (Emerson)</t>
  </si>
  <si>
    <t>Minifridge (Sunbeam), trash can</t>
  </si>
  <si>
    <t>Minifridge (Emerson -33)</t>
  </si>
  <si>
    <t>Minifridge (Haier), Bed Risers (NOT PICTURED)</t>
  </si>
  <si>
    <t>Minifridge (Sunbeam), standing lamp</t>
  </si>
  <si>
    <t>Lamp, Trash Can, Electric Kettle, Steamer, Hangers, Notebooks (x5), Mug, Elelectric Bar, Bowl, Plate, Storage Bin, Mirror, Minifridge (Danby)</t>
  </si>
  <si>
    <t>Mariel Uren</t>
  </si>
  <si>
    <t>muren@haverford.edu</t>
  </si>
  <si>
    <t>Baking Pans (x2), Hand Soap, Yoga Mat</t>
  </si>
  <si>
    <t>Nayera Hasan</t>
  </si>
  <si>
    <t>nhasan1@haverford.edu</t>
  </si>
  <si>
    <t>Blender, Pot, Pan, Coffee Maker, Espresso Press, Plates (x7), Measuring Cup, Scoop, Plastic Cups, Cups (x2), Pyrex, Cutting Board, Bowls (x6), Pots (x3), Cake Pan, Mirror</t>
  </si>
  <si>
    <t>Lamp, Minifridge (Black and Decker), Fan, Swiffer, Storage (x3), Mug, Cup, Bowls (x3), Plates (x3), Drying Rack, Water Filter, Electric Kettle, Tupperware (x5), Trash Can, Hamper, Hangers (x10), Lint Roller, Clothespins, Hole Punch, Stapler, Calculator, Notebooks (x7), Staples</t>
  </si>
  <si>
    <t>Trash Can, Cutting Board (x2), Pot, Margarita Glass, Plates (x2), Knives, Forks Spoons (x3), Knives (x3), Forks (x3), Ice cream scoop, Minifridge (Insignia)</t>
  </si>
  <si>
    <t>Minifridge (Whirlpool)</t>
  </si>
  <si>
    <t>Ben Zimmerman</t>
  </si>
  <si>
    <t>bmzimmerma@haverford.edu</t>
  </si>
  <si>
    <t>Mirror, Over the Door Hanger, Laundry Basket, Trash Can, Paper, Desk Lamp, Pens (x2), Rag, Cleaning Supplies, Water Bottle (x2), Extension Cord, Power Strip, Vaccum</t>
  </si>
  <si>
    <t>Valerie Heredia-Pineiro</t>
  </si>
  <si>
    <t xml:space="preserve">vheredia@haverford.edu </t>
  </si>
  <si>
    <t>Toaster,  Bed Risers, Pan, Dish Drying Rack, Pot, Bowl</t>
  </si>
  <si>
    <t>Yehyun Song</t>
  </si>
  <si>
    <t xml:space="preserve">ysong2@haverford.edu </t>
  </si>
  <si>
    <t>Mirror, Over the Door Hanger, Toaster, Spatula</t>
  </si>
  <si>
    <t>Be Storie</t>
  </si>
  <si>
    <t xml:space="preserve">bstorie@haverford.edu </t>
  </si>
  <si>
    <t>Hangers (x6), Fork, Spoon, Bowl</t>
  </si>
  <si>
    <t>Minifridge (Haier - 12), Fan</t>
  </si>
  <si>
    <t>Kripi Khatiwad</t>
  </si>
  <si>
    <t xml:space="preserve">kkhatiwada@haverford.edu </t>
  </si>
  <si>
    <t>Mirror, Coffee Pot, Spatula (x2), Knife, Champagne Glasses, Metal Storage</t>
  </si>
  <si>
    <t>Kriti Shahu</t>
  </si>
  <si>
    <t>kshahu@haverford.edu</t>
  </si>
  <si>
    <t>Minifridge (Black and Decker), Hangers (x10), Water Filter, Mirror, Tupperware, Storage (x2), Trash Can, Lysol, Toilet Paper, Standing Lamp</t>
  </si>
  <si>
    <t>Mirror, Crock Pot, Over the Door Hook, Electric Kettle, Minifridge (Arctic Fresh - 21), Hangers (x10), Bowl, Plate</t>
  </si>
  <si>
    <t>Storage (x2), Mirror, Necklace Hanger, Chopsticks, Minifridge (Emerson)</t>
  </si>
  <si>
    <t>Mirror, Lamp, Hangers (x10), Trash Can, Minifridge (Whirlpool), Lamp</t>
  </si>
  <si>
    <t>Minifridge (Black and Decker)</t>
  </si>
  <si>
    <t>Coco Liu</t>
  </si>
  <si>
    <t xml:space="preserve">cliu1@haverford.edu </t>
  </si>
  <si>
    <t>Q House</t>
  </si>
  <si>
    <t>Mirror, Hangers (x10)</t>
  </si>
  <si>
    <t>Minifrige (Koolatron), Fan, Hangers (x24)</t>
  </si>
  <si>
    <t>Minifridge (Frigidare)</t>
  </si>
  <si>
    <t>Lyali Pereda Figueroa</t>
  </si>
  <si>
    <t xml:space="preserve">lperedafig@haverford.edu </t>
  </si>
  <si>
    <t>Mini Waffle Maker, Wood Glue</t>
  </si>
  <si>
    <t>Abigail Trapp</t>
  </si>
  <si>
    <t>atrapp@haverford.edu</t>
  </si>
  <si>
    <t>Barclay</t>
  </si>
  <si>
    <t>Foam Roller, Hangers (x2), Hanging Basket</t>
  </si>
  <si>
    <t>Mirror, Minifridge (Haier), Yoga Mat, Storage Bin, Hangers (x25)</t>
  </si>
  <si>
    <t>Storage (x2), Minifridge (GE), Chair, Laundry Basket, Hangers (x25), Fan, Towel Bar, Trash Can, Plates, Fork, Spoon, Bowl, Calculator, Standing Lamp, Cleaning Spray</t>
  </si>
  <si>
    <t>Mirror, Notebook, Uno, Hangers (x15), Pan, Plates (x2), Folder, Ice Cube Tray, Bowl, Whisk, String Lights, Tissues, Nail Polish Remover, Cleaning Spray, Bandaids, Drinking Games, Tylenol, Nail Polish, City Decor</t>
  </si>
  <si>
    <t>Thaiana Zandona</t>
  </si>
  <si>
    <t>tzandona@haverford.edu</t>
  </si>
  <si>
    <t>Dish Drain, Tupperware, Mortar and Pestol, Bowl, Measuring Cups, Whisk, Scoop, Metal Bin, Tupperware, Pot, Knife, Mixing Bowls, Frying Pan, Cupcake Pan, Collinder, Hot Plate, Mirror, Mini Waffle Maker</t>
  </si>
  <si>
    <t>Fan, Lamp, Minifridge (Tramontina), Trash Can, Mirror, Shower Caddy</t>
  </si>
  <si>
    <t>Minifridge (Insignia)</t>
  </si>
  <si>
    <t>Rui Gao</t>
  </si>
  <si>
    <t>rgao@haverford.edu</t>
  </si>
  <si>
    <t>Mug, Binder, Paper, Drawing Pad, Pencils (x3), Knife, Fork</t>
  </si>
  <si>
    <t>Minifridge (Magic Chef), Mirror, Trash Can, Hangers (x10), Bed Risers, Wipes, Storage Cube, Hooks, Facial Cleanser, Shower Caddy</t>
  </si>
  <si>
    <t>Minifridge (RCA), lamp, mirror</t>
  </si>
  <si>
    <t>Shyla Mensah</t>
  </si>
  <si>
    <t>samensah@haverford.edu</t>
  </si>
  <si>
    <t>Febreeze, Desk Mirror</t>
  </si>
  <si>
    <t>Minifridge (Black and Decker), Yoga Mat, Shoe Rack, Mirror, Drying Rack, Storage Caddy, Textbook, Trash Can, Trash Bags, Desk Lamp, Binder, Cup , Pencil Holder, Umbrealla</t>
  </si>
  <si>
    <t>Minifridge (RCA - 17), Lysol spray (x2), Fan, Lamp, Waste Basket</t>
  </si>
  <si>
    <t xml:space="preserve">Minifridge (Galanz), Hangers (x6), Coffee Pot, Steamer, Lysol Wipes, Mugs (x2), Tampons (x10), Cleaning Wipe, Laundry Detergent, Hamper, Clorox Wipes, Pens (x3), Storage (x6), Lotion, Conditioner, Trash Can, Notebooks (x3), Power Strip </t>
  </si>
  <si>
    <t>Minifridge (Insignia), Hangers (x8) on reserve behind desk (NOT PICTURED)</t>
  </si>
  <si>
    <t>William Jig</t>
  </si>
  <si>
    <t>wji@haverford.edu</t>
  </si>
  <si>
    <t>Hangers (x15), Hair Dryer, Lamp</t>
  </si>
  <si>
    <t>Leeds</t>
  </si>
  <si>
    <t>Minifridge (Insignia), Hangers (x12)</t>
  </si>
  <si>
    <t>Hangers (x10), Bed Risers, Ice Cube Tray, Minifridge (Midea) (NOT PICTURED)</t>
  </si>
  <si>
    <t>Storage Bins (x2), Drawer Organizers (x2)</t>
  </si>
  <si>
    <t>Yoga Mat, Extension Cord, Mirror</t>
  </si>
  <si>
    <t>Andrea Brokate Castillo</t>
  </si>
  <si>
    <t>abrokateca@haverford.edu</t>
  </si>
  <si>
    <t>LCC (Latinx)</t>
  </si>
  <si>
    <t>Trash Can, Trash Bags, Cleaner, Rice Cooker, Beauty Box, Mirror, Hand Sanitizer (x2), Windex Wipes, Storage, Broom and Dustpan</t>
  </si>
  <si>
    <t>Cutting Board, Knife, Pot Holder</t>
  </si>
  <si>
    <t>Isabelle Szeto</t>
  </si>
  <si>
    <t>iszeto@haverford.edu</t>
  </si>
  <si>
    <t xml:space="preserve">Lamp </t>
  </si>
  <si>
    <t>Naraly Mayorquin</t>
  </si>
  <si>
    <t>nmayorquin@haverford.edu</t>
  </si>
  <si>
    <t>Bed Risers, Ice Maker, Turtle Mug</t>
  </si>
  <si>
    <t>Mirror, Water Filter, Bowl, Minifridge (Haier), Mugs (x2)</t>
  </si>
  <si>
    <t>Minifridge (Insignia), Party Jenga, Physics Workshop</t>
  </si>
  <si>
    <t xml:space="preserve">Jersson Veliz Hernandez </t>
  </si>
  <si>
    <t xml:space="preserve">Calculator with Charger, Electric Kettle, Hangers (x35), Mirror, Clothing Rack, Extension Cord, Charcoal (X2), White Pencil, Canvases (x2), Trash Can, Minifridge (19) </t>
  </si>
  <si>
    <t>Scissors, Laptop Stand</t>
  </si>
  <si>
    <t>Mirror, Trash Can, Laundry Bag, Plate, Hangers (x10), Bowl</t>
  </si>
  <si>
    <t>Hangers (x8), Measuring Cup, Tape, Sensu Fan</t>
  </si>
  <si>
    <t>Hangers (x5), Sharpies (x9), Pen</t>
  </si>
  <si>
    <t>Hangers (x15), First Aid Kit, Tape, Storage Bin, Scissors, Notecards, Lufa, Toilet Paper, Lightbulbs (x3)</t>
  </si>
  <si>
    <t>Desk Lamp, Trash Can, String, Hangers (x8), Notebook, Alarm Clock, Notebook, Shoe Horn, Lanyard, Minifridge (HiSense black Cube), Mirror, Cork Board, Cleaner</t>
  </si>
  <si>
    <t>Ryotaro Sakazaki</t>
  </si>
  <si>
    <t>rsakazaki@haverford.edu</t>
  </si>
  <si>
    <t>Trash Can, Lamp, Paper, Hangers (x4), Trash Bags, Wipes, Hand Sanitizer,  Binders (x3), Folders (x2)</t>
  </si>
  <si>
    <t>Storage Bin, Paper Clips, Colored Pencils, Ruler, Stapler, Notecards, Pencils (x8), Expo Markers (x2), Paper, Hole Punch, Binder</t>
  </si>
  <si>
    <t>Boahen Kwake</t>
  </si>
  <si>
    <t>Dish Soap, Gloves, Sponge, Extension Cord (No Photo Of this Order)</t>
  </si>
  <si>
    <t>Pritha Aryal</t>
  </si>
  <si>
    <t>paryal@haverford.edu</t>
  </si>
  <si>
    <t xml:space="preserve">Mug, Cheese Grater, Bowl, Fryer, Shot Glasses (x4), Wine Glass (x2), Mug, Shaker, Can Opener, Desk Lamp, Cutting Board, Egglplant Dish, Candle Holder, Hot Pad (x2), Cork Coaster, Decor, Cordial Glasses (x4), Jade Roller, Plant (x2), Trash Can </t>
  </si>
  <si>
    <t>Rupert Lim</t>
  </si>
  <si>
    <t>rlim1@haverford.edu</t>
  </si>
  <si>
    <t>Desk Lamp, Markers (x3), Suction Cups (x2), Wipes, Tape, Colored Pencils, Notebooks (x2)</t>
  </si>
  <si>
    <t>Tape, Pens (x3), Wipes, Suction Cup, Post Its, Hand Sanitizer</t>
  </si>
  <si>
    <t>Anuj Poddar</t>
  </si>
  <si>
    <t>apoddar@haverford.edu</t>
  </si>
  <si>
    <t>Trash Can, Fan</t>
  </si>
  <si>
    <t>Hangers (x7), Lamp, Trash Can, Storage Bin (Have Photo just debating name)</t>
  </si>
  <si>
    <t>Minifrdige (Sunbeam), Bed Risers, Trash Can, Books (x4), Hangers (x5), Mirror</t>
  </si>
  <si>
    <t>Jacob Foster</t>
  </si>
  <si>
    <t>jfoster@haverford.edu</t>
  </si>
  <si>
    <t>Yarnall</t>
  </si>
  <si>
    <t>Cork Board, Tape (x2), Toothbrushes (x2), Stickers, Ruler, Sensu Fans (x5), Embroidery Thread, Tacs, Clothespins (x5), Binder Clips, Paper Clips, Folder, Plants (x2)</t>
  </si>
  <si>
    <t>Dory Coloring Book</t>
  </si>
  <si>
    <t>Mirror, Bed Risers, Tape (x2), Hangers (x4), Mugs (x2), Post It Notes, Ziplocs, Minifridge (Insignia)</t>
  </si>
  <si>
    <t xml:space="preserve">Ali Gulamhusein </t>
  </si>
  <si>
    <t>Computation Notebook, Hangers (x5), Roledex, Book, Board Games (x2), HDMI Cords (x5), Desk Lamp, Minifridge (Haier), Thermometer,  bandaids</t>
  </si>
  <si>
    <t>Minifridge (Sunbeam), Trash Can</t>
  </si>
  <si>
    <t>Folder Organizer, Swiffer, Swiffer Pads (x2)</t>
  </si>
  <si>
    <t>Over The Door Hanger, Jar, Command Hook, Painting, Desk Lamp, Hangers (x8), Mini blue Speaker and Charging Cord</t>
  </si>
  <si>
    <t>Minifridge (Danby Designer)</t>
  </si>
  <si>
    <t>Storage Bin, Bucket, Trash Can, Hangers (x3), Bowl, Tupperware, Chopstickeks, Knife, Utensil Case</t>
  </si>
  <si>
    <t>Minifridge (Yoleo), Trash Can, Desk Lamp, Hangers (x6), Water Bottle, Marker</t>
  </si>
  <si>
    <t>Hangers (x15), Mirror, Minifridge (Insignia)</t>
  </si>
  <si>
    <t>Hangers (x5), Gauze Pads, Tape, Hair Clip, Hair Dryer, Lufa, Make up remover wipes</t>
  </si>
  <si>
    <t>Hair Dryer, Hair Straightner, Desk Lamp, Hand Sanditizer, Minifridge (Emerson)</t>
  </si>
  <si>
    <t>Pillow, Mirror, Minifridge (Daewoo), Hand Sanitizer, Tape (x2), Tide Fabric Spray, Bookmarks (x3), Sticky Notes (x2), Hair Clips (x2), Storage Box, Dryer Sheets, Vitamin C Pills, Hangers (x10), Reusable Silverware in a Case, Spoons (x2), Trash Can</t>
  </si>
  <si>
    <t>Christian Castillo</t>
  </si>
  <si>
    <t xml:space="preserve">ccastillo@haverford.edu </t>
  </si>
  <si>
    <t>Mirror, Trash Can, Hangers, Ethernet Cord</t>
  </si>
  <si>
    <t>Trash Can, Storage Basket, Books (x4), Yoga Mat, Desk Lamp, Push Up Bars, Index Cards, Little Man, Minifridge (Arctic Fresh)</t>
  </si>
  <si>
    <t>Minifridge (RCA - tall large Black), Glass Jar, Mirror, Tennis Ball</t>
  </si>
  <si>
    <t>Minifridge (Sunbeam - white cue green sticker on top left), Desk Lamp</t>
  </si>
  <si>
    <t>Desk Lamp, Fan, Extension Cord, Pencils (x2), Pens, Trash Can, Plate, Hanger (x5), Notebooks (x5), Mirror, Minifridge (Danby Designer)</t>
  </si>
  <si>
    <t>Graph Paper, Scissors, Masks, Clorox Wipes, Lotion (x2), Bar Soap</t>
  </si>
  <si>
    <t>Jialin Pu</t>
  </si>
  <si>
    <t>jpu@haverford.edu</t>
  </si>
  <si>
    <t>Storage Bin, Desk Lamp (x2), Crock Pot</t>
  </si>
  <si>
    <t>Zhazira Iskakova</t>
  </si>
  <si>
    <t>ziskakova@haverford.edu</t>
  </si>
  <si>
    <t>Laundry Bin, Notebook, Hanging Storage, Resolve Carpet Cleaner, Health Tape, Embroidery Thread</t>
  </si>
  <si>
    <t>Andy Wang</t>
  </si>
  <si>
    <t>awang3@haverford.edu</t>
  </si>
  <si>
    <t>Minifridge (Haier white covered in stickers), Trash Can</t>
  </si>
  <si>
    <t>Badmitton Racket, Toilet Paper (x3), Notebooks (x3), Notebooks (x2), Shuttle Cocks, Face Clenser, Yoga Mat (x2), Storage Cube</t>
  </si>
  <si>
    <t>Shiyuan Fang</t>
  </si>
  <si>
    <t>gfang@haverford.edu</t>
  </si>
  <si>
    <t>Trash Can, Desk Lamp, Hangers (x10)</t>
  </si>
  <si>
    <t>Trash Can, Hangers (x20), Scissors, Clothespins (x2), Pencil, Knife, Masks (x10), Switched Mirror for a new one</t>
  </si>
  <si>
    <t>Minifridge (Emerson), Hangers (x12), Trash Can, Desk Lamp</t>
  </si>
  <si>
    <t>Mirror, Toilet Cleaner, Emergency (x5), Hangers (x15), Minifridge (Haier) (NOT PICTURED)</t>
  </si>
  <si>
    <t>Minifridge (Haier) (NOT PICTURED)</t>
  </si>
  <si>
    <t>Essential Oil Diffuser, Essential Oils (x4), Hangers (x7), Lanyard, Peg Board</t>
  </si>
  <si>
    <t>Mengqi (Amaris) Zou</t>
  </si>
  <si>
    <t>azou@haverford.edu</t>
  </si>
  <si>
    <t>Minifridge (Sunbeam), Trash Can, Utensil Holder</t>
  </si>
  <si>
    <t>Desman Ward</t>
  </si>
  <si>
    <t>dward@haverford.edu</t>
  </si>
  <si>
    <t>Crocked Mirror, Bed Risers, Shoe Tray, Red Desk Lamp, Coffee Filters, Frother, Trash Can, Stool</t>
  </si>
  <si>
    <t>Cork Board (x2), Thumb Tacks, Small Bowl, Margarita Glass</t>
  </si>
  <si>
    <t>Mug, Terrarium, Trash Can</t>
  </si>
  <si>
    <t>Minifridge (Haier), Standing Fan, Book, Tape, Pushpins, Binder Clips (x3), Sharpie (x2)</t>
  </si>
  <si>
    <t>Minifridge (Diplomat), Desk Lamp, Drying Rack, Bowl, Fork, Spoon, Knife, Hangers (x10)</t>
  </si>
  <si>
    <t>Minifrdige (Insignia) Pirates of the Carribean DVD</t>
  </si>
  <si>
    <t>Minifride (Haier) Lamp, Mirror, Containers (x2) (NOT PICTURED)</t>
  </si>
  <si>
    <t>Lamp, Mirror, Hangers (x15), Rolling Cart, Minifridge (Emerson)</t>
  </si>
  <si>
    <t>Standing Lamp, Mirror, Minifridge (Emerson), Tent, Hangers (x6), Match Box, Sticker, Pot, Storage  (x4) (NOT PICTURED)</t>
  </si>
  <si>
    <t>Minifridge (Emerson), Lamp</t>
  </si>
  <si>
    <t>Emile Roth</t>
  </si>
  <si>
    <t>ekroth@haverford.edu</t>
  </si>
  <si>
    <t>Standing Lamp, Binders (x2)</t>
  </si>
  <si>
    <t>Conner Mcwhan</t>
  </si>
  <si>
    <t>cmcwhan@haverford.edu</t>
  </si>
  <si>
    <t>Hangers (x10), Toothbrush, Mirror, Water Filter, Cookie Cutter, Hair Clip, Acne Cream</t>
  </si>
  <si>
    <t>Minifridge (Insinia), Lacrosse Ball</t>
  </si>
  <si>
    <t>Annabell Flint</t>
  </si>
  <si>
    <t>aflint@haverford.edu</t>
  </si>
  <si>
    <t>Back Roller, Parchment Paper, Plastic Wrap, Mug</t>
  </si>
  <si>
    <t>Aspen Mulik</t>
  </si>
  <si>
    <t>amulik@haverford.edu</t>
  </si>
  <si>
    <t>Hangers (x6) (NOT PICTURED)</t>
  </si>
  <si>
    <t>Fatomato Sow</t>
  </si>
  <si>
    <t>Switched Lamp Out, Mirror</t>
  </si>
  <si>
    <t>Hangers (x12), Hand Warmers, Minifridge (Insignia)</t>
  </si>
  <si>
    <t>Marina Ghobrial</t>
  </si>
  <si>
    <t>mghobrial@haverford.edu</t>
  </si>
  <si>
    <t>Minifridge (Sunbeam), Standing Lamp, Hangers (x12), Umbrella</t>
  </si>
  <si>
    <t>Minifrdige (Figidare), Desk Lamp, Brita, Waterbotles, Glass Jar, Hangers (x48)</t>
  </si>
  <si>
    <t>Luke De Valpine</t>
  </si>
  <si>
    <t>ldevalpine@haverford.edu</t>
  </si>
  <si>
    <t>Fan, Desk Lamp, Hangers (x20), Water Bottle</t>
  </si>
  <si>
    <t>Dino Vallem</t>
  </si>
  <si>
    <t>dvallem@haverford.edu</t>
  </si>
  <si>
    <t>Bed Risers, Essential Oil Diffuser, Eraser, Contact Solution, Humidifier, Lotion</t>
  </si>
  <si>
    <t xml:space="preserve">Minifridge (Insignia), Lightbulbs (x2), Hangers (x20) </t>
  </si>
  <si>
    <t>Minifridge (Igloo), Skeleton, Firsbee, Cork Screw, Extension Cord, Book</t>
  </si>
  <si>
    <t xml:space="preserve">Fan, Cleaner, Cleaner Wipes, Minifridge (Danby Designer) </t>
  </si>
  <si>
    <t>Desk Lamp, Cleaner, Minifridge (Ingsignia) (NOT PICTURED)</t>
  </si>
  <si>
    <t>Mateo Taylor</t>
  </si>
  <si>
    <t>mtaylor3@haverford.edu</t>
  </si>
  <si>
    <t>Board Game, Sticker, Hanger (x3)</t>
  </si>
  <si>
    <t>Kaleigh Bodak</t>
  </si>
  <si>
    <t>kbodak@haverford.edu</t>
  </si>
  <si>
    <t>Mirror, Umbrella, Board Game</t>
  </si>
  <si>
    <t>Minifridge (GE), Umbrella, Mug, Notebook</t>
  </si>
  <si>
    <t>Minifridge (RCA)</t>
  </si>
  <si>
    <t>Minifridge (Daewoo)</t>
  </si>
  <si>
    <t>Chloe Sachs</t>
  </si>
  <si>
    <t>csachs@haverfor.edu</t>
  </si>
  <si>
    <t>Hangers (x13), Books (x5)</t>
  </si>
  <si>
    <t>Minifridge (Sunbeam), Mirror, Hangers (x15), Tupperwares (x3), Plate, Spoon, Bed Risers, Knife, Measuring Cups, Cutting Board, Cleaning Soap, Chip Clips (x2), Umbrella, Storage (x2), Box, Desk Lamp, Mirror Hangers, Plate</t>
  </si>
  <si>
    <t>Minifridge (Igloo)</t>
  </si>
  <si>
    <t>Minifridge (Haier), Mirror</t>
  </si>
  <si>
    <t>Minifridge (Sunbeam), Toothbrush Holder, Sponge, Hangers (x10), Masks, First Aid Kit, Shower Caddy</t>
  </si>
  <si>
    <t>Sarah Campbell</t>
  </si>
  <si>
    <t>sccampbell@haverford.edu</t>
  </si>
  <si>
    <t>Book (x2), Puzzle</t>
  </si>
  <si>
    <t>Jorge Paz Reyes</t>
  </si>
  <si>
    <t>jpazreyes@haverford.edu</t>
  </si>
  <si>
    <t>Dish Drain, Pans (x2), Futon, Lamp, Lysol, Mirror</t>
  </si>
  <si>
    <t>Keyla Ramirez</t>
  </si>
  <si>
    <t>kramirez@haverford.edu</t>
  </si>
  <si>
    <t>Mirror, Lamp, Hangers (x20)</t>
  </si>
  <si>
    <t>Kira Chaney</t>
  </si>
  <si>
    <t>kchaney@haverford.edu</t>
  </si>
  <si>
    <t>Binders (x2), Paper (x2), Trash Can, Clothespins (x5), Pinwheel</t>
  </si>
  <si>
    <t>Ayooluwa Akinkunmi</t>
  </si>
  <si>
    <t>aakinkunmi@haverford.edu</t>
  </si>
  <si>
    <t xml:space="preserve">Metal Bin, Light, Gaming Light, Hangers (x5), Decor A </t>
  </si>
  <si>
    <t>Binder, Ice Cube Tray, Tennis Ball, Ball, Hand Sanitizer, Hangers (x7)</t>
  </si>
  <si>
    <t>Mirror</t>
  </si>
  <si>
    <t>Lena Solano</t>
  </si>
  <si>
    <t>lsolano@haverford.edu</t>
  </si>
  <si>
    <t>Excersise Ball, Bakin Pan, Cutting Board, Shot Glass</t>
  </si>
  <si>
    <t>Bukky Olugbeko</t>
  </si>
  <si>
    <t>bolugbeko@haverford.edu</t>
  </si>
  <si>
    <t>Tupperwares (x3), Mugs (x2), Lamp, Serving Spoon</t>
  </si>
  <si>
    <t>Elena Vol</t>
  </si>
  <si>
    <t>evol@haverford.edu</t>
  </si>
  <si>
    <t>Trash Can, Fan, Alumninum Foil, Baking Soda, Tupperware, Plante Knife, Storage Container, Mirror, Bowl, Buillten Board, Hangers (x3), Storage (x3), Knives (x2), Forks (x2), Spoons (x2), Laundry Detergent</t>
  </si>
  <si>
    <t>Minifridge (Avanti)</t>
  </si>
  <si>
    <t>Tova Gordon</t>
  </si>
  <si>
    <t>tgordon@haverford.edu</t>
  </si>
  <si>
    <t>Hangers (x20), Bowls (x2)</t>
  </si>
  <si>
    <t>Minifridge (Sunbeam)</t>
  </si>
  <si>
    <t xml:space="preserve">Minifrdige (Insignia) </t>
  </si>
  <si>
    <t>Minifridge (RCA - Not Photographed), Thumbtacks (x8), Mirror, Skate Board, Helmet, Mirror Hangers</t>
  </si>
  <si>
    <t>Hongyi Zhang</t>
  </si>
  <si>
    <t>hzhang3@haverford.edu</t>
  </si>
  <si>
    <t>Laundry Basket, Trashcan (x2), Hangers (x20), Bowls (x5), Plates (x5), Lamps (x2), Serving Untensils (x2), Tupperwares (x2), Dish Rack, Toilet Paper,  Forks (x5), Knives (x5)</t>
  </si>
  <si>
    <t>Milan Arado</t>
  </si>
  <si>
    <t>marado@haverford.edu</t>
  </si>
  <si>
    <t>Plate, Mug, Trash Can, Hangers (x5)</t>
  </si>
  <si>
    <t>Lily Zawisny</t>
  </si>
  <si>
    <t>lzawisny@haverford.edu</t>
  </si>
  <si>
    <t>Bed Risers, Coffee Machine</t>
  </si>
  <si>
    <t>Lucas Rubin</t>
  </si>
  <si>
    <t>lrubin@haverford.edu</t>
  </si>
  <si>
    <t>Decor (x2), Sticker</t>
  </si>
  <si>
    <t>Gwyneth Beiter</t>
  </si>
  <si>
    <t>gbeiter@haverford.edu</t>
  </si>
  <si>
    <t>Trash Can, Hangers (x6), Lightbulb</t>
  </si>
  <si>
    <t>Katelyn Vo</t>
  </si>
  <si>
    <t>kvo@haverford.edu</t>
  </si>
  <si>
    <t>Rolling Storage, Wine Glasses (x2)</t>
  </si>
  <si>
    <t>Desk, Lamp</t>
  </si>
  <si>
    <t>Minifridge (Danby Designer), Coffee Pot, Mug, Spray Bottle</t>
  </si>
  <si>
    <t>Desk Lamp (x2), Minifridge (Sunbeam)</t>
  </si>
  <si>
    <t>Sophia Brown</t>
  </si>
  <si>
    <t>sbrown3@haverford.edu</t>
  </si>
  <si>
    <t>Fan</t>
  </si>
  <si>
    <t>Kaiya Inouye</t>
  </si>
  <si>
    <t>kinouye@haverford.edu</t>
  </si>
  <si>
    <t>Storage Bin</t>
  </si>
  <si>
    <t>Mata Njochanthra</t>
  </si>
  <si>
    <t>wngochanth@haverford.edu</t>
  </si>
  <si>
    <t>Mirror, Dish Rack, Storage (x2), Hair Dryer, Lamp, Hooks (x5), Curling Iron, Umbrella, Shoe Rack, Cork Board (x2), Bucket</t>
  </si>
  <si>
    <t>Jiangnan Lu</t>
  </si>
  <si>
    <t>jlu2@haverford.edu</t>
  </si>
  <si>
    <t>Knifeblock with Knives, Pot, Hangers (x16), Phone Cases (x2), Masks, Tupperwares (x5), Tape, Staking Shelf, Utensils (x5), Table, Trash Can</t>
  </si>
  <si>
    <t>Ramona Pierce</t>
  </si>
  <si>
    <t>repierce@haverford.edu</t>
  </si>
  <si>
    <t>Lauren Martin</t>
  </si>
  <si>
    <t>lmmartin@haverford.edu</t>
  </si>
  <si>
    <t>Tupperware, Binder, Plates, Claculator, Clothespins (x20), Paint Tray, Water Color Pad, Paintbrushes (x5), Sculpting Utensils, Mirror, Fan, Notecards</t>
  </si>
  <si>
    <t>Alexandar Dehaas</t>
  </si>
  <si>
    <t>adehaas@haverford.edu</t>
  </si>
  <si>
    <t>Cork Board, Binder, Folder, Tap, Pins</t>
  </si>
  <si>
    <t>Ava Grudko</t>
  </si>
  <si>
    <t>agrudko@haverford.edu</t>
  </si>
  <si>
    <t>Bowls (x5), Staples, Stapler, Staple Remover, White Out Pen, Ruler, Folder</t>
  </si>
  <si>
    <t>Michael Pyo</t>
  </si>
  <si>
    <t>mpyo@haverford.edu</t>
  </si>
  <si>
    <t>Stickers (x2), White out Pen</t>
  </si>
  <si>
    <t>Patrick Byars</t>
  </si>
  <si>
    <t>pbyars@haverford.edu</t>
  </si>
  <si>
    <t>Plate, Bowl, Spoon, Fork, Knife</t>
  </si>
  <si>
    <t>Minifrdige (RCA), Buckets (x2), Storage</t>
  </si>
  <si>
    <t xml:space="preserve">Fan, Desk Lamp  </t>
  </si>
  <si>
    <t>Hetti Hsia</t>
  </si>
  <si>
    <t>hhsia@haverford.edu</t>
  </si>
  <si>
    <t>Champagne Glasses (x12), Tupperware</t>
  </si>
  <si>
    <t>Sachs Sachs</t>
  </si>
  <si>
    <t>ssachs@haverford.edu</t>
  </si>
  <si>
    <t>Laptop Fan, Dishes (x3), Plates (x3), Extension Cord, Swiffer, Bed Risers, Books (x2), Riser</t>
  </si>
  <si>
    <t>Misha Griffin</t>
  </si>
  <si>
    <t>mmgriffin@haverford.edu</t>
  </si>
  <si>
    <t>Pot, Hangers (x12)</t>
  </si>
  <si>
    <t>Tara Steere</t>
  </si>
  <si>
    <t>tsteere@haverford.edu</t>
  </si>
  <si>
    <t>Mug, Lightbulb</t>
  </si>
  <si>
    <t>Knife, Peeler, Desk Lamp, Dish Rack</t>
  </si>
  <si>
    <t>Masha Kilibarda</t>
  </si>
  <si>
    <t>mkilibarda@haverford.edu</t>
  </si>
  <si>
    <t>Hangers (x4)</t>
  </si>
  <si>
    <t>Toshi Chin</t>
  </si>
  <si>
    <t>tchin@haverford.edu</t>
  </si>
  <si>
    <t>Fan, Folder, Charger, Hangers (x4), Scissors</t>
  </si>
  <si>
    <t>Shoe Rack, Mirror, Fan</t>
  </si>
  <si>
    <t>Grace Chen</t>
  </si>
  <si>
    <t>gtchen@haverford.edu</t>
  </si>
  <si>
    <t>Owl Vase</t>
  </si>
  <si>
    <t>Minifridge (Black sunbeam cube photod)</t>
  </si>
  <si>
    <t>Juliet Young</t>
  </si>
  <si>
    <t>jryoung@haverford.edu</t>
  </si>
  <si>
    <t>Jinu Ryu</t>
  </si>
  <si>
    <t>jryu@haverford.edu</t>
  </si>
  <si>
    <t>Folders, Pencil Sharpener, Pencils (x3), Sharpie, Bin</t>
  </si>
  <si>
    <t>Emma Kirk</t>
  </si>
  <si>
    <t>ekirk@haverford.edu</t>
  </si>
  <si>
    <t>Expo Markers (x5), Whiteboard, Hangers (x5)</t>
  </si>
  <si>
    <t>Mia Peifer</t>
  </si>
  <si>
    <t>mpeifer@haverford.edu</t>
  </si>
  <si>
    <t>Tennis Ball, Hangers (x5), Binder Clips (x3)</t>
  </si>
  <si>
    <t>Priya Nwakanma</t>
  </si>
  <si>
    <t>pnwakanma@haverford.edu</t>
  </si>
  <si>
    <t>Masa Hasegawa</t>
  </si>
  <si>
    <t>mhasegawa@haverford.edu</t>
  </si>
  <si>
    <t>Hangers (x13), Knife, Dish Drain, Pans (x2), Ladle, Serving Utensils (x2)</t>
  </si>
  <si>
    <t>Joseph Busch</t>
  </si>
  <si>
    <t>jbusch@haverford.edu</t>
  </si>
  <si>
    <t>Stepstool</t>
  </si>
  <si>
    <t>Henry Bishop</t>
  </si>
  <si>
    <t>hbishop@haverford.edu</t>
  </si>
  <si>
    <t>Corkboard, Pushpins (x8)</t>
  </si>
  <si>
    <t>Rhianna Searle</t>
  </si>
  <si>
    <t>rsearle@haverford.edu</t>
  </si>
  <si>
    <t>Hangers (x3)</t>
  </si>
  <si>
    <t>Aaron Tokay</t>
  </si>
  <si>
    <t>atokay@haverford.edu</t>
  </si>
  <si>
    <t>Planter</t>
  </si>
  <si>
    <t>Toilet Paper (x2), Crayons, Coloring Book, Book</t>
  </si>
  <si>
    <t>Elizabeth Quillen</t>
  </si>
  <si>
    <t>equillen@haverford.edu</t>
  </si>
  <si>
    <t>Alexa David-Lang</t>
  </si>
  <si>
    <t>adavidlang@haverford.edu</t>
  </si>
  <si>
    <t>Shower Bag, Expo Markers (x3), Yarn</t>
  </si>
  <si>
    <t>Nadav Gilad-Muth</t>
  </si>
  <si>
    <t>ngiladmuth@haverford.edu</t>
  </si>
  <si>
    <t>Hangers (x5)</t>
  </si>
  <si>
    <t xml:space="preserve">Seth Anderson </t>
  </si>
  <si>
    <t>sanderson@haverford.edu</t>
  </si>
  <si>
    <t>Hangers (x15)</t>
  </si>
  <si>
    <t>Desk lamp, Umbrella, Bowls, Fairy Lights (x2), Board Games (x2) Colored Pencils, Markers, Vase, Lego Parrot, Thumbtacks, Corkboard</t>
  </si>
  <si>
    <t>Umme Orthy</t>
  </si>
  <si>
    <t>uorthy@haverford.edu</t>
  </si>
  <si>
    <t>Shampoo (x2), Lotion, Mirror</t>
  </si>
  <si>
    <t>Alia Abulgazieva</t>
  </si>
  <si>
    <t>aabulgazie@haverford.edu</t>
  </si>
  <si>
    <t>Notebook, Hooks (x2)</t>
  </si>
  <si>
    <t>Sakina Gulhamhusein</t>
  </si>
  <si>
    <t>sgulhamhuse@haverford.edu</t>
  </si>
  <si>
    <t>Pitcher, Swiffer, Tension Rod, Mugs (x2), Coughdrops, Pads (x10)</t>
  </si>
  <si>
    <t>Taylor DiFilippo</t>
  </si>
  <si>
    <t>tdifilippo@haverford.edu</t>
  </si>
  <si>
    <t>Maya Cohen Shields</t>
  </si>
  <si>
    <t>mcohenshie@haverford.edu</t>
  </si>
  <si>
    <t>Folder, Paper (x3), Etched Glass Film</t>
  </si>
  <si>
    <t>Arika Freeman Gritter</t>
  </si>
  <si>
    <t>afreemangr@haverford.edu</t>
  </si>
  <si>
    <t>Standing Lamp</t>
  </si>
  <si>
    <t>Jay Whitesell</t>
  </si>
  <si>
    <t>jwhitesell@haverford.edu</t>
  </si>
  <si>
    <t>Standing Lamp, Straws (x4), Ladle, Chopsticks, Mug, Expo Marker (x4), Whiteboard</t>
  </si>
  <si>
    <t>Narisara Mayer</t>
  </si>
  <si>
    <t>nmayer@haverford.edu</t>
  </si>
  <si>
    <t>Miron Ranjitkar</t>
  </si>
  <si>
    <t>mranjitkar@haverford.edu</t>
  </si>
  <si>
    <t>Drying Rack, Charging Cord, Book</t>
  </si>
  <si>
    <t>Nicole Li</t>
  </si>
  <si>
    <t>jli9@haverford.edu</t>
  </si>
  <si>
    <t>Cups (x2), Clip Board, Hangers (x20), Modeling Clay, Calculator, Party Cups, Tape, Electric Kettle, Pencils, Coloring Book, Nail Polish, Storage Box, Laundry Hamper, Index Cards, Dry Erase Markers (x5), Hair Rollers</t>
  </si>
  <si>
    <t>Johany Ramirez-Martinez</t>
  </si>
  <si>
    <t>jramirezma@haverford.edu</t>
  </si>
  <si>
    <t>Electric Kettle</t>
  </si>
  <si>
    <t>Markers (x40), Whiteboard, Folders (x2)</t>
  </si>
  <si>
    <t>Toilet Paper (x5), Mug, Bowl Set, Cutting Board</t>
  </si>
  <si>
    <t>Famo Haji</t>
  </si>
  <si>
    <t>fshaji@haverford.edu</t>
  </si>
  <si>
    <t>Toaster, Electric Kettle, Mini Waffle Maker, Dish Drain, Whiteboard, Board Games (x2), Puzzles (x2), Silverware Tray, Cork Board, Cutting Board, Plates (x3), Planter, Wisk</t>
  </si>
  <si>
    <t>My Khuc</t>
  </si>
  <si>
    <t>mkhuc@haverford.edu</t>
  </si>
  <si>
    <t>Laundry Basket, Hangers (x30), Water Filter (x2), Desk Lamp, Speaker, Electric Kettle</t>
  </si>
  <si>
    <t>Abigail Pauls</t>
  </si>
  <si>
    <t>apauls@haverford.edu</t>
  </si>
  <si>
    <t>Bed Risers (x2), Storage Bins (x3)</t>
  </si>
  <si>
    <t>Joshwai Nevarez</t>
  </si>
  <si>
    <t>jsharp@haverford.edu</t>
  </si>
  <si>
    <t>Railroad</t>
  </si>
  <si>
    <t>Toothpaste, Toothbrush, Mask, Deodorant</t>
  </si>
  <si>
    <t>Janet Hernandez</t>
  </si>
  <si>
    <t>jhernande2@haverford.edu</t>
  </si>
  <si>
    <t>Bathroom Stool, Toilet Paper (x3), Extension Cord, Bed Risers</t>
  </si>
  <si>
    <t>Nada Aly</t>
  </si>
  <si>
    <t>naly@haverford.edu</t>
  </si>
  <si>
    <t>Bed Risers, White Board</t>
  </si>
  <si>
    <t>Jack Vice</t>
  </si>
  <si>
    <t>jvice@haverford.edu</t>
  </si>
  <si>
    <t>Desklamp (x2), Fork, Hanger, Bed Risers, Teapot</t>
  </si>
  <si>
    <t>Julia Ortiz</t>
  </si>
  <si>
    <t>Standing Fan, Dressor Storage</t>
  </si>
  <si>
    <t>Charlie Crawford</t>
  </si>
  <si>
    <t>cmcrawford@haverford.edu</t>
  </si>
  <si>
    <t>French Press, Bun Steamer, Jar</t>
  </si>
  <si>
    <t>Jullian Chanda</t>
  </si>
  <si>
    <t>jchanda@haverford.edu</t>
  </si>
  <si>
    <t xml:space="preserve">Desklamp  </t>
  </si>
  <si>
    <t>Calculator, Notecards, Folding Table, Thermometer</t>
  </si>
  <si>
    <t>Rami Nasr</t>
  </si>
  <si>
    <t>rnasr@haverford.edu</t>
  </si>
  <si>
    <t>Hangers (x10), Desk Lamp, Paper, Tennis Ball, Pyrex, Tap, Highlighter (x3), Pencils (x3), Pens (x3)</t>
  </si>
  <si>
    <t>Faye Yam</t>
  </si>
  <si>
    <t>fyam@haverford.edu</t>
  </si>
  <si>
    <t>Bed Risers, Hangers (x5)</t>
  </si>
  <si>
    <t>Aysha Syeda</t>
  </si>
  <si>
    <t>asyeda@haverford.edu</t>
  </si>
  <si>
    <t>Plates (x3), Hair Dryer, Tennis Ball, Ziplocs (x5), Hangers (x3)</t>
  </si>
  <si>
    <t>Maya Cheam</t>
  </si>
  <si>
    <t>mcheam@haverford.edu</t>
  </si>
  <si>
    <t>Storage (x3), Bed Risers, Cutting Board, Pots (x3), Tupperware (x2), Plates (x4), Trash Can, Pitcher, Glass Jar (x2), Wisk, Rubber Scrapper, Bowls (x3) (NOT PICTURED)</t>
  </si>
  <si>
    <t>Camille Roberts</t>
  </si>
  <si>
    <t>caroberts@haverford.edu</t>
  </si>
  <si>
    <t>Textbooks (x2), Standing Lamp, Kettle, Notebook (x3), Paper (x3), Envelopes, Parchment Paper (x2), Plastic Food Wrap, Extension Cord, Glass Jars (x5), Clorox Toilet Cleaner, Shower Caddy, Spatula (x2), Rubber Scrapper (x3)</t>
  </si>
  <si>
    <t>Ilana Lehrman</t>
  </si>
  <si>
    <t>ilehrman@haverford.edu</t>
  </si>
  <si>
    <t>Mixing Bowl, Tupperware, Glasses (x3), Peeler, Frother, Tape, Ladel, Lightbulb, Hangers (x8)</t>
  </si>
  <si>
    <t>Jared Bishop</t>
  </si>
  <si>
    <t>jbishop@haverford.edu</t>
  </si>
  <si>
    <t>Cutting Boards (x4), TV</t>
  </si>
  <si>
    <t>Minifridge (Midea - Black Cube with apple sticker)</t>
  </si>
  <si>
    <t>Sonia (Sunny) Martinez</t>
  </si>
  <si>
    <t>smartinez1@haverford.edu</t>
  </si>
  <si>
    <t>Hangers (x19), Weights (x2), Plant, Puzzle, Brita, Pitcher, Swiffer, Tupperwares (x2), Desktop Storage, Waterbottle, Painting, Record, Pitcher, Straws (x5), Chopsticks, Measuring Spoons, Bottle Opener, Clips (x2), Roku TV, Vaccum, Cork Board, Plates (x8), Mixing Bowl, Jar, Soup Mug, Jewlery Box, Pan, Phone Case, Toilet Cleaner, Brush Cleaner, No Touch Key, Gloves, Scrubby, Cleaner, Screen Protector, Frying Pan, Hand Sanitizer, Ice Cube Tray (x2), Tupperware, Knives (x2), Tape, Peeler, Air Freshener, Glasses (x4), Sifter, Spoons (x5), Forks (x5), Brita Filter, Cotten Pads, Baking Pan, Flashlight, Large Mug, Sunscreen, Rubbing Alcohol, Glass Cups (x2), Shower Caddy, Fairy Light</t>
  </si>
  <si>
    <t>Angela Um</t>
  </si>
  <si>
    <t>aum@haverford.edu</t>
  </si>
  <si>
    <t>Books (x3)</t>
  </si>
  <si>
    <t>Tupperware (x3), Hangers (x10), Shower Caddy, Tissues, Storage (x3), Dish Tray, Drying Rack, First Aid Kit, Lotion (NOT PICTURED)</t>
  </si>
  <si>
    <t xml:space="preserve">Piarina Atoche Viera </t>
  </si>
  <si>
    <t>Desktop Organizers (x2), White Board (x2), Shower Caddy, Chop Sticks, Tupperware, Measuring Cup, Bowl, Plastic Knives (x3), Markers (x4), Weight, Plate, Mug, Drawing Pad, Storage (x3), Bowls, Tupperwares (x2), Disposable Plates, Pencil Case, Scissors, Post Its, Pencils (x5), Hangers (x2), Folder, Desktop Pad</t>
  </si>
  <si>
    <t>Emma Yu</t>
  </si>
  <si>
    <t>syu4@haverford.edu</t>
  </si>
  <si>
    <t xml:space="preserve">Hangers (x20) </t>
  </si>
  <si>
    <t>Tupperware, Bowls, Bandages, Lens Cleaner, Binder, Notebook, Clipboard Folder, Paper, Poster Paper, Paint Brushes (x2), Tape, Popsickle Sticks, Glue, Paper Fan, Colored Pencils, Spray Adhesive</t>
  </si>
  <si>
    <t>Gabe Franklin</t>
  </si>
  <si>
    <t>gfranklin@haverford.edu</t>
  </si>
  <si>
    <t>Laundry Detergent, Bowls (x2), Hangers (x10), Water Bottle, Mug (x2), Toothbrush (x3), Masks, Cup, Spoon, Fork, Knife, Poster, Bed Risers, Humidifier, CRE, Brita Filters (x2), Folders (x2), Composition  Book (x3), Trash Can</t>
  </si>
  <si>
    <t>Vic Brown</t>
  </si>
  <si>
    <t>vebrown@haverford.edu</t>
  </si>
  <si>
    <t>Fact or Fiction Game, Pot Lid, Storage Drawers (x2), Yoga Mat, Folder</t>
  </si>
  <si>
    <t>Samanu Kurra</t>
  </si>
  <si>
    <t>skurra@haverford.edu</t>
  </si>
  <si>
    <t>Bed Risers, Books (x2), Pen, Pencil</t>
  </si>
  <si>
    <t>Bed Risers, Hangers (x6)</t>
  </si>
  <si>
    <t>Clara Morton</t>
  </si>
  <si>
    <t>cmorton@haverford.edu</t>
  </si>
  <si>
    <t>Glasses (x8), Yarn (x2)</t>
  </si>
  <si>
    <t>Pendo Kamau</t>
  </si>
  <si>
    <t>pkamau@haverford.edu</t>
  </si>
  <si>
    <t>Book, Frames (x2), Bowl, Glasses (x3)</t>
  </si>
  <si>
    <t>Sheryl Avornu</t>
  </si>
  <si>
    <t>savornu@haverford.edu</t>
  </si>
  <si>
    <t>Trash Can</t>
  </si>
  <si>
    <t>Minifridge (Avanti), Hangers (x3) (NOT PICTURED)</t>
  </si>
  <si>
    <t>Ivy Xu</t>
  </si>
  <si>
    <t>ixu@haverford.edu</t>
  </si>
  <si>
    <t>Thumbtacks</t>
  </si>
  <si>
    <t>Minifridge (Avalon), Planter, Makeup Caddy, Storage, Folders (x2), Binders (x2), Coin Jar</t>
  </si>
  <si>
    <t>Trinity Ellis</t>
  </si>
  <si>
    <t>ttellis@haverford.edu</t>
  </si>
  <si>
    <t>Tupperware, Mixing Bowls, Pot (x2), Coffee Filter, Baking Dish, Cutting Board, Straw, Measuring Cups, Planters, Hangers (x3), Spatula, Toilet Paper (x3)</t>
  </si>
  <si>
    <t>Tennis Ball, Blender Bottle, Alarm Clock, Book, Biore Pore Strips, Hangers (x2), Rubbing Alcohol, Storage (x4)</t>
  </si>
  <si>
    <t>Lyla Saigal</t>
  </si>
  <si>
    <t>lsaigal@haverford.edu</t>
  </si>
  <si>
    <t>Binder, Tupperware (x3), Bowls (x20), Disposable Cups (x3), Tupperware</t>
  </si>
  <si>
    <t>Emmeline Riendeau</t>
  </si>
  <si>
    <t>eriendeau@haverford.edu</t>
  </si>
  <si>
    <t>Instapot, Chair, Hangers (x3)</t>
  </si>
  <si>
    <t>Lily Rokita</t>
  </si>
  <si>
    <t>lrokita@haverford.edu</t>
  </si>
  <si>
    <t>Bed Risers, Poster, Mug, Electronice Adapter</t>
  </si>
  <si>
    <t>Nora Nijbroek</t>
  </si>
  <si>
    <t>nnijbroek@haverford.edu</t>
  </si>
  <si>
    <t>Shower Caddy (x2)</t>
  </si>
  <si>
    <t>Samuel Washington</t>
  </si>
  <si>
    <t>swashington@haverford.edu</t>
  </si>
  <si>
    <t xml:space="preserve">Drawing Pads (x2), Books (x6), Paint (x2), Pencil Case, Composition Notebooks (x3), Ipad Cases (x4), Laptop Case, Highlighters (x11), Paint Tray, Brush Pens, Spray Adhesive, Pencils (x5), Markers (x7), Flashlight, Post its (x4), Notebooks (x3), </t>
  </si>
  <si>
    <t>Sarah Kotapka</t>
  </si>
  <si>
    <t>skotapka@haverford.edu</t>
  </si>
  <si>
    <t>Storage Bin, Vampire Weekend CD, Just Dance, Board Game</t>
  </si>
  <si>
    <t>Lauren Kocurek</t>
  </si>
  <si>
    <t>lkocurek@haverford.edu</t>
  </si>
  <si>
    <t>Folders (x2), Book</t>
  </si>
  <si>
    <t>Con Moutsatsos</t>
  </si>
  <si>
    <t>cmoutsatso@haverford.edu</t>
  </si>
  <si>
    <t>Board Game, Book, Scale</t>
  </si>
  <si>
    <t>Alexandra Miranda Castellon</t>
  </si>
  <si>
    <t>amirandaca@haverford.edu</t>
  </si>
  <si>
    <t>Wok, Storage, Cheese Grater, Mini Vaccum</t>
  </si>
  <si>
    <t>Jazmin Osorio</t>
  </si>
  <si>
    <t>josoriorod@brynmawr.edu</t>
  </si>
  <si>
    <t>Bryn Mawr</t>
  </si>
  <si>
    <t>Storage Bins (x2), Binders (x2), Plastic Inserts (x20), Toothbrush, Body Lotion</t>
  </si>
  <si>
    <t>Eustace Ubah</t>
  </si>
  <si>
    <t>Scissors, Paper, Pen, Binder, Water Bottle</t>
  </si>
  <si>
    <t>Rubbing Alcohol, Charging Cord, Conditioner</t>
  </si>
  <si>
    <t>Reesha Gandhi</t>
  </si>
  <si>
    <t>rgandhi@haveford.edu</t>
  </si>
  <si>
    <t>Lantern, Small Table, Fan, Decor Box, Book, Binder, Margarita Glasses (x2), Jar (x2), Paint (x12), Paper, Decor, Folders (x3)</t>
  </si>
  <si>
    <t>Grace Tarry</t>
  </si>
  <si>
    <t>gtarry@haverford.edu</t>
  </si>
  <si>
    <t>Yarn (x2), Hangers (x3), Vase, Crochet Hook (x2), Hooks (x2)</t>
  </si>
  <si>
    <t>Umika Pathak</t>
  </si>
  <si>
    <t>upathak@haverford.edu</t>
  </si>
  <si>
    <t>Baking Dish, Toaster</t>
  </si>
  <si>
    <t>Margaret Wang</t>
  </si>
  <si>
    <t>ywang9@haverford.edu</t>
  </si>
  <si>
    <t>Cork Board, Light, Storage Cubes, USB Extender, Tupperware, Alarm Clock, Hangers (x15), X Box Controller, Fan, Phone Stand, Hair Clip, Hooks (x3), Post Its (x2)</t>
  </si>
  <si>
    <t>Noah Gilbert</t>
  </si>
  <si>
    <t xml:space="preserve">Notebook  </t>
  </si>
  <si>
    <t>Kayla Ramierez</t>
  </si>
  <si>
    <t>Trash Can, Plug in Air Freshener</t>
  </si>
  <si>
    <t>Folders (x4)</t>
  </si>
  <si>
    <t>Deklan McKay</t>
  </si>
  <si>
    <t>dmckay@haverford.edu</t>
  </si>
  <si>
    <t>Books (x5), Baking Pans (x2)</t>
  </si>
  <si>
    <t>Binder w/ Paper, Calculator</t>
  </si>
  <si>
    <t>Mug, Shot Glass, Water Cup, Ball Jar, Rubbing Alcohol</t>
  </si>
  <si>
    <t>Ruojia Zhang</t>
  </si>
  <si>
    <t>dzhang2@haverford.edu</t>
  </si>
  <si>
    <t>Off Campus</t>
  </si>
  <si>
    <t>Pitcher, Ball Jar, Notebook, Board Game, Utensil Holder, Spoon, Fork, Knife, Notecards</t>
  </si>
  <si>
    <t>Shellyn Yang</t>
  </si>
  <si>
    <t>xyang1@haveford.edu</t>
  </si>
  <si>
    <t>Toaster, Tampons, Safety Glasses, Spoon, Cheese Knife, Folder (x2)</t>
  </si>
  <si>
    <t>Bowls (x3), Plates (x2), Phone Case (x2), Hand Sanitizer, Phone Wallet, Notebook, Notepad, Pencil Case, Scissors, Sharpie, Pen, Expo Markers (x2), Dry Eraser, Mugs (x2)</t>
  </si>
  <si>
    <t>Paper, Cup, Spoons (x4), Mirror Hangers (x2)</t>
  </si>
  <si>
    <t xml:space="preserve">Calculators (x2), Small Trinket Box with Shells, Notebooks (x4), Foldscope </t>
  </si>
  <si>
    <t>Ana Quezada Garay</t>
  </si>
  <si>
    <t>aquezada@haverford.edu</t>
  </si>
  <si>
    <t>Bed Risers (x5), Helmet, Scrubbie, Book Mark, Notebook, Alarm Clock, Storage, Laundry Drying Bag</t>
  </si>
  <si>
    <t>Forks (x4), Spoons (x2)</t>
  </si>
  <si>
    <t>Yiying Rong</t>
  </si>
  <si>
    <t>yrong@haverford.edu</t>
  </si>
  <si>
    <t>Mini Curling Iron, Masks (x2), Folder, Under the Bed Bag</t>
  </si>
  <si>
    <t>Storage Bins (x2), Pencil, Spoon, Paper Clips</t>
  </si>
  <si>
    <t>Aamina Dhar</t>
  </si>
  <si>
    <t>adhar@haverford.edu</t>
  </si>
  <si>
    <t>Push pins, Pencils (x3)</t>
  </si>
  <si>
    <t>Kenneth Hsu</t>
  </si>
  <si>
    <t>khsu@haverford.edu</t>
  </si>
  <si>
    <t>Laptop Case, Table, Dressor, Books (x4)</t>
  </si>
  <si>
    <t>Emmett Huiskamp</t>
  </si>
  <si>
    <t>ehuiskamp@haverford.edu</t>
  </si>
  <si>
    <t>Decor, Board Game, Bubbles, Pencils (x12), Colored Pencils, Tissue Paper, Frame, Highlighters (x3), Bookmark, Post-it, Book (x2), Oxford Blues CDs (x40), DVD</t>
  </si>
  <si>
    <t>cliu1@haverford.edu</t>
  </si>
  <si>
    <t>White Board, Marker, Tape Dots, Eraser, Mirror Hooks (NOT PICTURED)</t>
  </si>
  <si>
    <t xml:space="preserve"> Shiza Ranamagar</t>
  </si>
  <si>
    <t>sranamagar@haverford.edu</t>
  </si>
  <si>
    <t>Strainer, Lanyard, Grid, Plates (x4), Gold Picture Organizer</t>
  </si>
  <si>
    <t>jsfoster@haverford.edu</t>
  </si>
  <si>
    <t>Chair, Large Containers (x3), Small Containers (x2), Notebook, Bandage Roll, Pack of Bandages, Hanger, Masquerade Mask, Chopsticks, Spool of Twine, Post-its, Notebook, Water Bottle, Flip-flops, White Folding Table, Blue Skull</t>
  </si>
  <si>
    <t>Oliver Willson</t>
  </si>
  <si>
    <t>Mugs (x2), Hangers (x10), Marker, Storage, Comb</t>
  </si>
  <si>
    <t>Stickers (x12)</t>
  </si>
  <si>
    <t>Carter Weese</t>
  </si>
  <si>
    <t>cweese@haverford.edu</t>
  </si>
  <si>
    <t>Pink Paper, Binder, Clasp Hanger, Twister, Pack of Staples</t>
  </si>
  <si>
    <t>Mariel U'ren</t>
  </si>
  <si>
    <t>Oven Mitt, Plastic Clips (x3), Hand Soap, TubShroom, Plastic Funnel, Stand Mixer Whisk Attachment, Pack of Masks, Garbage Bags, Plastic Bottle Stopper, Soap Holder</t>
  </si>
  <si>
    <t>Dhrthi Ahuja</t>
  </si>
  <si>
    <t>dahuja@haverford.edu</t>
  </si>
  <si>
    <t>Puzzle, Books (x2), Slow Cooker, Measuring Cup, Dishrack, Small Decorative Plate</t>
  </si>
  <si>
    <t>Cloth foldable Storage Box, Calculator, Stapler, Pack of Staples, Plastic Bag, Paper Plates, Pads</t>
  </si>
  <si>
    <t>Luca Ponticello</t>
  </si>
  <si>
    <t>lponticell@haverford.edu</t>
  </si>
  <si>
    <t>Club</t>
  </si>
  <si>
    <t>Hangers (x3), Command Hooks (x8)</t>
  </si>
  <si>
    <t>Seamus Fraser</t>
  </si>
  <si>
    <t>sfraser@haverford.edu</t>
  </si>
  <si>
    <t>Books (x2)</t>
  </si>
  <si>
    <t>David Punya</t>
  </si>
  <si>
    <t>dpunyatawe@haverford.edu</t>
  </si>
  <si>
    <t>Coffee Grinder</t>
  </si>
  <si>
    <t>Note Pads, Flashcards, Sharpie, Marker, Crayon, Pens (x2)</t>
  </si>
  <si>
    <t>Shiza Ranamagar</t>
  </si>
  <si>
    <t>String Lights, Deco, Cat Bowl, Bag Clips (x4)</t>
  </si>
  <si>
    <t>Blender, Hangers (x5), Oven Dish, Liquid Cleaner, Highlighters (x6)</t>
  </si>
  <si>
    <t>Lorelle Adames</t>
  </si>
  <si>
    <t>ladames@haverford.edu</t>
  </si>
  <si>
    <t>Plastic Basket, Alarm, Sunscreen, Flashlight, Makeup</t>
  </si>
  <si>
    <t>Hangers (x3), Spoons (x2), Cup</t>
  </si>
  <si>
    <t>Callia Weisiger-Vallas</t>
  </si>
  <si>
    <t>cweisigerv@haverford.edu</t>
  </si>
  <si>
    <t>Large Plastic Container, Bundt Pan, Glass Jar, Glass Bottle, Books (x2), Tape, Pen, Posca Pens, Small Wooden Box, Ironing Board</t>
  </si>
  <si>
    <t>William Harris</t>
  </si>
  <si>
    <t>wsharris@haverford.edu</t>
  </si>
  <si>
    <t>Mugs(x3)</t>
  </si>
  <si>
    <t>Joseph DeRosa</t>
  </si>
  <si>
    <t>jderosa@haverford.edu</t>
  </si>
  <si>
    <t>Binder</t>
  </si>
  <si>
    <t>Analise Sanderich</t>
  </si>
  <si>
    <t>asanderich@haverford.edu</t>
  </si>
  <si>
    <t>Halloween Buckets (x3), Plastic Bowl, Pumpkin, Pens (x2), Metal Spider Figurine, Witch Pot, Shot Glasses (x2), Spoon, Mug</t>
  </si>
  <si>
    <t>Minifridge (Frigidaire), Polyfill, Book, Trivial Pursuit, Tape, Crochet Hook</t>
  </si>
  <si>
    <t>Sharpies (x2)</t>
  </si>
  <si>
    <t>Dane Clunk</t>
  </si>
  <si>
    <t>Dclunk@haverford.edu</t>
  </si>
  <si>
    <t>Lamp, Book, Notecards, Q-tip Pack, Glass Jar, Folder</t>
  </si>
  <si>
    <t>Kyle Morano</t>
  </si>
  <si>
    <t>kmorano@haverford.edu</t>
  </si>
  <si>
    <t>Book</t>
  </si>
  <si>
    <t>Luke Mandel</t>
  </si>
  <si>
    <t>lmandel@haverford.edu</t>
  </si>
  <si>
    <t>Coffee Grinder, Lock Box, Monopoly, Keyboard, Keyboard Stand, Keyboard Pedal, Keyboard Plug, Book, Lamp, String Lights, Amp, Extension Cord, Tripod</t>
  </si>
  <si>
    <t>Mia Khuc</t>
  </si>
  <si>
    <t>Decor Pumpkins (x2), Stickers (x7), Bookmarks (x3), Office DVD Set, Deck of Cards, Steinbeck Book, Drinking Jenga, Bubbles (x2), Calvin and Hobbes Book</t>
  </si>
  <si>
    <t>Noah Kogut-Levin</t>
  </si>
  <si>
    <t>nlevin1@haverford.edu</t>
  </si>
  <si>
    <t xml:space="preserve">Supernatural Poster, Highlighters (x2), Drinking Game, Water Guns (x2), Packs of Masks (x2), Notebook, Franz Ferdinad CD, Beer Bowling, Eraser, Advent Calendar, Skull Lights, Leaves, Folding Table </t>
  </si>
  <si>
    <t>Highlighters (x3), Pens (x5), Binder, Tape, Disenfecting Spray</t>
  </si>
  <si>
    <t>Hangers (x9), Pack of KN95 masks, Umbrella, Desk Lamp, Metal spoon, Metal fork (x2), Laundry Basket</t>
  </si>
  <si>
    <t>Anika Venezia</t>
  </si>
  <si>
    <t>avenezia@haverford.edu</t>
  </si>
  <si>
    <t>Cups (x6), Whiteboard, Expo Markers (x2), Whiteboard Eraser, Metal Chopsticks, Metal Fork, Knife, and Spoon</t>
  </si>
  <si>
    <t>Alex Murray</t>
  </si>
  <si>
    <t>acmurray@haverford.edu</t>
  </si>
  <si>
    <t>Folder, Soccer Cleats, Carabiner</t>
  </si>
  <si>
    <t>Levi Kesler</t>
  </si>
  <si>
    <t>lkesler@haverford.edu</t>
  </si>
  <si>
    <t>Desk Lamp, Hanging Lamp, Desk Organizer, Book, Index Cards, Highlighters (x4), Mini Sticky Notes (x3)</t>
  </si>
  <si>
    <t>Drawer Dividers (x2), Star Wars Figures (x6), Red Bag, Tape, Keyboard, Pumpkin, Magnet</t>
  </si>
  <si>
    <t>Pens (x13), Stickers (x3), Tape, Lightbulb, Index Cards, Paint Markers (x5)</t>
  </si>
  <si>
    <t>Mug, Pens (x2), Index Cards</t>
  </si>
  <si>
    <t>Cade Fanning</t>
  </si>
  <si>
    <t>cfanning@haverford.edu</t>
  </si>
  <si>
    <t>Yarn (x4), Glass Bottle, Sunglasses, X-Box Controller, Dictionary, Figurines (x5)</t>
  </si>
  <si>
    <t>Sarah Weill-Jones</t>
  </si>
  <si>
    <t>sweilljone@haverford.edu</t>
  </si>
  <si>
    <t xml:space="preserve">pregnancy test, sink shroom, q-tips, guess who game, toilet paper x2, bundles of wooden spoons and forks, two stickers, cat plate, shampoo, hand soap, and lotion </t>
  </si>
  <si>
    <t>Abigail Miyake</t>
  </si>
  <si>
    <t>amiyake@haverford.edu</t>
  </si>
  <si>
    <t>two baskets, one Sharpie, index cards, three shot glasses, and two ribbons.</t>
  </si>
  <si>
    <t>Cat Decor, Mirror Tiles (x4), String of Lights (x3), Essential Oils, Paper Mache Pumpkins (x6), Umbrella, Pinecones (x14)</t>
  </si>
  <si>
    <t xml:space="preserve">Marissa Coleman </t>
  </si>
  <si>
    <t>mlcoleman@haverford.edu</t>
  </si>
  <si>
    <t>Umbrella, Stuffed Animal, Painting, Heart Decor, Small Squishy Thing, Pumpkin, String Lights, Candle Lights, Ghost Faces (x5)</t>
  </si>
  <si>
    <t>Oilver Eames</t>
  </si>
  <si>
    <t>oeames@haverford.edu</t>
  </si>
  <si>
    <t>Water Bottles (x2)</t>
  </si>
  <si>
    <t>Shak Mamadalieva</t>
  </si>
  <si>
    <t>Calculator, Notebook, Folder</t>
  </si>
  <si>
    <t>Vaccum, Paper Towel Holder, Popcorn Machine</t>
  </si>
  <si>
    <t>Sangrou Peng</t>
  </si>
  <si>
    <t>speng@haverford.edu</t>
  </si>
  <si>
    <t>Lamp (NOT PICTURED)</t>
  </si>
  <si>
    <t>Metal Bin, Pencils, Whiteboard</t>
  </si>
  <si>
    <t>Katherine Johnson</t>
  </si>
  <si>
    <t>kerickson@haverford.edu</t>
  </si>
  <si>
    <t>Happy Birthday Banner, Birthday Sash, Party Glasses Pack, Book</t>
  </si>
  <si>
    <t>Q-tips, Hand Sanitzer, Stickers (x2), Foam Brushes (x2), Paint (x2), Hot Glue Sticks, Hot Glue Gun, Paper, Paint Pallet, Beads, Banner (x2), Streamers, Zombie Sign Lights, Bags (x2), Love Mailbox</t>
  </si>
  <si>
    <t>Ishan Deb</t>
  </si>
  <si>
    <t>ideb@haverford.edu</t>
  </si>
  <si>
    <t>Plates (x2), Packs of Cutlery (x2)</t>
  </si>
  <si>
    <t>Zenzele Greene</t>
  </si>
  <si>
    <t>zgreene@haverford.edu</t>
  </si>
  <si>
    <t>Lightbulbs, Lamps (x2), Expo Marker Pack, Pencil Sharpener, Pins, Paperclips, and Thumbtacks</t>
  </si>
  <si>
    <t>Lamp, Clock, Shower Bar, Books (x6)</t>
  </si>
  <si>
    <t>Jacob Seiji Foster</t>
  </si>
  <si>
    <t>Nintendo switch case, Drawer dividers (x2), Bobby pins (x10) (NOT PICTURED)</t>
  </si>
  <si>
    <t>Nava Mach</t>
  </si>
  <si>
    <t>nmach@haverford.edu</t>
  </si>
  <si>
    <t>Mask</t>
  </si>
  <si>
    <t>Emma Miller</t>
  </si>
  <si>
    <t>emiller6@haverford.edu</t>
  </si>
  <si>
    <t>Hangers (x8)</t>
  </si>
  <si>
    <t>Cullen Worth</t>
  </si>
  <si>
    <t>cworth@haverford.edu</t>
  </si>
  <si>
    <t>Speakers</t>
  </si>
  <si>
    <t>Owen Bluman</t>
  </si>
  <si>
    <t>obluman@haverford.edu</t>
  </si>
  <si>
    <t>Margarita Sign</t>
  </si>
  <si>
    <t>Anika Quezada</t>
  </si>
  <si>
    <t>Hangers (x4), Ironing board, Wok, Spatula, Spoon (x2), Glasses (x2), Chip clip, Plastic bowl, Metal storage bin, Bathroom rug, Pack of paper plates, Ceramic bowl, Ceramic plates (x3), Cooking pot</t>
  </si>
  <si>
    <t>Metal spoon, Metal fork, Hand soap</t>
  </si>
  <si>
    <t>Stapler, Stickers (x5), Garfield comic book, Word search book, Expo marker, Magnet</t>
  </si>
  <si>
    <t>Hangers (x6), Decor sign</t>
  </si>
  <si>
    <t>Graph notebook, Admission office handbook</t>
  </si>
  <si>
    <t>Poster</t>
  </si>
  <si>
    <t xml:space="preserve">Anuj Poddar </t>
  </si>
  <si>
    <t>Tupperware (x2), Hanger Pack (x20), Cricket Ball, Lacrosse Ball (x2)</t>
  </si>
  <si>
    <t>dclunk@haverford.edu</t>
  </si>
  <si>
    <t>Wii, Mug, Index Cards</t>
  </si>
  <si>
    <t>Makayla Coleman</t>
  </si>
  <si>
    <t>mcoleman1@haverford.edu</t>
  </si>
  <si>
    <t>Poster Paper, Paint (x4), Foam Brushes (x2), Sharpie, Paper (x5), Yarn, Plants (x2), Spray Paint, Paper Cutter, Tape</t>
  </si>
  <si>
    <t>Waterbottle</t>
  </si>
  <si>
    <t>Chargers (x3)</t>
  </si>
  <si>
    <t>Diffuser</t>
  </si>
  <si>
    <t>Card Games (x3)</t>
  </si>
  <si>
    <t>Mask, Stickers (x2), Napkins, Tape, Colored Pencils, Scissors, Giftbags (x3)</t>
  </si>
  <si>
    <t>Jackie Moreno</t>
  </si>
  <si>
    <t>jmoreno@haverford.edu</t>
  </si>
  <si>
    <t>Tray, Big Spoon, Lysol, Lights, Bowls (x2),  Plate</t>
  </si>
  <si>
    <t>Plate, Book</t>
  </si>
  <si>
    <t>Maia Roark</t>
  </si>
  <si>
    <t>mroark@haverford.edu3</t>
  </si>
  <si>
    <t>Mugs (x5), Plate, Tupperware (x2), Fake Vines (x3), String Lights, Pens (x3), Glitter Pens (x2), Silicon Bowl, Game, Decor</t>
  </si>
  <si>
    <t>Jakob Maiwald</t>
  </si>
  <si>
    <t>jmaiwald@haverford.edu</t>
  </si>
  <si>
    <t>Lacrosse Ball</t>
  </si>
  <si>
    <t>Large Bowl</t>
  </si>
  <si>
    <t>Hangers (x10), Magnets (x3)</t>
  </si>
  <si>
    <t>Oliver Eames</t>
  </si>
  <si>
    <t>Jack stadnicki</t>
  </si>
  <si>
    <t>jstadnicki@haverford.edu</t>
  </si>
  <si>
    <t>Philly Map, Pictures (x4), Water Color Book, Letter Board, Stickers (x32)</t>
  </si>
  <si>
    <t>Guitar</t>
  </si>
  <si>
    <t>Projector, Hanger Pack (x10), Notebook, Folders (x2), Paper, Small Bottles</t>
  </si>
  <si>
    <t>Bracelets (x4), Scrunchies, Candles (x5), Key Chain, Fake Eyelashes</t>
  </si>
  <si>
    <t>Pastel Pen Set, Highlighters (x4), Pens (x5)</t>
  </si>
  <si>
    <t>Pack of Pens, Pack of Colored Pens, Pack of Pencils, Scented Pens (x6), Face Masks, Bag of Plastic Cutlery</t>
  </si>
  <si>
    <t>Headphones,  Flashlight, USB, Clock, Bag, Binder, No-Touch Key, Toothpaste (NOT PICTURED)</t>
  </si>
  <si>
    <t>Sunny Martinez</t>
  </si>
  <si>
    <t>Mexican Flag (NOT PICTURED)</t>
  </si>
  <si>
    <t>Hangers (x5), Sticker, Spoon, Paint Brushes (x2), Paint (x3), Tape Measurer</t>
  </si>
  <si>
    <t>Dry-erase markers (x6), Clothespin (x2), Spoon, Flashlight, Stickers (x3), Mugs (x2), Duster kit, Nail Clipper, Cord holder (x2), Shark, Ball</t>
  </si>
  <si>
    <t>Yarn, Binder, Book</t>
  </si>
  <si>
    <t>Books (x5)</t>
  </si>
  <si>
    <t>Oilver Wilson</t>
  </si>
  <si>
    <t>Trash can, spray bottle, pack of hangers</t>
  </si>
  <si>
    <t>Elana Sewell-Grossman</t>
  </si>
  <si>
    <t>esewellgro@haverford.edu</t>
  </si>
  <si>
    <t>Conditioner, forks (x2), expo markers (x2)</t>
  </si>
  <si>
    <t>Forks (x2), spray bottle, and stickers (x5)</t>
  </si>
  <si>
    <t>Fidget spinner, crochet kit, yarn (x2), and stickers (x7)</t>
  </si>
  <si>
    <t>Iris Horn</t>
  </si>
  <si>
    <t>ihorn@haverford.edu</t>
  </si>
  <si>
    <t>Keyboard, Measuring Spoons, Essential Oil Diffuser</t>
  </si>
  <si>
    <t>Posters (x3), Artwork, Bandaids (x4), Mask, Patches (x2), Yarn (x2), Pens (x4), Cutlery</t>
  </si>
  <si>
    <t>Staples, Moleskin Notebook, Haverford Notebook, Book, Folder, Computation Notebook, Photograph</t>
  </si>
  <si>
    <t>Isabel Russack</t>
  </si>
  <si>
    <t>irussack@haverford.edu</t>
  </si>
  <si>
    <t>Magdalena Steckler</t>
  </si>
  <si>
    <t>msteckler@haverford.edu</t>
  </si>
  <si>
    <t>Wooden Box, Pencils (x2), Fork, Knife, Hangers (x6)</t>
  </si>
  <si>
    <t>Emma Doti</t>
  </si>
  <si>
    <t>edoti@haverford.edu</t>
  </si>
  <si>
    <t xml:space="preserve">Tupperware (x2), Solo Cups, Magic Erasers (x2), Book Set (Wheel of Time), Notebook, Decor (x2), Painters Tape, Storage Bins (x2), Pipe Cleaners </t>
  </si>
  <si>
    <t>Fake tree, notebooks (x2), Plate, Pens (x2) Tool kit</t>
  </si>
  <si>
    <t>Erik Fagerstrom</t>
  </si>
  <si>
    <t>efagerstro@haverford.edu</t>
  </si>
  <si>
    <t>Ornament</t>
  </si>
  <si>
    <t>Books (x3), Ink (x4), Puzzle, Binder, Paint Brushes (x2)</t>
  </si>
  <si>
    <t>jrebels@haverford.edu</t>
  </si>
  <si>
    <t>Pads, Jewlery Box, Microwave Plate, Mug, Geode, Tape, LED Lamps (x2), Laptop Stand</t>
  </si>
  <si>
    <t>Simon Thill</t>
  </si>
  <si>
    <t>sthill@haverford.edu</t>
  </si>
  <si>
    <t>Spoons (x4), Cup, Knives (x2), Keychain, Cutting Board, Waterbottle, First Aid Kit, Bowl, Emergency (x3), Shampoo</t>
  </si>
  <si>
    <t>Hamper, Paint (x4), Highlighter (x4), Pen</t>
  </si>
  <si>
    <t>Sticker Sheets (x15), Tape (x2)</t>
  </si>
  <si>
    <t>Jewelry Box, Conditioner, Heat Spray, Jar of Buttons, Dried Leaves, Stickers (x16), Bow, Postcard</t>
  </si>
  <si>
    <t>Tala Qaraqe</t>
  </si>
  <si>
    <t>tqaraqe@haverford.edu</t>
  </si>
  <si>
    <t>Green Markers (x5), Black Markers (x5), Red Markers (x6), Purple Marker (x1)</t>
  </si>
  <si>
    <t>Folders (x2), Tupperwares (x2), Rice Cooker</t>
  </si>
  <si>
    <t>Storage, Acryllic Storage, Pack of Masks, Pack of Disposable Forks</t>
  </si>
  <si>
    <t>lcortes@haverford.edu</t>
  </si>
  <si>
    <t>Dominoes, Basketball, Bowl</t>
  </si>
  <si>
    <t>Minifridge (Black Galanz), Small Wooden Box, Hanger</t>
  </si>
  <si>
    <t>Tiffany Lan</t>
  </si>
  <si>
    <t>tlan@haverford.edu</t>
  </si>
  <si>
    <t>Cadbury</t>
  </si>
  <si>
    <t>Plate, Standing Lamp</t>
  </si>
  <si>
    <t>Emma Noonan</t>
  </si>
  <si>
    <t>enoonan@haverford.edu</t>
  </si>
  <si>
    <t>String lights (x2)</t>
  </si>
  <si>
    <t>Wreath, Garland, Thermos</t>
  </si>
  <si>
    <t xml:space="preserve">Uyen Tran </t>
  </si>
  <si>
    <t>Notebooks (x2), Teapot</t>
  </si>
  <si>
    <t>Hangers (x3), Pens (x4), Scissors</t>
  </si>
  <si>
    <t>Hangers (x2), Paper Towel Stand, Book</t>
  </si>
  <si>
    <t>Drawer Dividers (x2), Container, Embroidery Thread Can, Chargers (x3), Notepad, Speaker, Ipad Stand, External Battery, Desk Lamp</t>
  </si>
  <si>
    <t>Kieran Mcdonnell</t>
  </si>
  <si>
    <t>kmcdonnel1@haverford.edu</t>
  </si>
  <si>
    <t>Bodywash, Pencils (x6), Spoons (x4), Box of Clothespins, Mug, Hangers (x2)</t>
  </si>
  <si>
    <t>Minifridge (Black + Decker)</t>
  </si>
  <si>
    <t>Hangers (x14), Minifridge (Black + Decker), Bedrisers</t>
  </si>
  <si>
    <t>Notepaper, Post-it Notes (x2)</t>
  </si>
  <si>
    <t>Ifenrir@haverford.edu</t>
  </si>
  <si>
    <t>Suitcase, Yoga Mat, Laptop Case, KN95 Box of Masks</t>
  </si>
  <si>
    <t>Bowls (x4), Painting, Book, Lightbulb, Mirror</t>
  </si>
  <si>
    <t>Arjun Bothra</t>
  </si>
  <si>
    <t>abothra@haverford.edu</t>
  </si>
  <si>
    <t>Books (x3), CDs (x30), Lava Lamp</t>
  </si>
  <si>
    <t>Peter LaRochelle</t>
  </si>
  <si>
    <t>plarochell@haverford,edu</t>
  </si>
  <si>
    <t>Body Wash, Shampoo, Toothpaste</t>
  </si>
  <si>
    <t>Heewon Yang</t>
  </si>
  <si>
    <t>Hyang1@haverford,edu</t>
  </si>
  <si>
    <t>Books (x4), Notebook, Keyboard, Shower Curtain Liner, Extension Cord, Mouse, Handsoap, Picture Frame</t>
  </si>
  <si>
    <t>Hangers (x2), Notepad, Binder</t>
  </si>
  <si>
    <t>Jose Salas</t>
  </si>
  <si>
    <t>jsalas@haverford.edu</t>
  </si>
  <si>
    <t>Power Strip, Deck of Cards</t>
  </si>
  <si>
    <t>Glass, Tupperware</t>
  </si>
  <si>
    <t>cfrimpong@haverford.edu</t>
  </si>
  <si>
    <t>Set of Foam Hair Rollers, Cosmetics Bag, Cutting Board, Mirror, Pen, Folder, Envelopes (x3), Blender, Storage, Nail File Kit, Beauty Blender, Eye Shadow (x2), Lotion (x2)</t>
  </si>
  <si>
    <t>Notebooks (x2), Looseleaf Paper Pack, Eraser, Books (x6)</t>
  </si>
  <si>
    <t>Hannah Cohen</t>
  </si>
  <si>
    <t>hrcohen@haverford.edu</t>
  </si>
  <si>
    <t>Books (x9)</t>
  </si>
  <si>
    <t>Pando Kamau</t>
  </si>
  <si>
    <t>Hangers (x8), Folder, Notebook (x2), Clorox Wipes, String lights, Scissors, Post-its, Umbrella</t>
  </si>
  <si>
    <t>Tweezers, Hair Clip, Over the Door Mirror Hooks (x2), Door Hanger</t>
  </si>
  <si>
    <t>Storage (x7), Essential Oils (x5), Extension Cords (x2), Hand Sanitizer (x2), Masks (x5), Hook, Scrubie, Hangers (x5)</t>
  </si>
  <si>
    <t>Bianca Rosas</t>
  </si>
  <si>
    <t>brosas@haverford.edu</t>
  </si>
  <si>
    <t>Disenfectant Wipes, Hangers (x5), Essential Oil Diffuser, Sunscreen, Masks (x2), Mirror</t>
  </si>
  <si>
    <t>Pencils (x2), Colored Pencils (x3), Book, Notebook, Eraser, Folders (x2)</t>
  </si>
  <si>
    <t>Abby Davis</t>
  </si>
  <si>
    <t>ardavis@haverford.edu</t>
  </si>
  <si>
    <t>String Lights, Breath Right Nasal Strips, Solo Cup Pack, Masks (x3), Headphones</t>
  </si>
  <si>
    <t>Folders (x4), Pencils (x2), Calligraphy Pen, Charcoal (x2), Extension Cord, Blick Matte Fixative Spray</t>
  </si>
  <si>
    <t>Twin XL Sheets, Magnet</t>
  </si>
  <si>
    <t>Lamp, Puzzle, Over the Door Hanger</t>
  </si>
  <si>
    <t>Lotion, Emercen-C (x4)</t>
  </si>
  <si>
    <t>Binder, Pack of Twist Colored Pencils, Sharpie, Dove Soap Bar, Charging Cord</t>
  </si>
  <si>
    <t>Charger, Pencil Cup, Envelope, Index Cards</t>
  </si>
  <si>
    <t>Microwave, Mug, Tennis Ball, Hangers (x4), Lotion, Masks (x2), Forks (x4)</t>
  </si>
  <si>
    <t>Paeton Smith-hiebert</t>
  </si>
  <si>
    <t>psmithhieb@haverford.edu</t>
  </si>
  <si>
    <t>Book, Paper, Jar, Lotion, Morrocan Oil</t>
  </si>
  <si>
    <t>Wooden Box, Emergen-C (x15), Plastic Dreidel, Water Gun, Echo Dot, Book</t>
  </si>
  <si>
    <t>Sumit Lacey</t>
  </si>
  <si>
    <t>Folders (x2), Highlighters (x2)</t>
  </si>
  <si>
    <t>Colored Pencil, Stickers, Twin XL Sheet Set</t>
  </si>
  <si>
    <t xml:space="preserve">Umbrella  </t>
  </si>
  <si>
    <t>Hangers (x10), Alarm Clock, Hackysack, Decks of Cards (x3), Magnetic Solitare Set, Charger, Notebook, Books (x2), Charger Brick</t>
  </si>
  <si>
    <t>Books (x16), CD</t>
  </si>
  <si>
    <t>Matt Denton</t>
  </si>
  <si>
    <t>mdenton@haverford.edu</t>
  </si>
  <si>
    <t>Desk Lamp, Laptop Case, Hair Drier, Battery Pack</t>
  </si>
  <si>
    <t>Books (x2), Post-its, Container of Embroidery Floos (&gt;20 skeins)</t>
  </si>
  <si>
    <t>Paint (x5), Decorative Shell Dish</t>
  </si>
  <si>
    <t>Note pad, Charging Butt, Apple Pencil, Measuring Tape, Hangers (x2)</t>
  </si>
  <si>
    <t xml:space="preserve">Pencil Lead, Sticky Note, Mario Party 8 Wii Game, Book </t>
  </si>
  <si>
    <t>Ira Reid</t>
  </si>
  <si>
    <t>Pack of Hangers, Pencil (x3), Highlighter</t>
  </si>
  <si>
    <t>Card, Comb, Eraser, Bobby Pins</t>
  </si>
  <si>
    <t>Hannah Jensen-Sizelov</t>
  </si>
  <si>
    <t>Dry Erase Markers (x3), Bobby Pins, Camping Chair, Dry Erase Board</t>
  </si>
  <si>
    <t xml:space="preserve">Majdouline Benlahcen </t>
  </si>
  <si>
    <t>Storage (x2), Measuring Cups, Bins (x2), Ladle, Mug, Tupperware (x5), Bag of Masks, Pads</t>
  </si>
  <si>
    <t>ebien@haverford.edu</t>
  </si>
  <si>
    <t>Bedrisers, Keyboard Cover/Laptop Case, Lotion (x2), Shampoo, Soap (x2), Perfume, Tampons, Hairclips, Pack of Pens, Screen Protector, Stickynotes Tabs, Coughdrops, Ziploc Bags (x8), Hangers (x4), Cups (x2), Bandaids</t>
  </si>
  <si>
    <t>Octopus Clothes Hanger</t>
  </si>
  <si>
    <t>Screwdriver Set, Magnetic Book Mark</t>
  </si>
  <si>
    <t>Juliette Ortiz</t>
  </si>
  <si>
    <t>Fake Plants (x2), Poster, Hangers (x8), Toaster</t>
  </si>
  <si>
    <t>viariana atoche</t>
  </si>
  <si>
    <t>batoche@haverford.edu</t>
  </si>
  <si>
    <t>Trash Can, Back Pack, Measuring Cup, Pencil Holder, Hangers (x3), Folder, Basket, Mirror, Utensils (x2), Diffuser, Plate</t>
  </si>
  <si>
    <t>Folder, Hanger</t>
  </si>
  <si>
    <t xml:space="preserve">Spoons (x6), Clothespins (x3), Pencils (x2), Pens (x3), Pot with Lid, Cast Iron Pan, Water Bottle, Folders (x3), Baking Sheet, Mini Composition Notebook </t>
  </si>
  <si>
    <t>August Taylor</t>
  </si>
  <si>
    <t>ataylor1@haverford.edu</t>
  </si>
  <si>
    <t>Book, Construction Paper, Drawing Pad</t>
  </si>
  <si>
    <t>Box of Fairy Lights, Spoons (x2), Pens (x3)</t>
  </si>
  <si>
    <t>Cast Iron Skillet, Sifter, Spoon, Speaker, Ghost Holiday Lights</t>
  </si>
  <si>
    <t>eroth@haverford.edu</t>
  </si>
  <si>
    <t>Water Bottle, Pencil Case, Highlighter Pack, Markers (3), Fairy Lights (x2)</t>
  </si>
  <si>
    <t>Fairy Ball Lights</t>
  </si>
  <si>
    <t>annabelle copeland</t>
  </si>
  <si>
    <t>arcopeland@haverford.edu</t>
  </si>
  <si>
    <t>Tennis Balls (x3)</t>
  </si>
  <si>
    <t>Lilah Craig</t>
  </si>
  <si>
    <t>lecraig@haverford.edu</t>
  </si>
  <si>
    <t>Lotion (x3), Soap, Avene Thermal Spring Water</t>
  </si>
  <si>
    <t>Trash Can, Frame, Clorox Wipes, Box, Chopstickes, Marble Box, Pens (x8), Pencil Pouch, Stack of Dryer Sheets, Tide Pen, Bol, Fake Plant</t>
  </si>
  <si>
    <t>Projector, Computer Charger, Paint Brushes (x3), Paper Clips (x4), Bed Risers, Binder Clips (x3)</t>
  </si>
  <si>
    <t>Projector</t>
  </si>
  <si>
    <t>Water Bottle, Stickers, Charger</t>
  </si>
  <si>
    <t xml:space="preserve">HCA </t>
  </si>
  <si>
    <t>Pencils (x3)</t>
  </si>
  <si>
    <t>Bee Storie</t>
  </si>
  <si>
    <t>bstorie@haverford.edu</t>
  </si>
  <si>
    <t>Lexi Newport</t>
  </si>
  <si>
    <t>lnewport@haverford.edu</t>
  </si>
  <si>
    <t>Desk Organizer, Paper Plates, Charging Port, Mousepad, Flashdrive, Water Bottle, Fake Plants (x4)</t>
  </si>
  <si>
    <t>Cup, Travel Cup, Charger, Bike Computer</t>
  </si>
  <si>
    <t>Fake Plants (x2), Tissues, Masks (x3), Charging Cords (x3), First Aid Kit, Mesh Laundry Bag, Storage Kit</t>
  </si>
  <si>
    <t>Hanging organizer, decor lights, foldable bin, bag</t>
  </si>
  <si>
    <t>Bandaids, Tums, vitamins, command strips, moisturizer, water bottle, Ibuprofen</t>
  </si>
  <si>
    <t>Dish drainer, 8 plates, 3 bowls, cutting board, storage container, 10 forks, 10 spoons, 10 knives, strainer,  2 pots, 8 cups, baking pans, muffin tin, tongs, spatula, slotted spoon, wooden spoon, can opener</t>
  </si>
  <si>
    <t>Desk Organizer, Card, Bowls (x3)</t>
  </si>
  <si>
    <t>Pens (x3)</t>
  </si>
  <si>
    <t>Phone Card Holders (x2)</t>
  </si>
  <si>
    <t>Mug, Magnets, Notepad, Page Tabs, Command Strips, Pen, Box</t>
  </si>
  <si>
    <t>Pens (x5), Kneaded Eraser, Rubber Bands (x3), Paper Clips (x6)</t>
  </si>
  <si>
    <t>Daniel Bhatti</t>
  </si>
  <si>
    <t>dbhatti@haverford.edu</t>
  </si>
  <si>
    <t>Desk organizer</t>
  </si>
  <si>
    <t>Lotion, Hair Spray</t>
  </si>
  <si>
    <t>Rusdom Dubash</t>
  </si>
  <si>
    <t>Volleyball, Hacky Sack, Bouncy Ball, Resistance Band</t>
  </si>
  <si>
    <t>Storage Bins (x3), Plate, Spoon, Bowl, Hole Punch (x2), Textbooks (x2), Binders (x2), Binder Clips, Pot, Strainer, Air Fryer</t>
  </si>
  <si>
    <t>Erick Iraheta</t>
  </si>
  <si>
    <t xml:space="preserve">eiraheta@haverford.edu </t>
  </si>
  <si>
    <t>Dish Drain, Pot (x2), Cutting Board (x2), Tupperware (x3), Skillet, Shoe Rack, Blender, Trash Can, Over the Door Hanger, First Aid Kit, Avocado Holder, Cups (x2), Shower Caddy, Bucket, Measuring Cup, Measuring Spoon, Spoon, Fork, Knives (x2), Utensil Holder, Dust Pan, Toilet Paper</t>
  </si>
  <si>
    <t>Broom, Dust Pan, Trash Can, Shower Rack, Mirror, Skillet (x2), Wire Bowl, Bowls (x3), Clorox Wipes, Clorox Spray, Laundry Bin, Tongs, Pyrex, Desk Organizer</t>
  </si>
  <si>
    <t>Shoe Rack, Over the Door Hanger, Cutting Board, Standing Lamp, Pads, Tampons, Trash Can (x2), Night Stand, Fan, Mirrors (x2), Toilet Paper (x3), Detergent, Fabulosa, Pan, Bowl (x3), Plate (x4), Spatula, Chopsticks, Knife, Spoon, Peeler, Tongs, Measuring Cup, Spoon Rest, Pyrex (x2), Tupperware (x3), Dish Rack, Placemats (x4), Pot, Lights, Skillets (x2), Pans (x2)</t>
  </si>
  <si>
    <t>Estrellita Ramirez</t>
  </si>
  <si>
    <t>eramirezar@haverford.edu</t>
  </si>
  <si>
    <t>Trash Can, Plates (x3), Pot, Tupperware, Spatula, Spoon, Fork, Ladle, Mirror Hanngers (x2), Mirror</t>
  </si>
  <si>
    <t>Gabriel Franklin</t>
  </si>
  <si>
    <t>Toilet Paper, Shower liner, Scissor, Soap, Spoons (x2), Forks (x2), Knifes (x2), Deodarant, Face Mask, Lotion  (x2), Scrubby, Nail Clipper, Razor, Chopsticks, Plastic Container, Pitcher Filter, Toilet Mat, Drying Rack, Shot Glass, Ice Cube Tray, Hooks (x3), Pyrex, Medicine, Trash Can, Seran Wrap, Toaster, Umbrella, Swiffer, Broom and Dust Pan, Laundry Basket, Mirror</t>
  </si>
  <si>
    <t>Kassandra Rodriguez</t>
  </si>
  <si>
    <t>krodrigue1@haverford.edu</t>
  </si>
  <si>
    <t>Tupperware (x4), Fan, Laundry Detergent, Laundy Stain Remover, Desk Lamp, Notebook, Command strips (x13), Pens (x6), Pencils (x2), Tampons (x12), Mirror, Toilet Paper (x2), Hooks (x10), Charging blocks (x3), Forks (x2), Knifes (x3), Spoons (x6), Icecream Scooper, Shot Glass, Cottonballs, Spatula, Umbrellas (x2), Disinfectant Cleaner, Decor (stacked rocks), Oil, Trashcan, Standing Lamp</t>
  </si>
  <si>
    <t>Current Item Total:</t>
  </si>
  <si>
    <t>Requestor</t>
  </si>
  <si>
    <t>Minifridge</t>
  </si>
  <si>
    <t>Lamp</t>
  </si>
  <si>
    <t>Trashcan</t>
  </si>
  <si>
    <t>Other</t>
  </si>
  <si>
    <t>Michelley Low</t>
  </si>
  <si>
    <t xml:space="preserve">Aida Standerford </t>
  </si>
  <si>
    <t>Blender</t>
  </si>
  <si>
    <t>Sarah Wilcher</t>
  </si>
  <si>
    <t>Jiahan (Nicole) Li</t>
  </si>
  <si>
    <t xml:space="preserve">Gabe Franklin </t>
  </si>
  <si>
    <t>gfranklin</t>
  </si>
  <si>
    <t>Sheet</t>
  </si>
  <si>
    <t>Reference header</t>
  </si>
  <si>
    <t>Column</t>
  </si>
  <si>
    <t>Check-in</t>
  </si>
  <si>
    <t>Check-in date</t>
  </si>
  <si>
    <t>Check-out</t>
  </si>
  <si>
    <t>Current inventory list</t>
  </si>
  <si>
    <t>Weekday</t>
  </si>
  <si>
    <t>Average quantity</t>
  </si>
  <si>
    <t>Monday</t>
  </si>
  <si>
    <t>Tuesday</t>
  </si>
  <si>
    <t>Wednesday</t>
  </si>
  <si>
    <t>Thursday</t>
  </si>
  <si>
    <t>Friday</t>
  </si>
  <si>
    <t>Saturday</t>
  </si>
  <si>
    <t>Sunday</t>
  </si>
  <si>
    <t>Last 15 days</t>
  </si>
  <si>
    <t>In</t>
  </si>
  <si>
    <t>Out</t>
  </si>
  <si>
    <t>Over sold items</t>
  </si>
  <si>
    <t>DIFF</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</si>
</sst>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d/yyyy"/>
    <numFmt numFmtId="166" formatCode="m/d/yy"/>
  </numFmts>
  <fonts count="27">
    <font>
      <sz val="10.0"/>
      <color rgb="FF000000"/>
      <name val="Arial"/>
    </font>
    <font>
      <b/>
      <sz val="11.0"/>
      <color rgb="FF000000"/>
      <name val="Montserrat"/>
    </font>
    <font>
      <name val="Roboto"/>
    </font>
    <font>
      <color rgb="FF000000"/>
      <name val="Docs-Roboto"/>
    </font>
    <font>
      <sz val="10.0"/>
      <color rgb="FF000000"/>
      <name val="Lato"/>
    </font>
    <font>
      <color rgb="FF000000"/>
      <name val="Docs-Lato"/>
    </font>
    <font>
      <sz val="12.0"/>
      <color rgb="FFFFFFFF"/>
      <name val="Roboto"/>
    </font>
    <font>
      <b/>
      <sz val="12.0"/>
      <color rgb="FFD9D9D9"/>
      <name val="Montserrat"/>
    </font>
    <font>
      <b/>
      <sz val="14.0"/>
      <color rgb="FFCCCCCC"/>
      <name val="Montserrat"/>
    </font>
    <font>
      <b/>
      <sz val="14.0"/>
      <color rgb="FFFFFFFF"/>
      <name val="Montserrat"/>
    </font>
    <font>
      <b/>
      <sz val="14.0"/>
      <color rgb="FFFF5C5C"/>
      <name val="Montserrat"/>
    </font>
    <font>
      <sz val="90.0"/>
      <color rgb="FFFFFFFF"/>
      <name val="Roboto"/>
    </font>
    <font>
      <b/>
      <sz val="19.0"/>
      <color rgb="FFFFFFFF"/>
      <name val="Montserrat"/>
    </font>
    <font>
      <sz val="24.0"/>
      <color rgb="FFFFFFFF"/>
      <name val="Roboto"/>
    </font>
    <font/>
    <font>
      <b/>
      <sz val="12.0"/>
      <color rgb="FFFFFFFF"/>
      <name val="Indie Flower"/>
    </font>
    <font>
      <b/>
      <sz val="12.0"/>
      <color rgb="FFCCCCCC"/>
      <name val="Montserrat"/>
    </font>
    <font>
      <sz val="22.0"/>
      <color rgb="FFEFEFEF"/>
      <name val="Roboto"/>
    </font>
    <font>
      <sz val="10.0"/>
      <name val="Roboto"/>
    </font>
    <font>
      <name val="Arial"/>
    </font>
    <font>
      <color rgb="FF000000"/>
      <name val="Arial"/>
    </font>
    <font>
      <color rgb="FF000000"/>
      <name val="Roboto"/>
    </font>
    <font>
      <sz val="11.0"/>
      <color rgb="FF5E5E5E"/>
      <name val="&quot;Google Sans&quot;"/>
    </font>
    <font>
      <color rgb="FF222222"/>
      <name val="Arial"/>
    </font>
    <font>
      <color rgb="FF222222"/>
      <name val="&quot;Helvetica Neue&quot;"/>
    </font>
    <font>
      <b/>
      <sz val="12.0"/>
      <color rgb="FFFFFFFF"/>
      <name val="Montserrat"/>
    </font>
    <font>
      <b/>
      <name val="Montserrat"/>
    </font>
  </fonts>
  <fills count="16">
    <fill>
      <patternFill patternType="none"/>
    </fill>
    <fill>
      <patternFill patternType="lightGray"/>
    </fill>
    <fill>
      <patternFill patternType="solid">
        <fgColor rgb="FFE06666"/>
        <bgColor rgb="FFE06666"/>
      </patternFill>
    </fill>
    <fill>
      <patternFill patternType="solid">
        <fgColor rgb="FFEFEFEF"/>
        <bgColor rgb="FFEFEFEF"/>
      </patternFill>
    </fill>
    <fill>
      <patternFill patternType="solid">
        <fgColor rgb="FFFFFFFF"/>
        <bgColor rgb="FFFFFFFF"/>
      </patternFill>
    </fill>
    <fill>
      <patternFill patternType="solid">
        <fgColor rgb="FF8E7CC3"/>
        <bgColor rgb="FF8E7CC3"/>
      </patternFill>
    </fill>
    <fill>
      <patternFill patternType="solid">
        <fgColor rgb="FF1C272C"/>
        <bgColor rgb="FF1C272C"/>
      </patternFill>
    </fill>
    <fill>
      <patternFill patternType="solid">
        <fgColor rgb="FFFF5C5C"/>
        <bgColor rgb="FFFF5C5C"/>
      </patternFill>
    </fill>
    <fill>
      <patternFill patternType="solid">
        <fgColor rgb="FF6D9EEB"/>
        <bgColor rgb="FF6D9EEB"/>
      </patternFill>
    </fill>
    <fill>
      <patternFill patternType="solid">
        <fgColor rgb="FFFFF2CC"/>
        <bgColor rgb="FFFFF2CC"/>
      </patternFill>
    </fill>
    <fill>
      <patternFill patternType="solid">
        <fgColor rgb="FFD9D2E9"/>
        <bgColor rgb="FFD9D2E9"/>
      </patternFill>
    </fill>
    <fill>
      <patternFill patternType="solid">
        <fgColor rgb="FFF4CCCC"/>
        <bgColor rgb="FFF4CCCC"/>
      </patternFill>
    </fill>
    <fill>
      <patternFill patternType="solid">
        <fgColor rgb="FFD9EAD3"/>
        <bgColor rgb="FFD9EAD3"/>
      </patternFill>
    </fill>
    <fill>
      <patternFill patternType="solid">
        <fgColor rgb="FFFCE5CD"/>
        <bgColor rgb="FFFCE5CD"/>
      </patternFill>
    </fill>
    <fill>
      <patternFill patternType="solid">
        <fgColor rgb="FFD9D9D9"/>
        <bgColor rgb="FFD9D9D9"/>
      </patternFill>
    </fill>
    <fill>
      <patternFill patternType="solid">
        <fgColor rgb="FFC33136"/>
        <bgColor rgb="FFC33136"/>
      </patternFill>
    </fill>
  </fills>
  <borders count="18">
    <border/>
    <border>
      <bottom style="thin">
        <color rgb="FFCCCCCC"/>
      </bottom>
    </border>
    <border>
      <top style="thin">
        <color rgb="FFCCCCCC"/>
      </top>
      <bottom style="thin">
        <color rgb="FFCCCCCC"/>
      </bottom>
    </border>
    <border>
      <top style="thin">
        <color rgb="FFCCCCCC"/>
      </top>
    </border>
    <border>
      <bottom style="thin">
        <color rgb="FFB7B7B7"/>
      </bottom>
    </border>
    <border>
      <top style="thin">
        <color rgb="FFB7B7B7"/>
      </top>
      <bottom style="thin">
        <color rgb="FFB7B7B7"/>
      </bottom>
    </border>
    <border>
      <top style="thin">
        <color rgb="FFB7B7B7"/>
      </top>
      <bottom style="thin">
        <color rgb="FFCCCCCC"/>
      </bottom>
    </border>
    <border>
      <bottom style="thin">
        <color rgb="FF999999"/>
      </bottom>
    </border>
    <border>
      <left style="medium">
        <color rgb="FF666666"/>
      </left>
      <top style="medium">
        <color rgb="FF666666"/>
      </top>
    </border>
    <border>
      <top style="medium">
        <color rgb="FF666666"/>
      </top>
    </border>
    <border>
      <right style="medium">
        <color rgb="FF666666"/>
      </right>
      <top style="medium">
        <color rgb="FF666666"/>
      </top>
    </border>
    <border>
      <left style="medium">
        <color rgb="FF666666"/>
      </left>
    </border>
    <border>
      <right style="medium">
        <color rgb="FF666666"/>
      </right>
    </border>
    <border>
      <left style="medium">
        <color rgb="FF666666"/>
      </left>
      <bottom style="medium">
        <color rgb="FF666666"/>
      </bottom>
    </border>
    <border>
      <bottom style="medium">
        <color rgb="FF666666"/>
      </bottom>
    </border>
    <border>
      <right style="medium">
        <color rgb="FF666666"/>
      </right>
      <bottom style="medium">
        <color rgb="FF666666"/>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8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readingOrder="0" shrinkToFit="0" vertical="center" wrapText="0"/>
    </xf>
    <xf borderId="1" fillId="0" fontId="2" numFmtId="164" xfId="0" applyAlignment="1" applyBorder="1" applyFont="1" applyNumberFormat="1">
      <alignment horizontal="center" readingOrder="0" vertical="center"/>
    </xf>
    <xf borderId="1" fillId="0" fontId="2" numFmtId="49" xfId="0" applyAlignment="1" applyBorder="1" applyFont="1" applyNumberFormat="1">
      <alignment horizontal="left" readingOrder="0" vertical="center"/>
    </xf>
    <xf borderId="1" fillId="3" fontId="2" numFmtId="0" xfId="0" applyAlignment="1" applyBorder="1" applyFill="1" applyFont="1">
      <alignment shrinkToFit="0" vertical="center" wrapText="0"/>
    </xf>
    <xf borderId="1" fillId="0" fontId="2" numFmtId="0" xfId="0" applyAlignment="1" applyBorder="1" applyFont="1">
      <alignment readingOrder="0" vertical="center"/>
    </xf>
    <xf borderId="2" fillId="0" fontId="2" numFmtId="49" xfId="0" applyAlignment="1" applyBorder="1" applyFont="1" applyNumberFormat="1">
      <alignment horizontal="left" readingOrder="0" vertical="center"/>
    </xf>
    <xf borderId="2" fillId="3" fontId="2" numFmtId="0" xfId="0" applyAlignment="1" applyBorder="1" applyFont="1">
      <alignment shrinkToFit="0" vertical="center" wrapText="0"/>
    </xf>
    <xf borderId="2" fillId="0" fontId="2" numFmtId="165" xfId="0" applyAlignment="1" applyBorder="1" applyFont="1" applyNumberFormat="1">
      <alignment horizontal="center" readingOrder="0" vertical="center"/>
    </xf>
    <xf borderId="2" fillId="0" fontId="2" numFmtId="164" xfId="0" applyAlignment="1" applyBorder="1" applyFont="1" applyNumberFormat="1">
      <alignment horizontal="center" readingOrder="0" vertical="center"/>
    </xf>
    <xf borderId="2" fillId="0" fontId="2" numFmtId="0" xfId="0" applyAlignment="1" applyBorder="1" applyFont="1">
      <alignment readingOrder="0" vertical="center"/>
    </xf>
    <xf borderId="2" fillId="4" fontId="3" numFmtId="164" xfId="0" applyAlignment="1" applyBorder="1" applyFill="1" applyFont="1" applyNumberFormat="1">
      <alignment horizontal="center" readingOrder="0"/>
    </xf>
    <xf borderId="2" fillId="3" fontId="2" numFmtId="0" xfId="0" applyAlignment="1" applyBorder="1" applyFont="1">
      <alignment readingOrder="0" shrinkToFit="0" vertical="center" wrapText="0"/>
    </xf>
    <xf borderId="0" fillId="0" fontId="2" numFmtId="164" xfId="0" applyAlignment="1" applyFont="1" applyNumberFormat="1">
      <alignment horizontal="center" readingOrder="0" vertical="center"/>
    </xf>
    <xf borderId="2" fillId="0" fontId="2" numFmtId="164" xfId="0" applyAlignment="1" applyBorder="1" applyFont="1" applyNumberFormat="1">
      <alignment horizontal="center" vertical="center"/>
    </xf>
    <xf borderId="2" fillId="0" fontId="2" numFmtId="49" xfId="0" applyAlignment="1" applyBorder="1" applyFont="1" applyNumberFormat="1">
      <alignment horizontal="left" vertical="center"/>
    </xf>
    <xf borderId="2" fillId="0" fontId="2" numFmtId="0" xfId="0" applyAlignment="1" applyBorder="1" applyFont="1">
      <alignment vertical="center"/>
    </xf>
    <xf borderId="3" fillId="0" fontId="2" numFmtId="164" xfId="0" applyAlignment="1" applyBorder="1" applyFont="1" applyNumberFormat="1">
      <alignment horizontal="center" vertical="center"/>
    </xf>
    <xf borderId="3" fillId="0" fontId="2" numFmtId="49" xfId="0" applyAlignment="1" applyBorder="1" applyFont="1" applyNumberFormat="1">
      <alignment horizontal="left" vertical="center"/>
    </xf>
    <xf borderId="3" fillId="3" fontId="2" numFmtId="0" xfId="0" applyAlignment="1" applyBorder="1" applyFont="1">
      <alignment shrinkToFit="0" vertical="center" wrapText="0"/>
    </xf>
    <xf borderId="3" fillId="0" fontId="2" numFmtId="0" xfId="0" applyAlignment="1" applyBorder="1" applyFont="1">
      <alignment vertical="center"/>
    </xf>
    <xf borderId="0" fillId="5" fontId="1" numFmtId="0" xfId="0" applyAlignment="1" applyFill="1" applyFont="1">
      <alignment horizontal="center" readingOrder="0" shrinkToFit="0" vertical="center" wrapText="1"/>
    </xf>
    <xf borderId="0" fillId="5" fontId="1" numFmtId="0" xfId="0" applyAlignment="1" applyFont="1">
      <alignment horizontal="center" readingOrder="0" shrinkToFit="0" vertical="center" wrapText="0"/>
    </xf>
    <xf borderId="4" fillId="0" fontId="4" numFmtId="164" xfId="0" applyAlignment="1" applyBorder="1" applyFont="1" applyNumberFormat="1">
      <alignment horizontal="center" readingOrder="0" vertical="center"/>
    </xf>
    <xf borderId="4" fillId="0" fontId="4" numFmtId="49" xfId="0" applyAlignment="1" applyBorder="1" applyFont="1" applyNumberFormat="1">
      <alignment horizontal="center" readingOrder="0" shrinkToFit="0" wrapText="1"/>
    </xf>
    <xf borderId="4" fillId="0" fontId="4" numFmtId="0" xfId="0" applyAlignment="1" applyBorder="1" applyFont="1">
      <alignment horizontal="center" readingOrder="0" shrinkToFit="0" wrapText="1"/>
    </xf>
    <xf borderId="4" fillId="0" fontId="4" numFmtId="0" xfId="0" applyAlignment="1" applyBorder="1" applyFont="1">
      <alignment readingOrder="0" vertical="center"/>
    </xf>
    <xf borderId="5" fillId="0" fontId="4" numFmtId="49" xfId="0" applyAlignment="1" applyBorder="1" applyFont="1" applyNumberFormat="1">
      <alignment horizontal="center" readingOrder="0" shrinkToFit="0" wrapText="1"/>
    </xf>
    <xf borderId="5" fillId="0" fontId="4" numFmtId="0" xfId="0" applyAlignment="1" applyBorder="1" applyFont="1">
      <alignment horizontal="center" readingOrder="0" shrinkToFit="0" wrapText="1"/>
    </xf>
    <xf borderId="5" fillId="0" fontId="4" numFmtId="0" xfId="0" applyAlignment="1" applyBorder="1" applyFont="1">
      <alignment readingOrder="0" vertical="center"/>
    </xf>
    <xf borderId="5" fillId="0" fontId="4" numFmtId="49" xfId="0" applyAlignment="1" applyBorder="1" applyFont="1" applyNumberFormat="1">
      <alignment horizontal="center" readingOrder="0" vertical="center"/>
    </xf>
    <xf borderId="5" fillId="0" fontId="4" numFmtId="0" xfId="0" applyAlignment="1" applyBorder="1" applyFont="1">
      <alignment horizontal="center" readingOrder="0" shrinkToFit="0" vertical="center" wrapText="0"/>
    </xf>
    <xf borderId="5" fillId="0" fontId="4" numFmtId="0" xfId="0" applyAlignment="1" applyBorder="1" applyFont="1">
      <alignment vertical="center"/>
    </xf>
    <xf borderId="5" fillId="0" fontId="4" numFmtId="0" xfId="0" applyAlignment="1" applyBorder="1" applyFont="1">
      <alignment vertical="center"/>
    </xf>
    <xf borderId="0" fillId="4" fontId="5" numFmtId="164" xfId="0" applyAlignment="1" applyFont="1" applyNumberFormat="1">
      <alignment horizontal="center" readingOrder="0"/>
    </xf>
    <xf borderId="5" fillId="0" fontId="4" numFmtId="164" xfId="0" applyAlignment="1" applyBorder="1" applyFont="1" applyNumberFormat="1">
      <alignment horizontal="center" readingOrder="0" vertical="center"/>
    </xf>
    <xf borderId="6" fillId="0" fontId="4" numFmtId="164" xfId="0" applyAlignment="1" applyBorder="1" applyFont="1" applyNumberFormat="1">
      <alignment horizontal="center" readingOrder="0" vertical="center"/>
    </xf>
    <xf borderId="6" fillId="0" fontId="4" numFmtId="49" xfId="0" applyAlignment="1" applyBorder="1" applyFont="1" applyNumberFormat="1">
      <alignment horizontal="center" readingOrder="0" vertical="center"/>
    </xf>
    <xf borderId="6" fillId="0" fontId="4" numFmtId="0" xfId="0" applyAlignment="1" applyBorder="1" applyFont="1">
      <alignment horizontal="center" readingOrder="0" shrinkToFit="0" vertical="center" wrapText="0"/>
    </xf>
    <xf borderId="6" fillId="0" fontId="4" numFmtId="0" xfId="0" applyAlignment="1" applyBorder="1" applyFont="1">
      <alignment readingOrder="0" vertical="center"/>
    </xf>
    <xf borderId="2" fillId="0" fontId="4" numFmtId="49" xfId="0" applyAlignment="1" applyBorder="1" applyFont="1" applyNumberFormat="1">
      <alignment horizontal="center" readingOrder="0" vertical="center"/>
    </xf>
    <xf borderId="2" fillId="0" fontId="4" numFmtId="0" xfId="0" applyAlignment="1" applyBorder="1" applyFont="1">
      <alignment horizontal="center" readingOrder="0" shrinkToFit="0" vertical="center" wrapText="0"/>
    </xf>
    <xf borderId="2" fillId="0" fontId="4" numFmtId="0" xfId="0" applyAlignment="1" applyBorder="1" applyFont="1">
      <alignment readingOrder="0" vertical="center"/>
    </xf>
    <xf borderId="1" fillId="0" fontId="4" numFmtId="0" xfId="0" applyAlignment="1" applyBorder="1" applyFont="1">
      <alignment readingOrder="0" vertical="center"/>
    </xf>
    <xf borderId="2" fillId="0" fontId="4" numFmtId="49" xfId="0" applyAlignment="1" applyBorder="1" applyFont="1" applyNumberFormat="1">
      <alignment horizontal="center" readingOrder="0" shrinkToFit="0" wrapText="1"/>
    </xf>
    <xf borderId="2" fillId="0" fontId="4" numFmtId="0" xfId="0" applyAlignment="1" applyBorder="1" applyFont="1">
      <alignment horizontal="center" readingOrder="0" shrinkToFit="0" wrapText="1"/>
    </xf>
    <xf borderId="2" fillId="0" fontId="4" numFmtId="164" xfId="0" applyAlignment="1" applyBorder="1" applyFont="1" applyNumberFormat="1">
      <alignment horizontal="center" readingOrder="0" vertical="center"/>
    </xf>
    <xf borderId="2" fillId="0" fontId="4" numFmtId="0" xfId="0" applyAlignment="1" applyBorder="1" applyFont="1">
      <alignment vertical="center"/>
    </xf>
    <xf borderId="2" fillId="0" fontId="4" numFmtId="0" xfId="0" applyAlignment="1" applyBorder="1" applyFont="1">
      <alignment vertical="center"/>
    </xf>
    <xf borderId="2" fillId="0" fontId="4" numFmtId="164" xfId="0" applyAlignment="1" applyBorder="1" applyFont="1" applyNumberFormat="1">
      <alignment horizontal="center" vertical="center"/>
    </xf>
    <xf borderId="2" fillId="0" fontId="4" numFmtId="49" xfId="0" applyAlignment="1" applyBorder="1" applyFont="1" applyNumberFormat="1">
      <alignment horizontal="center" vertical="center"/>
    </xf>
    <xf borderId="2" fillId="0" fontId="4" numFmtId="0" xfId="0" applyAlignment="1" applyBorder="1" applyFont="1">
      <alignment shrinkToFit="0" vertical="center" wrapText="0"/>
    </xf>
    <xf borderId="7" fillId="0" fontId="4" numFmtId="164" xfId="0" applyAlignment="1" applyBorder="1" applyFont="1" applyNumberFormat="1">
      <alignment horizontal="center" readingOrder="0" vertical="center"/>
    </xf>
    <xf borderId="3" fillId="0" fontId="4" numFmtId="49" xfId="0" applyAlignment="1" applyBorder="1" applyFont="1" applyNumberFormat="1">
      <alignment horizontal="center" vertical="center"/>
    </xf>
    <xf borderId="3" fillId="0" fontId="4" numFmtId="0" xfId="0" applyAlignment="1" applyBorder="1" applyFont="1">
      <alignment shrinkToFit="0" vertical="center" wrapText="0"/>
    </xf>
    <xf borderId="3" fillId="0" fontId="4" numFmtId="0" xfId="0" applyAlignment="1" applyBorder="1" applyFont="1">
      <alignment vertical="center"/>
    </xf>
    <xf borderId="0" fillId="6" fontId="6" numFmtId="0" xfId="0" applyAlignment="1" applyFill="1" applyFont="1">
      <alignment shrinkToFit="0" vertical="center" wrapText="1"/>
    </xf>
    <xf borderId="0" fillId="6" fontId="6" numFmtId="0" xfId="0" applyAlignment="1" applyFont="1">
      <alignment readingOrder="0" shrinkToFit="0" vertical="center" wrapText="1"/>
    </xf>
    <xf borderId="8" fillId="6" fontId="6" numFmtId="0" xfId="0" applyAlignment="1" applyBorder="1" applyFont="1">
      <alignment shrinkToFit="0" vertical="center" wrapText="1"/>
    </xf>
    <xf borderId="9" fillId="6" fontId="6" numFmtId="0" xfId="0" applyAlignment="1" applyBorder="1" applyFont="1">
      <alignment shrinkToFit="0" vertical="center" wrapText="1"/>
    </xf>
    <xf borderId="9" fillId="6" fontId="6" numFmtId="0" xfId="0" applyAlignment="1" applyBorder="1" applyFont="1">
      <alignment readingOrder="0" shrinkToFit="0" vertical="center" wrapText="1"/>
    </xf>
    <xf borderId="10" fillId="6" fontId="6" numFmtId="0" xfId="0" applyAlignment="1" applyBorder="1" applyFont="1">
      <alignment readingOrder="0" shrinkToFit="0" vertical="center" wrapText="1"/>
    </xf>
    <xf borderId="8" fillId="6" fontId="6" numFmtId="0" xfId="0" applyAlignment="1" applyBorder="1" applyFont="1">
      <alignment readingOrder="0" shrinkToFit="0" vertical="center" wrapText="1"/>
    </xf>
    <xf borderId="11" fillId="6" fontId="7" numFmtId="0" xfId="0" applyAlignment="1" applyBorder="1" applyFont="1">
      <alignment readingOrder="0" shrinkToFit="0" vertical="center" wrapText="1"/>
    </xf>
    <xf borderId="0" fillId="6" fontId="8" numFmtId="0" xfId="0" applyAlignment="1" applyFont="1">
      <alignment readingOrder="0" shrinkToFit="0" vertical="center" wrapText="1"/>
    </xf>
    <xf borderId="12" fillId="6" fontId="6" numFmtId="0" xfId="0" applyAlignment="1" applyBorder="1" applyFont="1">
      <alignment readingOrder="0" shrinkToFit="0" vertical="center" wrapText="1"/>
    </xf>
    <xf borderId="11" fillId="6" fontId="9" numFmtId="0" xfId="0" applyAlignment="1" applyBorder="1" applyFont="1">
      <alignment readingOrder="0" shrinkToFit="0" vertical="center" wrapText="1"/>
    </xf>
    <xf borderId="0" fillId="6" fontId="10" numFmtId="0" xfId="0" applyAlignment="1" applyFont="1">
      <alignment readingOrder="0" shrinkToFit="0" vertical="center" wrapText="1"/>
    </xf>
    <xf borderId="12" fillId="6" fontId="9" numFmtId="0" xfId="0" applyAlignment="1" applyBorder="1" applyFont="1">
      <alignment readingOrder="0" shrinkToFit="0" vertical="center" wrapText="1"/>
    </xf>
    <xf borderId="11" fillId="6" fontId="11" numFmtId="3" xfId="0" applyAlignment="1" applyBorder="1" applyFont="1" applyNumberFormat="1">
      <alignment horizontal="center" shrinkToFit="0" vertical="center" wrapText="1"/>
    </xf>
    <xf borderId="0" fillId="6" fontId="11" numFmtId="3" xfId="0" applyAlignment="1" applyFont="1" applyNumberFormat="1">
      <alignment horizontal="center" shrinkToFit="0" vertical="center" wrapText="1"/>
    </xf>
    <xf borderId="12" fillId="6" fontId="6" numFmtId="0" xfId="0" applyAlignment="1" applyBorder="1" applyFont="1">
      <alignment shrinkToFit="0" vertical="center" wrapText="1"/>
    </xf>
    <xf borderId="11" fillId="6" fontId="6" numFmtId="0" xfId="0" applyAlignment="1" applyBorder="1" applyFont="1">
      <alignment shrinkToFit="0" vertical="center" wrapText="1"/>
    </xf>
    <xf borderId="0" fillId="6" fontId="6" numFmtId="0" xfId="0" applyAlignment="1" applyFont="1">
      <alignment shrinkToFit="0" vertical="center" wrapText="0"/>
    </xf>
    <xf borderId="0" fillId="6" fontId="6" numFmtId="0" xfId="0" applyAlignment="1" applyFont="1">
      <alignment vertical="center"/>
    </xf>
    <xf borderId="12" fillId="6" fontId="6" numFmtId="0" xfId="0" applyAlignment="1" applyBorder="1" applyFont="1">
      <alignment readingOrder="0" vertical="center"/>
    </xf>
    <xf borderId="0" fillId="6" fontId="6" numFmtId="0" xfId="0" applyAlignment="1" applyFont="1">
      <alignment readingOrder="0" vertical="center"/>
    </xf>
    <xf borderId="11" fillId="6" fontId="6" numFmtId="0" xfId="0" applyAlignment="1" applyBorder="1" applyFont="1">
      <alignment readingOrder="0" vertical="center"/>
    </xf>
    <xf borderId="12" fillId="6" fontId="6" numFmtId="0" xfId="0" applyAlignment="1" applyBorder="1" applyFont="1">
      <alignment vertical="center"/>
    </xf>
    <xf borderId="11" fillId="6" fontId="6" numFmtId="0" xfId="0" applyAlignment="1" applyBorder="1" applyFont="1">
      <alignment vertical="center"/>
    </xf>
    <xf borderId="0" fillId="6" fontId="12" numFmtId="0" xfId="0" applyAlignment="1" applyFont="1">
      <alignment horizontal="center" readingOrder="0" shrinkToFit="0" vertical="center" wrapText="1"/>
    </xf>
    <xf borderId="0" fillId="6" fontId="13" numFmtId="0" xfId="0" applyAlignment="1" applyFont="1">
      <alignment horizontal="right" readingOrder="0" shrinkToFit="0" vertical="center" wrapText="1"/>
    </xf>
    <xf borderId="13" fillId="6" fontId="7" numFmtId="0" xfId="0" applyAlignment="1" applyBorder="1" applyFont="1">
      <alignment readingOrder="0" shrinkToFit="0" vertical="center" wrapText="1"/>
    </xf>
    <xf borderId="14" fillId="6" fontId="7" numFmtId="0" xfId="0" applyAlignment="1" applyBorder="1" applyFont="1">
      <alignment readingOrder="0" shrinkToFit="0" vertical="center" wrapText="1"/>
    </xf>
    <xf borderId="15" fillId="6" fontId="6" numFmtId="0" xfId="0" applyAlignment="1" applyBorder="1" applyFont="1">
      <alignment vertical="center"/>
    </xf>
    <xf borderId="8" fillId="6" fontId="7" numFmtId="0" xfId="0" applyAlignment="1" applyBorder="1" applyFont="1">
      <alignment readingOrder="0" shrinkToFit="0" vertical="center" wrapText="1"/>
    </xf>
    <xf borderId="9" fillId="6" fontId="8" numFmtId="0" xfId="0" applyAlignment="1" applyBorder="1" applyFont="1">
      <alignment readingOrder="0" shrinkToFit="0" vertical="bottom" wrapText="1"/>
    </xf>
    <xf borderId="9" fillId="0" fontId="14" numFmtId="0" xfId="0" applyBorder="1" applyFont="1"/>
    <xf borderId="10" fillId="6" fontId="6" numFmtId="0" xfId="0" applyAlignment="1" applyBorder="1" applyFont="1">
      <alignment vertical="center"/>
    </xf>
    <xf borderId="0" fillId="6" fontId="15" numFmtId="0" xfId="0" applyAlignment="1" applyFont="1">
      <alignment horizontal="left" readingOrder="0" vertical="top"/>
    </xf>
    <xf borderId="0" fillId="6" fontId="14" numFmtId="0" xfId="0" applyFont="1"/>
    <xf borderId="11" fillId="6" fontId="7" numFmtId="0" xfId="0" applyAlignment="1" applyBorder="1" applyFont="1">
      <alignment horizontal="center" readingOrder="0" vertical="center"/>
    </xf>
    <xf borderId="0" fillId="6" fontId="16" numFmtId="0" xfId="0" applyAlignment="1" applyFont="1">
      <alignment horizontal="center" readingOrder="0" vertical="center"/>
    </xf>
    <xf borderId="0" fillId="6" fontId="17" numFmtId="0" xfId="0" applyAlignment="1" applyFont="1">
      <alignment shrinkToFit="0" vertical="center" wrapText="0"/>
    </xf>
    <xf borderId="0" fillId="6" fontId="13" numFmtId="0" xfId="0" applyAlignment="1" applyFont="1">
      <alignment horizontal="center" readingOrder="0" shrinkToFit="0" vertical="center" wrapText="1"/>
    </xf>
    <xf borderId="13" fillId="6" fontId="6" numFmtId="0" xfId="0" applyAlignment="1" applyBorder="1" applyFont="1">
      <alignment vertical="center"/>
    </xf>
    <xf borderId="14" fillId="6" fontId="6" numFmtId="0" xfId="0" applyAlignment="1" applyBorder="1" applyFont="1">
      <alignment vertical="center"/>
    </xf>
    <xf borderId="14" fillId="6" fontId="17" numFmtId="0" xfId="0" applyAlignment="1" applyBorder="1" applyFont="1">
      <alignment shrinkToFit="0" vertical="top" wrapText="0"/>
    </xf>
    <xf borderId="0" fillId="6" fontId="17" numFmtId="0" xfId="0" applyAlignment="1" applyFont="1">
      <alignment shrinkToFit="0" vertical="top" wrapText="0"/>
    </xf>
    <xf borderId="0" fillId="7" fontId="1" numFmtId="49" xfId="0" applyAlignment="1" applyFill="1" applyFont="1" applyNumberFormat="1">
      <alignment horizontal="center" readingOrder="0" shrinkToFit="0" vertical="center" wrapText="1"/>
    </xf>
    <xf borderId="0" fillId="7" fontId="1" numFmtId="0" xfId="0" applyAlignment="1" applyFont="1">
      <alignment horizontal="center" readingOrder="0" shrinkToFit="0" vertical="center" wrapText="1"/>
    </xf>
    <xf borderId="0" fillId="7" fontId="1" numFmtId="9" xfId="0" applyAlignment="1" applyFont="1" applyNumberFormat="1">
      <alignment horizontal="center" readingOrder="0" shrinkToFit="0" vertical="center" wrapText="1"/>
    </xf>
    <xf borderId="0" fillId="0" fontId="18" numFmtId="49" xfId="0" applyAlignment="1" applyFont="1" applyNumberFormat="1">
      <alignment horizontal="left" readingOrder="0" vertical="center"/>
    </xf>
    <xf borderId="0" fillId="0" fontId="18" numFmtId="0" xfId="0" applyAlignment="1" applyFont="1">
      <alignment readingOrder="0" vertical="center"/>
    </xf>
    <xf borderId="0" fillId="0" fontId="18" numFmtId="0" xfId="0" applyAlignment="1" applyFont="1">
      <alignment horizontal="center" readingOrder="0" vertical="center"/>
    </xf>
    <xf borderId="0" fillId="0" fontId="18" numFmtId="9" xfId="0" applyAlignment="1" applyFont="1" applyNumberFormat="1">
      <alignment horizontal="center" readingOrder="0" vertical="center"/>
    </xf>
    <xf borderId="0" fillId="0" fontId="18" numFmtId="49" xfId="0" applyAlignment="1" applyFont="1" applyNumberFormat="1">
      <alignment horizontal="left" vertical="center"/>
    </xf>
    <xf borderId="0" fillId="0" fontId="18" numFmtId="0" xfId="0" applyAlignment="1" applyFont="1">
      <alignment vertical="center"/>
    </xf>
    <xf borderId="0" fillId="0" fontId="18" numFmtId="0" xfId="0" applyAlignment="1" applyFont="1">
      <alignment horizontal="center" vertical="center"/>
    </xf>
    <xf borderId="0" fillId="0" fontId="18" numFmtId="9" xfId="0" applyAlignment="1" applyFont="1" applyNumberFormat="1">
      <alignment horizontal="center" vertical="center"/>
    </xf>
    <xf borderId="0" fillId="8" fontId="1" numFmtId="0" xfId="0" applyAlignment="1" applyFill="1" applyFont="1">
      <alignment horizontal="left" readingOrder="0" shrinkToFit="0" vertical="center" wrapText="1"/>
    </xf>
    <xf borderId="0" fillId="8" fontId="1" numFmtId="164" xfId="0" applyAlignment="1" applyFont="1" applyNumberFormat="1">
      <alignment horizontal="left" readingOrder="0" shrinkToFit="0" vertical="center" wrapText="1"/>
    </xf>
    <xf borderId="0" fillId="8" fontId="1" numFmtId="49" xfId="0" applyAlignment="1" applyFont="1" applyNumberFormat="1">
      <alignment horizontal="left" readingOrder="0" shrinkToFit="0" vertical="center" wrapText="1"/>
    </xf>
    <xf borderId="0" fillId="8" fontId="1" numFmtId="0" xfId="0" applyAlignment="1" applyFont="1">
      <alignment horizontal="left" readingOrder="0" shrinkToFit="0" vertical="center" wrapText="0"/>
    </xf>
    <xf borderId="16" fillId="9" fontId="2" numFmtId="0" xfId="0" applyAlignment="1" applyBorder="1" applyFill="1" applyFont="1">
      <alignment horizontal="left" readingOrder="0" vertical="center"/>
    </xf>
    <xf borderId="16" fillId="9" fontId="2" numFmtId="164" xfId="0" applyAlignment="1" applyBorder="1" applyFont="1" applyNumberFormat="1">
      <alignment horizontal="left" readingOrder="0" shrinkToFit="0" vertical="center" wrapText="1"/>
    </xf>
    <xf borderId="16" fillId="9" fontId="19" numFmtId="0" xfId="0" applyAlignment="1" applyBorder="1" applyFont="1">
      <alignment horizontal="left" vertical="center"/>
    </xf>
    <xf borderId="16" fillId="9" fontId="19" numFmtId="164" xfId="0" applyAlignment="1" applyBorder="1" applyFont="1" applyNumberFormat="1">
      <alignment horizontal="left" vertical="center"/>
    </xf>
    <xf borderId="16" fillId="9" fontId="19" numFmtId="0" xfId="0" applyAlignment="1" applyBorder="1" applyFont="1">
      <alignment readingOrder="0" vertical="center"/>
    </xf>
    <xf borderId="16" fillId="9" fontId="2" numFmtId="49" xfId="0" applyAlignment="1" applyBorder="1" applyFont="1" applyNumberFormat="1">
      <alignment vertical="center"/>
    </xf>
    <xf borderId="16" fillId="9" fontId="2" numFmtId="0" xfId="0" applyAlignment="1" applyBorder="1" applyFont="1">
      <alignment horizontal="left" readingOrder="0" shrinkToFit="0" vertical="center" wrapText="0"/>
    </xf>
    <xf borderId="16" fillId="9" fontId="2" numFmtId="0" xfId="0" applyAlignment="1" applyBorder="1" applyFont="1">
      <alignment readingOrder="0" vertical="center"/>
    </xf>
    <xf borderId="16" fillId="9" fontId="2" numFmtId="0" xfId="0" applyAlignment="1" applyBorder="1" applyFont="1">
      <alignment vertical="center"/>
    </xf>
    <xf borderId="16" fillId="0" fontId="2" numFmtId="0" xfId="0" applyAlignment="1" applyBorder="1" applyFont="1">
      <alignment horizontal="center" readingOrder="0" vertical="center"/>
    </xf>
    <xf borderId="16" fillId="9" fontId="2" numFmtId="0" xfId="0" applyAlignment="1" applyBorder="1" applyFont="1">
      <alignment readingOrder="0" shrinkToFit="0" vertical="center" wrapText="1"/>
    </xf>
    <xf borderId="16" fillId="0" fontId="2" numFmtId="0" xfId="0" applyAlignment="1" applyBorder="1" applyFont="1">
      <alignment horizontal="left" readingOrder="0" vertical="center"/>
    </xf>
    <xf borderId="16" fillId="0" fontId="2" numFmtId="164" xfId="0" applyAlignment="1" applyBorder="1" applyFont="1" applyNumberFormat="1">
      <alignment horizontal="left" readingOrder="0" shrinkToFit="0" vertical="center" wrapText="1"/>
    </xf>
    <xf borderId="16" fillId="0" fontId="19" numFmtId="0" xfId="0" applyAlignment="1" applyBorder="1" applyFont="1">
      <alignment horizontal="left" vertical="center"/>
    </xf>
    <xf borderId="16" fillId="0" fontId="19" numFmtId="164" xfId="0" applyAlignment="1" applyBorder="1" applyFont="1" applyNumberFormat="1">
      <alignment horizontal="left" vertical="center"/>
    </xf>
    <xf borderId="16" fillId="0" fontId="19" numFmtId="0" xfId="0" applyAlignment="1" applyBorder="1" applyFont="1">
      <alignment readingOrder="0" vertical="center"/>
    </xf>
    <xf borderId="16" fillId="0" fontId="2" numFmtId="49" xfId="0" applyAlignment="1" applyBorder="1" applyFont="1" applyNumberFormat="1">
      <alignment horizontal="left" readingOrder="0" vertical="center"/>
    </xf>
    <xf borderId="16" fillId="0" fontId="2" numFmtId="0" xfId="0" applyAlignment="1" applyBorder="1" applyFont="1">
      <alignment horizontal="left" readingOrder="0" shrinkToFit="0" vertical="center" wrapText="0"/>
    </xf>
    <xf borderId="16" fillId="0" fontId="2" numFmtId="0" xfId="0" applyAlignment="1" applyBorder="1" applyFont="1">
      <alignment horizontal="left" readingOrder="0" shrinkToFit="0" vertical="center" wrapText="1"/>
    </xf>
    <xf borderId="16" fillId="9" fontId="2" numFmtId="0" xfId="0" applyAlignment="1" applyBorder="1" applyFont="1">
      <alignment horizontal="left" readingOrder="0" shrinkToFit="0" vertical="center" wrapText="1"/>
    </xf>
    <xf borderId="16" fillId="9" fontId="2" numFmtId="49" xfId="0" applyAlignment="1" applyBorder="1" applyFont="1" applyNumberFormat="1">
      <alignment horizontal="left" readingOrder="0" vertical="center"/>
    </xf>
    <xf borderId="16" fillId="9" fontId="19" numFmtId="0" xfId="0" applyAlignment="1" applyBorder="1" applyFont="1">
      <alignment horizontal="left" readingOrder="0" vertical="center"/>
    </xf>
    <xf borderId="16" fillId="10" fontId="2" numFmtId="0" xfId="0" applyAlignment="1" applyBorder="1" applyFill="1" applyFont="1">
      <alignment horizontal="left" readingOrder="0" vertical="center"/>
    </xf>
    <xf borderId="16" fillId="10" fontId="2" numFmtId="164" xfId="0" applyAlignment="1" applyBorder="1" applyFont="1" applyNumberFormat="1">
      <alignment horizontal="left" readingOrder="0" shrinkToFit="0" vertical="center" wrapText="1"/>
    </xf>
    <xf borderId="16" fillId="10" fontId="2" numFmtId="0" xfId="0" applyAlignment="1" applyBorder="1" applyFont="1">
      <alignment readingOrder="0" shrinkToFit="0" vertical="center" wrapText="1"/>
    </xf>
    <xf borderId="16" fillId="10" fontId="2" numFmtId="49" xfId="0" applyAlignment="1" applyBorder="1" applyFont="1" applyNumberFormat="1">
      <alignment horizontal="left" readingOrder="0" vertical="center"/>
    </xf>
    <xf borderId="16" fillId="10" fontId="2" numFmtId="0" xfId="0" applyAlignment="1" applyBorder="1" applyFont="1">
      <alignment horizontal="left" readingOrder="0" shrinkToFit="0" vertical="center" wrapText="0"/>
    </xf>
    <xf borderId="16" fillId="10" fontId="2" numFmtId="0" xfId="0" applyAlignment="1" applyBorder="1" applyFont="1">
      <alignment horizontal="left" readingOrder="0" shrinkToFit="0" vertical="center" wrapText="1"/>
    </xf>
    <xf borderId="16" fillId="0" fontId="14" numFmtId="0" xfId="0" applyAlignment="1" applyBorder="1" applyFont="1">
      <alignment horizontal="left" readingOrder="0" vertical="center"/>
    </xf>
    <xf borderId="16" fillId="0" fontId="2" numFmtId="0" xfId="0" applyAlignment="1" applyBorder="1" applyFont="1">
      <alignment horizontal="left"/>
    </xf>
    <xf borderId="16" fillId="0" fontId="2" numFmtId="164" xfId="0" applyAlignment="1" applyBorder="1" applyFont="1" applyNumberFormat="1">
      <alignment shrinkToFit="0" wrapText="1"/>
    </xf>
    <xf borderId="16" fillId="0" fontId="19" numFmtId="0" xfId="0" applyAlignment="1" applyBorder="1" applyFont="1">
      <alignment horizontal="right" readingOrder="0"/>
    </xf>
    <xf borderId="16" fillId="0" fontId="2" numFmtId="49" xfId="0" applyBorder="1" applyFont="1" applyNumberFormat="1"/>
    <xf borderId="16" fillId="0" fontId="2" numFmtId="0" xfId="0" applyAlignment="1" applyBorder="1" applyFont="1">
      <alignment shrinkToFit="0" wrapText="0"/>
    </xf>
    <xf borderId="16" fillId="0" fontId="2" numFmtId="0" xfId="0" applyBorder="1" applyFont="1"/>
    <xf borderId="16" fillId="0" fontId="2" numFmtId="0" xfId="0" applyAlignment="1" applyBorder="1" applyFont="1">
      <alignment readingOrder="0"/>
    </xf>
    <xf borderId="16" fillId="0" fontId="2" numFmtId="0" xfId="0" applyAlignment="1" applyBorder="1" applyFont="1">
      <alignment readingOrder="0" shrinkToFit="0" wrapText="1"/>
    </xf>
    <xf borderId="16" fillId="0" fontId="19" numFmtId="164" xfId="0" applyBorder="1" applyFont="1" applyNumberFormat="1"/>
    <xf borderId="16" fillId="0" fontId="19" numFmtId="0" xfId="0" applyBorder="1" applyFont="1"/>
    <xf borderId="16" fillId="0" fontId="19" numFmtId="0" xfId="0" applyAlignment="1" applyBorder="1" applyFont="1">
      <alignment horizontal="left" readingOrder="0" vertical="center"/>
    </xf>
    <xf borderId="16" fillId="0" fontId="2" numFmtId="49" xfId="0" applyAlignment="1" applyBorder="1" applyFont="1" applyNumberFormat="1">
      <alignment vertical="center"/>
    </xf>
    <xf borderId="16" fillId="0" fontId="2" numFmtId="0" xfId="0" applyAlignment="1" applyBorder="1" applyFont="1">
      <alignment vertical="center"/>
    </xf>
    <xf borderId="16" fillId="0" fontId="2" numFmtId="0" xfId="0" applyAlignment="1" applyBorder="1" applyFont="1">
      <alignment readingOrder="0" vertical="center"/>
    </xf>
    <xf borderId="16" fillId="0" fontId="2" numFmtId="0" xfId="0" applyAlignment="1" applyBorder="1" applyFont="1">
      <alignment readingOrder="0" shrinkToFit="0" vertical="center" wrapText="1"/>
    </xf>
    <xf borderId="16" fillId="0" fontId="19" numFmtId="0" xfId="0" applyAlignment="1" applyBorder="1" applyFont="1">
      <alignment vertical="center"/>
    </xf>
    <xf borderId="16" fillId="0" fontId="2" numFmtId="164" xfId="0" applyAlignment="1" applyBorder="1" applyFont="1" applyNumberFormat="1">
      <alignment horizontal="left" readingOrder="0" vertical="center"/>
    </xf>
    <xf borderId="16" fillId="0" fontId="20" numFmtId="0" xfId="0" applyAlignment="1" applyBorder="1" applyFont="1">
      <alignment horizontal="left" readingOrder="0" vertical="center"/>
    </xf>
    <xf borderId="16" fillId="0" fontId="19" numFmtId="0" xfId="0" applyAlignment="1" applyBorder="1" applyFont="1">
      <alignment vertical="bottom"/>
    </xf>
    <xf borderId="16" fillId="0" fontId="2" numFmtId="0" xfId="0" applyAlignment="1" applyBorder="1" applyFont="1">
      <alignment shrinkToFit="0" vertical="center" wrapText="1"/>
    </xf>
    <xf borderId="16" fillId="0" fontId="19" numFmtId="164" xfId="0" applyAlignment="1" applyBorder="1" applyFont="1" applyNumberFormat="1">
      <alignment vertical="center"/>
    </xf>
    <xf borderId="16" fillId="0" fontId="21" numFmtId="164" xfId="0" applyAlignment="1" applyBorder="1" applyFont="1" applyNumberFormat="1">
      <alignment horizontal="left" readingOrder="0"/>
    </xf>
    <xf borderId="16" fillId="0" fontId="2" numFmtId="164" xfId="0" applyAlignment="1" applyBorder="1" applyFont="1" applyNumberFormat="1">
      <alignment horizontal="left" shrinkToFit="0" vertical="center" wrapText="1"/>
    </xf>
    <xf borderId="16" fillId="0" fontId="2" numFmtId="164" xfId="0" applyAlignment="1" applyBorder="1" applyFont="1" applyNumberFormat="1">
      <alignment shrinkToFit="0" vertical="center" wrapText="1"/>
    </xf>
    <xf borderId="16" fillId="11" fontId="2" numFmtId="0" xfId="0" applyAlignment="1" applyBorder="1" applyFill="1" applyFont="1">
      <alignment horizontal="left" readingOrder="0" vertical="center"/>
    </xf>
    <xf borderId="16" fillId="11" fontId="2" numFmtId="164" xfId="0" applyAlignment="1" applyBorder="1" applyFont="1" applyNumberFormat="1">
      <alignment horizontal="left" readingOrder="0" vertical="center"/>
    </xf>
    <xf borderId="16" fillId="11" fontId="2" numFmtId="49" xfId="0" applyAlignment="1" applyBorder="1" applyFont="1" applyNumberFormat="1">
      <alignment horizontal="left" readingOrder="0" vertical="center"/>
    </xf>
    <xf borderId="16" fillId="11" fontId="2" numFmtId="0" xfId="0" applyAlignment="1" applyBorder="1" applyFont="1">
      <alignment horizontal="left" readingOrder="0" shrinkToFit="0" vertical="center" wrapText="0"/>
    </xf>
    <xf borderId="16" fillId="11" fontId="2" numFmtId="0" xfId="0" applyAlignment="1" applyBorder="1" applyFont="1">
      <alignment horizontal="left" readingOrder="0" shrinkToFit="0" vertical="center" wrapText="1"/>
    </xf>
    <xf borderId="16" fillId="0" fontId="2" numFmtId="0" xfId="0" applyAlignment="1" applyBorder="1" applyFont="1">
      <alignment shrinkToFit="0" vertical="center" wrapText="0"/>
    </xf>
    <xf borderId="16" fillId="0" fontId="19" numFmtId="0" xfId="0" applyAlignment="1" applyBorder="1" applyFont="1">
      <alignment vertical="center"/>
    </xf>
    <xf borderId="16" fillId="10" fontId="19" numFmtId="0" xfId="0" applyAlignment="1" applyBorder="1" applyFont="1">
      <alignment horizontal="left" vertical="center"/>
    </xf>
    <xf borderId="16" fillId="10" fontId="19" numFmtId="164" xfId="0" applyAlignment="1" applyBorder="1" applyFont="1" applyNumberFormat="1">
      <alignment vertical="center"/>
    </xf>
    <xf borderId="16" fillId="9" fontId="19" numFmtId="164" xfId="0" applyAlignment="1" applyBorder="1" applyFont="1" applyNumberFormat="1">
      <alignment vertical="center"/>
    </xf>
    <xf borderId="16" fillId="12" fontId="2" numFmtId="0" xfId="0" applyAlignment="1" applyBorder="1" applyFill="1" applyFont="1">
      <alignment horizontal="left" readingOrder="0" vertical="center"/>
    </xf>
    <xf borderId="16" fillId="12" fontId="2" numFmtId="164" xfId="0" applyAlignment="1" applyBorder="1" applyFont="1" applyNumberFormat="1">
      <alignment horizontal="left" readingOrder="0" shrinkToFit="0" vertical="center" wrapText="1"/>
    </xf>
    <xf borderId="16" fillId="12" fontId="2" numFmtId="0" xfId="0" applyAlignment="1" applyBorder="1" applyFont="1">
      <alignment horizontal="left" readingOrder="0" shrinkToFit="0" vertical="center" wrapText="1"/>
    </xf>
    <xf borderId="16" fillId="12" fontId="2" numFmtId="49" xfId="0" applyAlignment="1" applyBorder="1" applyFont="1" applyNumberFormat="1">
      <alignment horizontal="left" readingOrder="0" vertical="center"/>
    </xf>
    <xf borderId="16" fillId="12" fontId="2" numFmtId="0" xfId="0" applyAlignment="1" applyBorder="1" applyFont="1">
      <alignment horizontal="left" readingOrder="0" shrinkToFit="0" vertical="center" wrapText="0"/>
    </xf>
    <xf borderId="16" fillId="0" fontId="14" numFmtId="0" xfId="0" applyAlignment="1" applyBorder="1" applyFont="1">
      <alignment readingOrder="0" vertical="center"/>
    </xf>
    <xf borderId="16" fillId="11" fontId="2" numFmtId="0" xfId="0" applyAlignment="1" applyBorder="1" applyFont="1">
      <alignment shrinkToFit="0" vertical="center" wrapText="1"/>
    </xf>
    <xf borderId="16" fillId="11" fontId="2" numFmtId="164" xfId="0" applyAlignment="1" applyBorder="1" applyFont="1" applyNumberFormat="1">
      <alignment horizontal="left" readingOrder="0" shrinkToFit="0" vertical="center" wrapText="1"/>
    </xf>
    <xf borderId="16" fillId="11" fontId="19" numFmtId="0" xfId="0" applyAlignment="1" applyBorder="1" applyFont="1">
      <alignment horizontal="left" readingOrder="0" vertical="center"/>
    </xf>
    <xf borderId="16" fillId="11" fontId="2" numFmtId="0" xfId="0" applyAlignment="1" applyBorder="1" applyFont="1">
      <alignment horizontal="center" readingOrder="0" vertical="center"/>
    </xf>
    <xf borderId="16" fillId="9" fontId="2" numFmtId="0" xfId="0" applyAlignment="1" applyBorder="1" applyFont="1">
      <alignment horizontal="left" vertical="center"/>
    </xf>
    <xf borderId="16" fillId="9" fontId="2" numFmtId="49" xfId="0" applyAlignment="1" applyBorder="1" applyFont="1" applyNumberFormat="1">
      <alignment readingOrder="0" vertical="center"/>
    </xf>
    <xf borderId="16" fillId="12" fontId="19" numFmtId="164" xfId="0" applyAlignment="1" applyBorder="1" applyFont="1" applyNumberFormat="1">
      <alignment horizontal="left" vertical="center"/>
    </xf>
    <xf borderId="16" fillId="12" fontId="19" numFmtId="164" xfId="0" applyAlignment="1" applyBorder="1" applyFont="1" applyNumberFormat="1">
      <alignment vertical="center"/>
    </xf>
    <xf borderId="16" fillId="12" fontId="2" numFmtId="49" xfId="0" applyAlignment="1" applyBorder="1" applyFont="1" applyNumberFormat="1">
      <alignment readingOrder="0" vertical="center"/>
    </xf>
    <xf borderId="16" fillId="12" fontId="2" numFmtId="0" xfId="0" applyAlignment="1" applyBorder="1" applyFont="1">
      <alignment readingOrder="0" vertical="center"/>
    </xf>
    <xf borderId="16" fillId="12" fontId="2" numFmtId="0" xfId="0" applyAlignment="1" applyBorder="1" applyFont="1">
      <alignment readingOrder="0" shrinkToFit="0" vertical="center" wrapText="1"/>
    </xf>
    <xf borderId="16" fillId="0" fontId="2" numFmtId="49" xfId="0" applyAlignment="1" applyBorder="1" applyFont="1" applyNumberFormat="1">
      <alignment readingOrder="0" vertical="center"/>
    </xf>
    <xf borderId="0" fillId="5" fontId="1" numFmtId="0" xfId="0" applyAlignment="1" applyFont="1">
      <alignment horizontal="left" readingOrder="0" shrinkToFit="0" vertical="center" wrapText="1"/>
    </xf>
    <xf borderId="0" fillId="5" fontId="1" numFmtId="0" xfId="0" applyAlignment="1" applyFont="1">
      <alignment horizontal="right" readingOrder="0" shrinkToFit="0" vertical="center" wrapText="1"/>
    </xf>
    <xf borderId="0" fillId="5" fontId="1" numFmtId="49" xfId="0" applyAlignment="1" applyFont="1" applyNumberFormat="1">
      <alignment horizontal="left" readingOrder="0" shrinkToFit="0" vertical="center" wrapText="1"/>
    </xf>
    <xf borderId="16" fillId="0" fontId="2" numFmtId="49" xfId="0" applyAlignment="1" applyBorder="1" applyFont="1" applyNumberFormat="1">
      <alignment horizontal="left" readingOrder="0" shrinkToFit="0" vertical="center" wrapText="1"/>
    </xf>
    <xf borderId="16" fillId="0" fontId="2" numFmtId="0" xfId="0" applyAlignment="1" applyBorder="1" applyFont="1">
      <alignment horizontal="center" readingOrder="0" shrinkToFit="0" vertical="center" wrapText="1"/>
    </xf>
    <xf borderId="16" fillId="0" fontId="2" numFmtId="0" xfId="0" applyAlignment="1" applyBorder="1" applyFont="1">
      <alignment horizontal="left" shrinkToFit="0" vertical="center" wrapText="1"/>
    </xf>
    <xf borderId="16" fillId="0" fontId="21" numFmtId="49" xfId="0" applyAlignment="1" applyBorder="1" applyFont="1" applyNumberFormat="1">
      <alignment horizontal="left" readingOrder="0" shrinkToFit="0" vertical="center" wrapText="1"/>
    </xf>
    <xf borderId="16" fillId="0" fontId="2" numFmtId="0" xfId="0" applyAlignment="1" applyBorder="1" applyFont="1">
      <alignment horizontal="left" vertical="center"/>
    </xf>
    <xf borderId="16" fillId="0" fontId="21" numFmtId="0" xfId="0" applyAlignment="1" applyBorder="1" applyFont="1">
      <alignment horizontal="left" readingOrder="0" vertical="center"/>
    </xf>
    <xf borderId="16" fillId="0" fontId="19" numFmtId="0" xfId="0" applyAlignment="1" applyBorder="1" applyFont="1">
      <alignment horizontal="center" readingOrder="0" vertical="center"/>
    </xf>
    <xf borderId="16" fillId="0" fontId="22" numFmtId="0" xfId="0" applyAlignment="1" applyBorder="1" applyFont="1">
      <alignment horizontal="left" readingOrder="0" vertical="center"/>
    </xf>
    <xf borderId="16" fillId="0" fontId="14" numFmtId="0" xfId="0" applyAlignment="1" applyBorder="1" applyFont="1">
      <alignment horizontal="center" readingOrder="0" vertical="center"/>
    </xf>
    <xf borderId="16" fillId="4" fontId="23" numFmtId="0" xfId="0" applyAlignment="1" applyBorder="1" applyFont="1">
      <alignment readingOrder="0"/>
    </xf>
    <xf borderId="16" fillId="4" fontId="3" numFmtId="0" xfId="0" applyAlignment="1" applyBorder="1" applyFont="1">
      <alignment horizontal="left" readingOrder="0"/>
    </xf>
    <xf borderId="16" fillId="4" fontId="3" numFmtId="164" xfId="0" applyAlignment="1" applyBorder="1" applyFont="1" applyNumberFormat="1">
      <alignment horizontal="left" readingOrder="0"/>
    </xf>
    <xf borderId="16" fillId="0" fontId="2" numFmtId="166" xfId="0" applyAlignment="1" applyBorder="1" applyFont="1" applyNumberFormat="1">
      <alignment horizontal="left" readingOrder="0" shrinkToFit="0" vertical="center" wrapText="1"/>
    </xf>
    <xf borderId="16" fillId="0" fontId="4" numFmtId="164" xfId="0" applyAlignment="1" applyBorder="1" applyFont="1" applyNumberFormat="1">
      <alignment horizontal="left" readingOrder="0" vertical="center"/>
    </xf>
    <xf borderId="16" fillId="4" fontId="24" numFmtId="0" xfId="0" applyAlignment="1" applyBorder="1" applyFont="1">
      <alignment readingOrder="0"/>
    </xf>
    <xf borderId="0" fillId="4" fontId="24" numFmtId="0" xfId="0" applyAlignment="1" applyFont="1">
      <alignment readingOrder="0"/>
    </xf>
    <xf borderId="16" fillId="0" fontId="2" numFmtId="165" xfId="0" applyAlignment="1" applyBorder="1" applyFont="1" applyNumberFormat="1">
      <alignment horizontal="left" readingOrder="0" shrinkToFit="0" vertical="center" wrapText="1"/>
    </xf>
    <xf borderId="0" fillId="0" fontId="21" numFmtId="49" xfId="0" applyAlignment="1" applyFont="1" applyNumberFormat="1">
      <alignment horizontal="left" readingOrder="0"/>
    </xf>
    <xf borderId="16" fillId="4" fontId="21" numFmtId="164" xfId="0" applyAlignment="1" applyBorder="1" applyFont="1" applyNumberFormat="1">
      <alignment horizontal="left" readingOrder="0"/>
    </xf>
    <xf borderId="16" fillId="4" fontId="21" numFmtId="164" xfId="0" applyAlignment="1" applyBorder="1" applyFont="1" applyNumberFormat="1">
      <alignment horizontal="left" readingOrder="0"/>
    </xf>
    <xf borderId="0" fillId="4" fontId="21" numFmtId="49" xfId="0" applyAlignment="1" applyFont="1" applyNumberFormat="1">
      <alignment horizontal="left" readingOrder="0"/>
    </xf>
    <xf borderId="0" fillId="0" fontId="21" numFmtId="49" xfId="0" applyAlignment="1" applyFont="1" applyNumberFormat="1">
      <alignment horizontal="left" readingOrder="0" shrinkToFit="0" wrapText="1"/>
    </xf>
    <xf borderId="16" fillId="4" fontId="20" numFmtId="0" xfId="0" applyAlignment="1" applyBorder="1" applyFont="1">
      <alignment horizontal="left" readingOrder="0"/>
    </xf>
    <xf borderId="0" fillId="4" fontId="3" numFmtId="164" xfId="0" applyAlignment="1" applyFont="1" applyNumberFormat="1">
      <alignment horizontal="left" readingOrder="0"/>
    </xf>
    <xf borderId="16" fillId="4" fontId="21" numFmtId="165" xfId="0" applyAlignment="1" applyBorder="1" applyFont="1" applyNumberFormat="1">
      <alignment horizontal="left" readingOrder="0"/>
    </xf>
    <xf borderId="0" fillId="4" fontId="21" numFmtId="164" xfId="0" applyAlignment="1" applyFont="1" applyNumberFormat="1">
      <alignment horizontal="left" readingOrder="0"/>
    </xf>
    <xf borderId="0" fillId="4" fontId="3" numFmtId="0" xfId="0" applyAlignment="1" applyFont="1">
      <alignment horizontal="left" readingOrder="0"/>
    </xf>
    <xf borderId="0" fillId="4" fontId="21" numFmtId="0" xfId="0" applyAlignment="1" applyFont="1">
      <alignment horizontal="left" readingOrder="0"/>
    </xf>
    <xf borderId="16" fillId="11" fontId="2" numFmtId="49" xfId="0" applyAlignment="1" applyBorder="1" applyFont="1" applyNumberFormat="1">
      <alignment horizontal="left" readingOrder="0" shrinkToFit="0" vertical="center" wrapText="1"/>
    </xf>
    <xf borderId="16" fillId="4" fontId="2" numFmtId="49" xfId="0" applyAlignment="1" applyBorder="1" applyFont="1" applyNumberFormat="1">
      <alignment horizontal="left" readingOrder="0" shrinkToFit="0" vertical="center" wrapText="1"/>
    </xf>
    <xf borderId="17" fillId="11" fontId="2" numFmtId="164" xfId="0" applyAlignment="1" applyBorder="1" applyFont="1" applyNumberFormat="1">
      <alignment horizontal="left" readingOrder="0" shrinkToFit="0" vertical="center" wrapText="1"/>
    </xf>
    <xf borderId="17" fillId="11" fontId="2" numFmtId="0" xfId="0" applyAlignment="1" applyBorder="1" applyFont="1">
      <alignment horizontal="left" readingOrder="0" shrinkToFit="0" vertical="center" wrapText="1"/>
    </xf>
    <xf borderId="17" fillId="11" fontId="2" numFmtId="0" xfId="0" applyAlignment="1" applyBorder="1" applyFont="1">
      <alignment horizontal="right" readingOrder="0" shrinkToFit="0" vertical="center" wrapText="1"/>
    </xf>
    <xf borderId="17" fillId="11" fontId="2" numFmtId="0" xfId="0" applyAlignment="1" applyBorder="1" applyFont="1">
      <alignment horizontal="center" readingOrder="0" shrinkToFit="0" vertical="center" wrapText="1"/>
    </xf>
    <xf borderId="17" fillId="11" fontId="2" numFmtId="49" xfId="0" applyAlignment="1" applyBorder="1" applyFont="1" applyNumberFormat="1">
      <alignment horizontal="left" readingOrder="0" shrinkToFit="0" vertical="center" wrapText="1"/>
    </xf>
    <xf borderId="17" fillId="9" fontId="2" numFmtId="164" xfId="0" applyAlignment="1" applyBorder="1" applyFont="1" applyNumberFormat="1">
      <alignment horizontal="left" readingOrder="0" shrinkToFit="0" vertical="center" wrapText="1"/>
    </xf>
    <xf borderId="17" fillId="9" fontId="19" numFmtId="0" xfId="0" applyAlignment="1" applyBorder="1" applyFont="1">
      <alignment readingOrder="0" vertical="bottom"/>
    </xf>
    <xf borderId="17" fillId="9" fontId="2" numFmtId="0" xfId="0" applyAlignment="1" applyBorder="1" applyFont="1">
      <alignment horizontal="left" readingOrder="0" shrinkToFit="0" vertical="center" wrapText="1"/>
    </xf>
    <xf borderId="17" fillId="9" fontId="2" numFmtId="0" xfId="0" applyAlignment="1" applyBorder="1" applyFont="1">
      <alignment horizontal="right" readingOrder="0" shrinkToFit="0" vertical="center" wrapText="1"/>
    </xf>
    <xf borderId="17" fillId="9" fontId="2" numFmtId="0" xfId="0" applyAlignment="1" applyBorder="1" applyFont="1">
      <alignment horizontal="center" readingOrder="0" shrinkToFit="0" vertical="center" wrapText="1"/>
    </xf>
    <xf borderId="17" fillId="9" fontId="2" numFmtId="49" xfId="0" applyAlignment="1" applyBorder="1" applyFont="1" applyNumberFormat="1">
      <alignment horizontal="left" readingOrder="0" shrinkToFit="0" vertical="center" wrapText="1"/>
    </xf>
    <xf borderId="0" fillId="11" fontId="19" numFmtId="0" xfId="0" applyAlignment="1" applyFont="1">
      <alignment vertical="bottom"/>
    </xf>
    <xf borderId="17" fillId="11" fontId="19" numFmtId="0" xfId="0" applyAlignment="1" applyBorder="1" applyFont="1">
      <alignment readingOrder="0" vertical="bottom"/>
    </xf>
    <xf borderId="17" fillId="13" fontId="2" numFmtId="164" xfId="0" applyAlignment="1" applyBorder="1" applyFill="1" applyFont="1" applyNumberFormat="1">
      <alignment horizontal="left" readingOrder="0" shrinkToFit="0" vertical="center" wrapText="1"/>
    </xf>
    <xf borderId="16" fillId="13" fontId="2" numFmtId="0" xfId="0" applyAlignment="1" applyBorder="1" applyFont="1">
      <alignment horizontal="left" readingOrder="0" shrinkToFit="0" vertical="center" wrapText="1"/>
    </xf>
    <xf borderId="17" fillId="13" fontId="2" numFmtId="0" xfId="0" applyAlignment="1" applyBorder="1" applyFont="1">
      <alignment horizontal="left" readingOrder="0" shrinkToFit="0" vertical="center" wrapText="1"/>
    </xf>
    <xf borderId="17" fillId="13" fontId="2" numFmtId="0" xfId="0" applyAlignment="1" applyBorder="1" applyFont="1">
      <alignment horizontal="right" readingOrder="0" shrinkToFit="0" vertical="center" wrapText="1"/>
    </xf>
    <xf borderId="17" fillId="13" fontId="2" numFmtId="0" xfId="0" applyAlignment="1" applyBorder="1" applyFont="1">
      <alignment horizontal="center" readingOrder="0" shrinkToFit="0" vertical="center" wrapText="1"/>
    </xf>
    <xf borderId="17" fillId="13" fontId="2" numFmtId="49" xfId="0" applyAlignment="1" applyBorder="1" applyFont="1" applyNumberFormat="1">
      <alignment horizontal="left" readingOrder="0" shrinkToFit="0" vertical="center" wrapText="1"/>
    </xf>
    <xf borderId="17" fillId="11" fontId="19" numFmtId="164" xfId="0" applyAlignment="1" applyBorder="1" applyFont="1" applyNumberFormat="1">
      <alignment vertical="bottom"/>
    </xf>
    <xf borderId="17" fillId="13" fontId="19" numFmtId="0" xfId="0" applyAlignment="1" applyBorder="1" applyFont="1">
      <alignment readingOrder="0" vertical="bottom"/>
    </xf>
    <xf borderId="17" fillId="12" fontId="2" numFmtId="164" xfId="0" applyAlignment="1" applyBorder="1" applyFont="1" applyNumberFormat="1">
      <alignment horizontal="left" readingOrder="0" shrinkToFit="0" vertical="center" wrapText="1"/>
    </xf>
    <xf borderId="17" fillId="12" fontId="2" numFmtId="0" xfId="0" applyAlignment="1" applyBorder="1" applyFont="1">
      <alignment horizontal="left" readingOrder="0" shrinkToFit="0" vertical="center" wrapText="1"/>
    </xf>
    <xf borderId="17" fillId="12" fontId="2" numFmtId="0" xfId="0" applyAlignment="1" applyBorder="1" applyFont="1">
      <alignment horizontal="right" readingOrder="0" shrinkToFit="0" vertical="center" wrapText="1"/>
    </xf>
    <xf borderId="17" fillId="12" fontId="2" numFmtId="0" xfId="0" applyAlignment="1" applyBorder="1" applyFont="1">
      <alignment horizontal="center" readingOrder="0" shrinkToFit="0" vertical="center" wrapText="1"/>
    </xf>
    <xf borderId="17" fillId="12" fontId="2" numFmtId="49" xfId="0" applyAlignment="1" applyBorder="1" applyFont="1" applyNumberFormat="1">
      <alignment horizontal="left" readingOrder="0" shrinkToFit="0" vertical="center" wrapText="1"/>
    </xf>
    <xf borderId="17" fillId="0" fontId="2" numFmtId="164" xfId="0" applyAlignment="1" applyBorder="1" applyFont="1" applyNumberFormat="1">
      <alignment horizontal="left" readingOrder="0" shrinkToFit="0" vertical="center" wrapText="1"/>
    </xf>
    <xf borderId="17" fillId="0" fontId="2" numFmtId="0" xfId="0" applyAlignment="1" applyBorder="1" applyFont="1">
      <alignment horizontal="left" readingOrder="0" shrinkToFit="0" vertical="center" wrapText="1"/>
    </xf>
    <xf borderId="17" fillId="0" fontId="2" numFmtId="0" xfId="0" applyAlignment="1" applyBorder="1" applyFont="1">
      <alignment horizontal="right" readingOrder="0" shrinkToFit="0" vertical="center" wrapText="1"/>
    </xf>
    <xf borderId="17" fillId="0" fontId="2" numFmtId="0" xfId="0" applyAlignment="1" applyBorder="1" applyFont="1">
      <alignment horizontal="center" readingOrder="0" shrinkToFit="0" vertical="center" wrapText="1"/>
    </xf>
    <xf borderId="17" fillId="0" fontId="2" numFmtId="49" xfId="0" applyAlignment="1" applyBorder="1" applyFont="1" applyNumberFormat="1">
      <alignment horizontal="left" readingOrder="0" shrinkToFit="0" vertical="center" wrapText="1"/>
    </xf>
    <xf borderId="17" fillId="0" fontId="19" numFmtId="0" xfId="0" applyAlignment="1" applyBorder="1" applyFont="1">
      <alignment readingOrder="0" vertical="bottom"/>
    </xf>
    <xf borderId="17" fillId="0" fontId="19" numFmtId="164" xfId="0" applyAlignment="1" applyBorder="1" applyFont="1" applyNumberFormat="1">
      <alignment vertical="bottom"/>
    </xf>
    <xf borderId="17" fillId="0" fontId="2" numFmtId="49" xfId="0" applyAlignment="1" applyBorder="1" applyFont="1" applyNumberFormat="1">
      <alignment horizontal="left" shrinkToFit="0" vertical="center" wrapText="1"/>
    </xf>
    <xf borderId="5" fillId="0" fontId="2" numFmtId="0" xfId="0" applyAlignment="1" applyBorder="1" applyFont="1">
      <alignment horizontal="left" readingOrder="0" shrinkToFit="0" vertical="center" wrapText="1"/>
    </xf>
    <xf borderId="5" fillId="0" fontId="2" numFmtId="0" xfId="0" applyAlignment="1" applyBorder="1" applyFont="1">
      <alignment horizontal="right" readingOrder="0" shrinkToFit="0" vertical="center" wrapText="1"/>
    </xf>
    <xf borderId="17" fillId="0" fontId="2" numFmtId="49" xfId="0" applyAlignment="1" applyBorder="1" applyFont="1" applyNumberFormat="1">
      <alignment horizontal="center" shrinkToFit="0" vertical="center" wrapText="1"/>
    </xf>
    <xf borderId="17" fillId="0" fontId="2" numFmtId="164" xfId="0" applyAlignment="1" applyBorder="1" applyFont="1" applyNumberFormat="1">
      <alignment horizontal="left" shrinkToFit="0" vertical="center" wrapText="1"/>
    </xf>
    <xf borderId="17" fillId="0" fontId="2" numFmtId="164" xfId="0" applyAlignment="1" applyBorder="1" applyFont="1" applyNumberFormat="1">
      <alignment horizontal="right" shrinkToFit="0" vertical="center" wrapText="1"/>
    </xf>
    <xf borderId="0" fillId="7" fontId="25" numFmtId="0" xfId="0" applyAlignment="1" applyFont="1">
      <alignment horizontal="center" readingOrder="0" shrinkToFit="0" vertical="center" wrapText="1"/>
    </xf>
    <xf borderId="0" fillId="0" fontId="2" numFmtId="0" xfId="0" applyAlignment="1" applyFont="1">
      <alignment readingOrder="0" vertical="center"/>
    </xf>
    <xf borderId="0" fillId="0" fontId="2" numFmtId="0" xfId="0" applyAlignment="1" applyFont="1">
      <alignment vertical="center"/>
    </xf>
    <xf borderId="0" fillId="14" fontId="2" numFmtId="0" xfId="0" applyAlignment="1" applyFill="1" applyFont="1">
      <alignment horizontal="center" vertical="center"/>
    </xf>
    <xf borderId="0" fillId="0" fontId="2" numFmtId="49" xfId="0" applyAlignment="1" applyFont="1" applyNumberFormat="1">
      <alignment vertical="center"/>
    </xf>
    <xf borderId="0" fillId="15" fontId="26" numFmtId="0" xfId="0" applyAlignment="1" applyFill="1" applyFont="1">
      <alignment horizontal="center" readingOrder="0" shrinkToFit="0" vertical="center" wrapText="1"/>
    </xf>
    <xf borderId="0" fillId="7" fontId="26" numFmtId="0" xfId="0" applyAlignment="1" applyFont="1">
      <alignment horizontal="center" readingOrder="0" shrinkToFit="0" vertical="center" wrapText="1"/>
    </xf>
    <xf borderId="12" fillId="15" fontId="26" numFmtId="0" xfId="0" applyAlignment="1" applyBorder="1" applyFont="1">
      <alignment horizontal="center" readingOrder="0" shrinkToFit="0" vertical="center" wrapText="1"/>
    </xf>
    <xf borderId="0" fillId="7" fontId="14" numFmtId="164" xfId="0" applyAlignment="1" applyFont="1" applyNumberFormat="1">
      <alignment vertical="center"/>
    </xf>
    <xf borderId="0" fillId="7" fontId="14" numFmtId="0" xfId="0" applyAlignment="1" applyFont="1">
      <alignment vertical="center"/>
    </xf>
    <xf borderId="12" fillId="7" fontId="14" numFmtId="0" xfId="0" applyAlignment="1" applyBorder="1" applyFont="1">
      <alignment vertical="center"/>
    </xf>
    <xf borderId="0" fillId="15" fontId="14" numFmtId="1" xfId="0" applyAlignment="1" applyFont="1" applyNumberFormat="1">
      <alignment vertical="center"/>
    </xf>
    <xf borderId="0" fillId="7" fontId="26" numFmtId="0" xfId="0" applyAlignment="1" applyFont="1">
      <alignment horizontal="center" readingOrder="0"/>
    </xf>
    <xf borderId="0" fillId="15" fontId="2" numFmtId="164" xfId="0" applyFont="1" applyNumberFormat="1"/>
    <xf borderId="0" fillId="15" fontId="2" numFmtId="0" xfId="0" applyFont="1"/>
    <xf borderId="0" fillId="7" fontId="2" numFmtId="0" xfId="0" applyFont="1"/>
    <xf borderId="0" fillId="7" fontId="26" numFmtId="0" xfId="0" applyAlignment="1" applyFont="1">
      <alignment horizontal="left" readingOrder="0"/>
    </xf>
  </cellXfs>
  <cellStyles count="1">
    <cellStyle xfId="0" name="Normal" builtinId="0"/>
  </cellStyles>
  <dxfs count="6">
    <dxf>
      <font>
        <i/>
        <color rgb="FF999999"/>
      </font>
      <fill>
        <patternFill patternType="none"/>
      </fill>
      <border/>
    </dxf>
    <dxf>
      <font/>
      <fill>
        <patternFill patternType="none"/>
      </fill>
      <border/>
    </dxf>
    <dxf>
      <font/>
      <fill>
        <patternFill patternType="solid">
          <fgColor rgb="FF237F49"/>
          <bgColor rgb="FF237F49"/>
        </patternFill>
      </fill>
      <border/>
    </dxf>
    <dxf>
      <font/>
      <fill>
        <patternFill patternType="solid">
          <fgColor rgb="FFFFFFFF"/>
          <bgColor rgb="FFFFFFFF"/>
        </patternFill>
      </fill>
      <border/>
    </dxf>
    <dxf>
      <font/>
      <fill>
        <patternFill patternType="solid">
          <fgColor rgb="FFE8EBF4"/>
          <bgColor rgb="FFE8EBF4"/>
        </patternFill>
      </fill>
      <border/>
    </dxf>
    <dxf>
      <font/>
      <fill>
        <patternFill patternType="solid">
          <fgColor rgb="FFFF0000"/>
          <bgColor rgb="FFFF0000"/>
        </patternFill>
      </fill>
      <border/>
    </dxf>
  </dxfs>
  <tableStyles count="1">
    <tableStyle count="3" pivot="0" name="Current inventory list-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EFEFEF"/>
                </a:solidFill>
                <a:latin typeface="Roboto"/>
              </a:defRPr>
            </a:pPr>
            <a:r>
              <a:rPr b="0">
                <a:solidFill>
                  <a:srgbClr val="EFEFEF"/>
                </a:solidFill>
                <a:latin typeface="Roboto"/>
              </a:rPr>
              <a:t>Volume of items per day (last 15 days)</a:t>
            </a:r>
          </a:p>
        </c:rich>
      </c:tx>
      <c:overlay val="0"/>
    </c:title>
    <c:plotArea>
      <c:layout/>
      <c:areaChart>
        <c:grouping val="stacked"/>
        <c:ser>
          <c:idx val="0"/>
          <c:order val="0"/>
          <c:tx>
            <c:strRef>
              <c:f>'Data preparation (Last 15 days)'!$B$1</c:f>
            </c:strRef>
          </c:tx>
          <c:spPr>
            <a:solidFill>
              <a:srgbClr val="00C1FF">
                <a:alpha val="30000"/>
              </a:srgbClr>
            </a:solidFill>
            <a:ln cmpd="sng" w="38100">
              <a:solidFill>
                <a:srgbClr val="00C1FF"/>
              </a:solidFill>
            </a:ln>
          </c:spPr>
          <c:cat>
            <c:strRef>
              <c:f>'Data preparation (Last 15 days)'!$A$2:$A$16</c:f>
            </c:strRef>
          </c:cat>
          <c:val>
            <c:numRef>
              <c:f>'Data preparation (Last 15 days)'!$B$2:$B$16</c:f>
              <c:numCache/>
            </c:numRef>
          </c:val>
        </c:ser>
        <c:ser>
          <c:idx val="1"/>
          <c:order val="1"/>
          <c:tx>
            <c:strRef>
              <c:f>'Data preparation (Last 15 days)'!$C$1</c:f>
            </c:strRef>
          </c:tx>
          <c:spPr>
            <a:solidFill>
              <a:srgbClr val="FF5C5C">
                <a:alpha val="30000"/>
              </a:srgbClr>
            </a:solidFill>
            <a:ln cmpd="sng" w="19050">
              <a:solidFill>
                <a:srgbClr val="FF5C5C"/>
              </a:solidFill>
            </a:ln>
          </c:spPr>
          <c:cat>
            <c:strRef>
              <c:f>'Data preparation (Last 15 days)'!$A$2:$A$16</c:f>
            </c:strRef>
          </c:cat>
          <c:val>
            <c:numRef>
              <c:f>'Data preparation (Last 15 days)'!$C$2:$C$16</c:f>
              <c:numCache/>
            </c:numRef>
          </c:val>
        </c:ser>
        <c:axId val="1547511230"/>
        <c:axId val="1485315262"/>
      </c:areaChart>
      <c:catAx>
        <c:axId val="154751123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EFEFEF"/>
                </a:solidFill>
                <a:latin typeface="Roboto"/>
              </a:defRPr>
            </a:pPr>
          </a:p>
        </c:txPr>
        <c:crossAx val="1485315262"/>
      </c:catAx>
      <c:valAx>
        <c:axId val="14853152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EFEFEF"/>
                </a:solidFill>
                <a:latin typeface="Roboto"/>
              </a:defRPr>
            </a:pPr>
          </a:p>
        </c:txPr>
        <c:crossAx val="1547511230"/>
      </c:valAx>
    </c:plotArea>
    <c:legend>
      <c:legendPos val="t"/>
      <c:overlay val="0"/>
      <c:txPr>
        <a:bodyPr/>
        <a:lstStyle/>
        <a:p>
          <a:pPr lvl="0">
            <a:defRPr b="0">
              <a:solidFill>
                <a:srgbClr val="EFEFEF"/>
              </a:solidFill>
              <a:latin typeface="Roboto"/>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EFEFEF"/>
                </a:solidFill>
                <a:latin typeface="Roboto"/>
              </a:defRPr>
            </a:pPr>
            <a:r>
              <a:rPr b="0">
                <a:solidFill>
                  <a:srgbClr val="EFEFEF"/>
                </a:solidFill>
                <a:latin typeface="Roboto"/>
              </a:rPr>
              <a:t>Average check-out items per weekday</a:t>
            </a:r>
          </a:p>
        </c:rich>
      </c:tx>
      <c:overlay val="0"/>
    </c:title>
    <c:plotArea>
      <c:layout/>
      <c:barChart>
        <c:barDir val="bar"/>
        <c:ser>
          <c:idx val="0"/>
          <c:order val="0"/>
          <c:tx>
            <c:strRef>
              <c:f>'Data preparation (Week analysis'!$E$1</c:f>
            </c:strRef>
          </c:tx>
          <c:cat>
            <c:strRef>
              <c:f>'Data preparation (Week analysis'!$D$2:$D$8</c:f>
            </c:strRef>
          </c:cat>
          <c:val>
            <c:numRef>
              <c:f>'Data preparation (Week analysis'!$E$2:$E$8</c:f>
              <c:numCache/>
            </c:numRef>
          </c:val>
        </c:ser>
        <c:axId val="2060831138"/>
        <c:axId val="228674336"/>
      </c:barChart>
      <c:catAx>
        <c:axId val="2060831138"/>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EFEFEF"/>
                </a:solidFill>
                <a:latin typeface="Roboto"/>
              </a:defRPr>
            </a:pPr>
          </a:p>
        </c:txPr>
        <c:crossAx val="228674336"/>
      </c:catAx>
      <c:valAx>
        <c:axId val="228674336"/>
        <c:scaling>
          <c:orientation val="minMax"/>
        </c:scaling>
        <c:delete val="0"/>
        <c:axPos val="b"/>
        <c:tickLblPos val="nextTo"/>
        <c:spPr>
          <a:ln>
            <a:noFill/>
          </a:ln>
        </c:spPr>
        <c:crossAx val="2060831138"/>
        <c:crosses val="max"/>
      </c:valAx>
    </c:plotArea>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EFEFEF"/>
                </a:solidFill>
                <a:latin typeface="Roboto"/>
              </a:defRPr>
            </a:pPr>
            <a:r>
              <a:rPr b="0">
                <a:solidFill>
                  <a:srgbClr val="EFEFEF"/>
                </a:solidFill>
                <a:latin typeface="Roboto"/>
              </a:rPr>
              <a:t>Over sold items</a:t>
            </a:r>
          </a:p>
        </c:rich>
      </c:tx>
      <c:overlay val="0"/>
    </c:title>
    <c:plotArea>
      <c:layout/>
      <c:barChart>
        <c:barDir val="col"/>
        <c:ser>
          <c:idx val="0"/>
          <c:order val="0"/>
          <c:tx>
            <c:strRef>
              <c:f>'Data preparation (Over sold ite'!$B$1</c:f>
            </c:strRef>
          </c:tx>
          <c:spPr>
            <a:solidFill>
              <a:srgbClr val="FF5C5C"/>
            </a:solidFill>
            <a:ln cmpd="sng">
              <a:solidFill>
                <a:srgbClr val="000000"/>
              </a:solidFill>
            </a:ln>
          </c:spPr>
          <c:cat>
            <c:strRef>
              <c:f>'Data preparation (Over sold ite'!$A$2:$A$15</c:f>
            </c:strRef>
          </c:cat>
          <c:val>
            <c:numRef>
              <c:f>'Data preparation (Over sold ite'!$B$2:$B$15</c:f>
              <c:numCache/>
            </c:numRef>
          </c:val>
        </c:ser>
        <c:ser>
          <c:idx val="1"/>
          <c:order val="1"/>
          <c:tx>
            <c:strRef>
              <c:f>'Data preparation (Over sold ite'!$C$1</c:f>
            </c:strRef>
          </c:tx>
          <c:cat>
            <c:strRef>
              <c:f>'Data preparation (Over sold ite'!$A$2:$A$15</c:f>
            </c:strRef>
          </c:cat>
          <c:val>
            <c:numRef>
              <c:f>'Data preparation (Over sold ite'!$C$2:$C$15</c:f>
              <c:numCache/>
            </c:numRef>
          </c:val>
        </c:ser>
        <c:ser>
          <c:idx val="2"/>
          <c:order val="2"/>
          <c:tx>
            <c:strRef>
              <c:f>'Data preparation (Over sold ite'!$D$1</c:f>
            </c:strRef>
          </c:tx>
          <c:cat>
            <c:strRef>
              <c:f>'Data preparation (Over sold ite'!$A$2:$A$15</c:f>
            </c:strRef>
          </c:cat>
          <c:val>
            <c:numRef>
              <c:f>'Data preparation (Over sold ite'!$D$2:$D$15</c:f>
              <c:numCache/>
            </c:numRef>
          </c:val>
        </c:ser>
        <c:ser>
          <c:idx val="3"/>
          <c:order val="3"/>
          <c:tx>
            <c:strRef>
              <c:f>'Data preparation (Over sold ite'!$E$1</c:f>
            </c:strRef>
          </c:tx>
          <c:cat>
            <c:strRef>
              <c:f>'Data preparation (Over sold ite'!$A$2:$A$15</c:f>
            </c:strRef>
          </c:cat>
          <c:val>
            <c:numRef>
              <c:f>'Data preparation (Over sold ite'!$E$2:$E$15</c:f>
              <c:numCache/>
            </c:numRef>
          </c:val>
        </c:ser>
        <c:axId val="587086793"/>
        <c:axId val="1246239194"/>
      </c:barChart>
      <c:catAx>
        <c:axId val="58708679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EFEFEF"/>
                </a:solidFill>
                <a:latin typeface="Roboto"/>
              </a:defRPr>
            </a:pPr>
          </a:p>
        </c:txPr>
        <c:crossAx val="1246239194"/>
      </c:catAx>
      <c:valAx>
        <c:axId val="12462391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EFEFEF"/>
                </a:solidFill>
                <a:latin typeface="Roboto"/>
              </a:defRPr>
            </a:pPr>
          </a:p>
        </c:txPr>
        <c:crossAx val="587086793"/>
      </c:valAx>
    </c:plotArea>
    <c:legend>
      <c:legendPos val="r"/>
      <c:overlay val="0"/>
      <c:txPr>
        <a:bodyPr/>
        <a:lstStyle/>
        <a:p>
          <a:pPr lvl="0">
            <a:defRPr b="0">
              <a:solidFill>
                <a:srgbClr val="EFEFEF"/>
              </a:solidFill>
              <a:latin typeface="Roboto"/>
            </a:defRPr>
          </a:pPr>
        </a:p>
      </c:txPr>
    </c:legend>
    <c:plotVisOnly val="1"/>
  </c:chart>
  <c:spPr>
    <a:solidFill>
      <a:srgbClr val="FFFFFF">
        <a:alpha val="0"/>
      </a:srgbClr>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1.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14</xdr:row>
      <xdr:rowOff>9525</xdr:rowOff>
    </xdr:from>
    <xdr:ext cx="5172075" cy="3600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219075</xdr:colOff>
      <xdr:row>14</xdr:row>
      <xdr:rowOff>9525</xdr:rowOff>
    </xdr:from>
    <xdr:ext cx="4857750" cy="36004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180975</xdr:colOff>
      <xdr:row>14</xdr:row>
      <xdr:rowOff>9525</xdr:rowOff>
    </xdr:from>
    <xdr:ext cx="5219700" cy="36004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447675</xdr:colOff>
      <xdr:row>2</xdr:row>
      <xdr:rowOff>76200</xdr:rowOff>
    </xdr:from>
    <xdr:ext cx="2019300" cy="1295400"/>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266700</xdr:colOff>
      <xdr:row>7</xdr:row>
      <xdr:rowOff>342900</xdr:rowOff>
    </xdr:from>
    <xdr:ext cx="1200150" cy="25717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000" displayName="Table_1" name="Table_1" id="1">
  <tableColumns count="7">
    <tableColumn name="Stock keeping unit (SKU)" id="1"/>
    <tableColumn name="Item name" id="2"/>
    <tableColumn name="Unit of measure" id="3"/>
    <tableColumn name="Check-in total" id="4"/>
    <tableColumn name="Check-out total" id="5"/>
    <tableColumn name="Inventory" id="6"/>
    <tableColumn name="% Available" id="7"/>
  </tableColumns>
  <tableStyleInfo name="Current inventory list-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12.63"/>
    <col customWidth="1" min="3" max="3" width="50.13"/>
    <col customWidth="1" min="4" max="5" width="15.13"/>
  </cols>
  <sheetData>
    <row r="1" ht="35.25" customHeight="1">
      <c r="A1" s="1" t="s">
        <v>0</v>
      </c>
      <c r="B1" s="1" t="s">
        <v>1</v>
      </c>
      <c r="C1" s="2" t="str">
        <f t="array" ref="C1:C998">IF(ROW(A1:A998)=1,"Item name (automatic fill)",IF(B1:B998="","",VLOOKUP(B1:B998,'Check-in'!B:C,2,FALSE)))</f>
        <v>Item name (automatic fill)</v>
      </c>
      <c r="D1" s="1" t="s">
        <v>2</v>
      </c>
      <c r="E1" s="1" t="str">
        <f t="array" ref="E1:E998">IF(ROW(A1:A998)=1,"Unit of measure (automatic fill)",IF(B1:B998="","",VLOOKUP(B1:B998,'Check-in'!B:E,4,FALSE)))</f>
        <v>Unit of measure (automatic fill)</v>
      </c>
    </row>
    <row r="2" ht="22.5" customHeight="1">
      <c r="A2" s="3">
        <v>44808.0</v>
      </c>
      <c r="B2" s="4"/>
      <c r="C2" s="5" t="s">
        <v>3</v>
      </c>
      <c r="D2" s="6"/>
      <c r="E2" s="5" t="s">
        <v>3</v>
      </c>
    </row>
    <row r="3" ht="22.5" customHeight="1">
      <c r="A3" s="3"/>
      <c r="B3" s="7" t="s">
        <v>4</v>
      </c>
      <c r="C3" s="8" t="s">
        <v>5</v>
      </c>
      <c r="D3" s="6">
        <v>1.0</v>
      </c>
      <c r="E3" s="8" t="s">
        <v>6</v>
      </c>
    </row>
    <row r="4" ht="22.5" customHeight="1">
      <c r="A4" s="3"/>
      <c r="B4" s="7"/>
      <c r="C4" s="8" t="s">
        <v>3</v>
      </c>
      <c r="D4" s="6"/>
      <c r="E4" s="8" t="s">
        <v>3</v>
      </c>
    </row>
    <row r="5" ht="22.5" customHeight="1">
      <c r="A5" s="9"/>
      <c r="B5" s="7"/>
      <c r="C5" s="8" t="s">
        <v>3</v>
      </c>
      <c r="D5" s="6"/>
      <c r="E5" s="8" t="s">
        <v>3</v>
      </c>
    </row>
    <row r="6" ht="22.5" customHeight="1">
      <c r="A6" s="9"/>
      <c r="B6" s="7"/>
      <c r="C6" s="8" t="s">
        <v>3</v>
      </c>
      <c r="D6" s="6"/>
      <c r="E6" s="8" t="s">
        <v>3</v>
      </c>
    </row>
    <row r="7" ht="22.5" customHeight="1">
      <c r="A7" s="10"/>
      <c r="B7" s="7"/>
      <c r="C7" s="8" t="s">
        <v>3</v>
      </c>
      <c r="D7" s="6"/>
      <c r="E7" s="8" t="s">
        <v>3</v>
      </c>
    </row>
    <row r="8" ht="22.5" customHeight="1">
      <c r="A8" s="10"/>
      <c r="B8" s="7"/>
      <c r="C8" s="8" t="s">
        <v>3</v>
      </c>
      <c r="D8" s="6"/>
      <c r="E8" s="8" t="s">
        <v>3</v>
      </c>
    </row>
    <row r="9" ht="22.5" customHeight="1">
      <c r="A9" s="10"/>
      <c r="B9" s="7"/>
      <c r="C9" s="8" t="s">
        <v>3</v>
      </c>
      <c r="D9" s="6"/>
      <c r="E9" s="8" t="s">
        <v>3</v>
      </c>
    </row>
    <row r="10" ht="22.5" customHeight="1">
      <c r="A10" s="10"/>
      <c r="B10" s="7"/>
      <c r="C10" s="8" t="s">
        <v>3</v>
      </c>
      <c r="D10" s="6"/>
      <c r="E10" s="8" t="s">
        <v>3</v>
      </c>
    </row>
    <row r="11" ht="22.5" customHeight="1">
      <c r="A11" s="9"/>
      <c r="B11" s="7"/>
      <c r="C11" s="8" t="s">
        <v>3</v>
      </c>
      <c r="D11" s="6"/>
      <c r="E11" s="8" t="s">
        <v>3</v>
      </c>
    </row>
    <row r="12" ht="22.5" customHeight="1">
      <c r="A12" s="9"/>
      <c r="B12" s="7"/>
      <c r="C12" s="8" t="s">
        <v>3</v>
      </c>
      <c r="D12" s="6"/>
      <c r="E12" s="8" t="s">
        <v>3</v>
      </c>
    </row>
    <row r="13" ht="22.5" customHeight="1">
      <c r="A13" s="9"/>
      <c r="B13" s="7"/>
      <c r="C13" s="8" t="s">
        <v>3</v>
      </c>
      <c r="D13" s="11"/>
      <c r="E13" s="8" t="s">
        <v>3</v>
      </c>
    </row>
    <row r="14" ht="22.5" customHeight="1">
      <c r="A14" s="9"/>
      <c r="B14" s="7"/>
      <c r="C14" s="8" t="s">
        <v>3</v>
      </c>
      <c r="D14" s="11"/>
      <c r="E14" s="8" t="s">
        <v>3</v>
      </c>
    </row>
    <row r="15" ht="22.5" customHeight="1">
      <c r="A15" s="9"/>
      <c r="B15" s="7"/>
      <c r="C15" s="8" t="s">
        <v>3</v>
      </c>
      <c r="D15" s="11"/>
      <c r="E15" s="8" t="s">
        <v>3</v>
      </c>
    </row>
    <row r="16" ht="22.5" customHeight="1">
      <c r="A16" s="9"/>
      <c r="B16" s="7"/>
      <c r="C16" s="8" t="s">
        <v>3</v>
      </c>
      <c r="D16" s="11"/>
      <c r="E16" s="8" t="s">
        <v>3</v>
      </c>
    </row>
    <row r="17" ht="22.5" customHeight="1">
      <c r="A17" s="10"/>
      <c r="B17" s="7"/>
      <c r="C17" s="8" t="s">
        <v>3</v>
      </c>
      <c r="D17" s="11"/>
      <c r="E17" s="8" t="s">
        <v>3</v>
      </c>
    </row>
    <row r="18" ht="22.5" customHeight="1">
      <c r="A18" s="10"/>
      <c r="B18" s="7"/>
      <c r="C18" s="8" t="s">
        <v>3</v>
      </c>
      <c r="D18" s="11"/>
      <c r="E18" s="8" t="s">
        <v>3</v>
      </c>
    </row>
    <row r="19" ht="22.5" customHeight="1">
      <c r="A19" s="12"/>
      <c r="B19" s="7"/>
      <c r="C19" s="8" t="s">
        <v>3</v>
      </c>
      <c r="D19" s="11"/>
      <c r="E19" s="8" t="s">
        <v>3</v>
      </c>
    </row>
    <row r="20" ht="22.5" customHeight="1">
      <c r="A20" s="10"/>
      <c r="B20" s="7"/>
      <c r="C20" s="8" t="s">
        <v>3</v>
      </c>
      <c r="D20" s="11"/>
      <c r="E20" s="8" t="s">
        <v>3</v>
      </c>
    </row>
    <row r="21" ht="22.5" customHeight="1">
      <c r="A21" s="10"/>
      <c r="B21" s="7"/>
      <c r="C21" s="8" t="s">
        <v>3</v>
      </c>
      <c r="D21" s="11"/>
      <c r="E21" s="8" t="s">
        <v>3</v>
      </c>
    </row>
    <row r="22" ht="22.5" customHeight="1">
      <c r="A22" s="9"/>
      <c r="B22" s="7"/>
      <c r="C22" s="8" t="s">
        <v>3</v>
      </c>
      <c r="D22" s="11"/>
      <c r="E22" s="8" t="s">
        <v>3</v>
      </c>
    </row>
    <row r="23" ht="22.5" customHeight="1">
      <c r="A23" s="9"/>
      <c r="B23" s="7"/>
      <c r="C23" s="8" t="s">
        <v>3</v>
      </c>
      <c r="D23" s="11"/>
      <c r="E23" s="8" t="s">
        <v>3</v>
      </c>
    </row>
    <row r="24" ht="22.5" customHeight="1">
      <c r="A24" s="10"/>
      <c r="B24" s="7"/>
      <c r="C24" s="8" t="s">
        <v>3</v>
      </c>
      <c r="D24" s="11"/>
      <c r="E24" s="8" t="s">
        <v>3</v>
      </c>
    </row>
    <row r="25" ht="22.5" customHeight="1">
      <c r="A25" s="9"/>
      <c r="B25" s="7"/>
      <c r="C25" s="13" t="s">
        <v>3</v>
      </c>
      <c r="D25" s="11"/>
      <c r="E25" s="13" t="s">
        <v>3</v>
      </c>
    </row>
    <row r="26" ht="22.5" customHeight="1">
      <c r="A26" s="9"/>
      <c r="B26" s="7"/>
      <c r="C26" s="13" t="s">
        <v>3</v>
      </c>
      <c r="D26" s="11"/>
      <c r="E26" s="13" t="s">
        <v>3</v>
      </c>
    </row>
    <row r="27" ht="22.5" customHeight="1">
      <c r="A27" s="9"/>
      <c r="B27" s="7"/>
      <c r="C27" s="8" t="s">
        <v>3</v>
      </c>
      <c r="D27" s="11"/>
      <c r="E27" s="8" t="s">
        <v>3</v>
      </c>
    </row>
    <row r="28" ht="22.5" customHeight="1">
      <c r="A28" s="9"/>
      <c r="B28" s="7"/>
      <c r="C28" s="8" t="s">
        <v>3</v>
      </c>
      <c r="D28" s="11"/>
      <c r="E28" s="8" t="s">
        <v>3</v>
      </c>
    </row>
    <row r="29" ht="22.5" customHeight="1">
      <c r="A29" s="9"/>
      <c r="B29" s="7"/>
      <c r="C29" s="8" t="s">
        <v>3</v>
      </c>
      <c r="D29" s="11"/>
      <c r="E29" s="8" t="s">
        <v>3</v>
      </c>
    </row>
    <row r="30" ht="22.5" customHeight="1">
      <c r="A30" s="9"/>
      <c r="B30" s="7"/>
      <c r="C30" s="8" t="s">
        <v>3</v>
      </c>
      <c r="D30" s="11"/>
      <c r="E30" s="8" t="s">
        <v>3</v>
      </c>
    </row>
    <row r="31" ht="22.5" customHeight="1">
      <c r="A31" s="10"/>
      <c r="B31" s="7"/>
      <c r="C31" s="8" t="s">
        <v>3</v>
      </c>
      <c r="D31" s="11"/>
      <c r="E31" s="8" t="s">
        <v>3</v>
      </c>
    </row>
    <row r="32" ht="22.5" customHeight="1">
      <c r="A32" s="10"/>
      <c r="B32" s="7"/>
      <c r="C32" s="8" t="s">
        <v>3</v>
      </c>
      <c r="D32" s="11"/>
      <c r="E32" s="8" t="s">
        <v>3</v>
      </c>
    </row>
    <row r="33" ht="22.5" customHeight="1">
      <c r="A33" s="10"/>
      <c r="B33" s="7"/>
      <c r="C33" s="8" t="s">
        <v>3</v>
      </c>
      <c r="D33" s="11"/>
      <c r="E33" s="8" t="s">
        <v>3</v>
      </c>
    </row>
    <row r="34" ht="22.5" customHeight="1">
      <c r="A34" s="10"/>
      <c r="B34" s="7"/>
      <c r="C34" s="8" t="s">
        <v>3</v>
      </c>
      <c r="D34" s="11"/>
      <c r="E34" s="8" t="s">
        <v>3</v>
      </c>
    </row>
    <row r="35" ht="22.5" customHeight="1">
      <c r="A35" s="10"/>
      <c r="B35" s="7"/>
      <c r="C35" s="8" t="s">
        <v>3</v>
      </c>
      <c r="D35" s="11"/>
      <c r="E35" s="8" t="s">
        <v>3</v>
      </c>
    </row>
    <row r="36" ht="22.5" customHeight="1">
      <c r="A36" s="10"/>
      <c r="B36" s="7"/>
      <c r="C36" s="8" t="s">
        <v>3</v>
      </c>
      <c r="D36" s="11"/>
      <c r="E36" s="8" t="s">
        <v>3</v>
      </c>
    </row>
    <row r="37" ht="22.5" customHeight="1">
      <c r="A37" s="10"/>
      <c r="B37" s="7"/>
      <c r="C37" s="8" t="s">
        <v>3</v>
      </c>
      <c r="D37" s="11"/>
      <c r="E37" s="8" t="s">
        <v>3</v>
      </c>
    </row>
    <row r="38" ht="22.5" customHeight="1">
      <c r="A38" s="10"/>
      <c r="B38" s="7"/>
      <c r="C38" s="8" t="s">
        <v>3</v>
      </c>
      <c r="D38" s="11"/>
      <c r="E38" s="8" t="s">
        <v>3</v>
      </c>
    </row>
    <row r="39" ht="22.5" customHeight="1">
      <c r="A39" s="10"/>
      <c r="B39" s="7"/>
      <c r="C39" s="8" t="s">
        <v>3</v>
      </c>
      <c r="D39" s="11"/>
      <c r="E39" s="8" t="s">
        <v>3</v>
      </c>
    </row>
    <row r="40" ht="22.5" customHeight="1">
      <c r="A40" s="10"/>
      <c r="B40" s="7"/>
      <c r="C40" s="8" t="s">
        <v>3</v>
      </c>
      <c r="D40" s="11"/>
      <c r="E40" s="8" t="s">
        <v>3</v>
      </c>
    </row>
    <row r="41" ht="22.5" customHeight="1">
      <c r="A41" s="10"/>
      <c r="B41" s="7"/>
      <c r="C41" s="8" t="s">
        <v>3</v>
      </c>
      <c r="D41" s="11"/>
      <c r="E41" s="8" t="s">
        <v>3</v>
      </c>
    </row>
    <row r="42" ht="22.5" customHeight="1">
      <c r="A42" s="10"/>
      <c r="B42" s="7"/>
      <c r="C42" s="8" t="s">
        <v>3</v>
      </c>
      <c r="D42" s="11"/>
      <c r="E42" s="8" t="s">
        <v>3</v>
      </c>
    </row>
    <row r="43" ht="22.5" customHeight="1">
      <c r="A43" s="9"/>
      <c r="B43" s="7"/>
      <c r="C43" s="8" t="s">
        <v>3</v>
      </c>
      <c r="D43" s="11"/>
      <c r="E43" s="8" t="s">
        <v>3</v>
      </c>
    </row>
    <row r="44" ht="22.5" customHeight="1">
      <c r="A44" s="9"/>
      <c r="B44" s="7"/>
      <c r="C44" s="8" t="s">
        <v>3</v>
      </c>
      <c r="D44" s="11"/>
      <c r="E44" s="8" t="s">
        <v>3</v>
      </c>
    </row>
    <row r="45" ht="22.5" customHeight="1">
      <c r="A45" s="9"/>
      <c r="B45" s="7"/>
      <c r="C45" s="8" t="s">
        <v>3</v>
      </c>
      <c r="D45" s="11"/>
      <c r="E45" s="8" t="s">
        <v>3</v>
      </c>
    </row>
    <row r="46" ht="22.5" customHeight="1">
      <c r="A46" s="10"/>
      <c r="B46" s="7"/>
      <c r="C46" s="8" t="s">
        <v>3</v>
      </c>
      <c r="D46" s="11"/>
      <c r="E46" s="8" t="s">
        <v>3</v>
      </c>
    </row>
    <row r="47" ht="22.5" customHeight="1">
      <c r="A47" s="10"/>
      <c r="B47" s="7"/>
      <c r="C47" s="8" t="s">
        <v>3</v>
      </c>
      <c r="D47" s="11"/>
      <c r="E47" s="8" t="s">
        <v>3</v>
      </c>
    </row>
    <row r="48" ht="22.5" customHeight="1">
      <c r="A48" s="9"/>
      <c r="B48" s="7"/>
      <c r="C48" s="8" t="s">
        <v>3</v>
      </c>
      <c r="D48" s="11"/>
      <c r="E48" s="8" t="s">
        <v>3</v>
      </c>
    </row>
    <row r="49" ht="22.5" customHeight="1">
      <c r="A49" s="10"/>
      <c r="B49" s="7"/>
      <c r="C49" s="8" t="s">
        <v>3</v>
      </c>
      <c r="D49" s="11"/>
      <c r="E49" s="8" t="s">
        <v>3</v>
      </c>
    </row>
    <row r="50" ht="22.5" customHeight="1">
      <c r="A50" s="10"/>
      <c r="B50" s="7"/>
      <c r="C50" s="8" t="s">
        <v>3</v>
      </c>
      <c r="D50" s="11"/>
      <c r="E50" s="8" t="s">
        <v>3</v>
      </c>
    </row>
    <row r="51" ht="22.5" customHeight="1">
      <c r="A51" s="9"/>
      <c r="B51" s="7"/>
      <c r="C51" s="8" t="s">
        <v>3</v>
      </c>
      <c r="D51" s="11"/>
      <c r="E51" s="8" t="s">
        <v>3</v>
      </c>
    </row>
    <row r="52" ht="22.5" customHeight="1">
      <c r="A52" s="10"/>
      <c r="B52" s="7"/>
      <c r="C52" s="8" t="s">
        <v>3</v>
      </c>
      <c r="D52" s="11"/>
      <c r="E52" s="8" t="s">
        <v>3</v>
      </c>
    </row>
    <row r="53" ht="22.5" customHeight="1">
      <c r="A53" s="10"/>
      <c r="B53" s="7"/>
      <c r="C53" s="8" t="s">
        <v>3</v>
      </c>
      <c r="D53" s="11"/>
      <c r="E53" s="8" t="s">
        <v>3</v>
      </c>
    </row>
    <row r="54" ht="22.5" customHeight="1">
      <c r="A54" s="10"/>
      <c r="B54" s="7"/>
      <c r="C54" s="8" t="s">
        <v>3</v>
      </c>
      <c r="D54" s="11"/>
      <c r="E54" s="8" t="s">
        <v>3</v>
      </c>
    </row>
    <row r="55" ht="22.5" customHeight="1">
      <c r="A55" s="10"/>
      <c r="B55" s="7"/>
      <c r="C55" s="8" t="s">
        <v>3</v>
      </c>
      <c r="D55" s="11"/>
      <c r="E55" s="8" t="s">
        <v>3</v>
      </c>
    </row>
    <row r="56" ht="22.5" customHeight="1">
      <c r="A56" s="10"/>
      <c r="B56" s="7"/>
      <c r="C56" s="8" t="s">
        <v>3</v>
      </c>
      <c r="D56" s="11"/>
      <c r="E56" s="8" t="s">
        <v>3</v>
      </c>
    </row>
    <row r="57" ht="22.5" customHeight="1">
      <c r="A57" s="10"/>
      <c r="B57" s="7"/>
      <c r="C57" s="8" t="s">
        <v>3</v>
      </c>
      <c r="D57" s="11"/>
      <c r="E57" s="8" t="s">
        <v>3</v>
      </c>
    </row>
    <row r="58" ht="22.5" customHeight="1">
      <c r="A58" s="10"/>
      <c r="B58" s="7"/>
      <c r="C58" s="8" t="s">
        <v>3</v>
      </c>
      <c r="D58" s="11"/>
      <c r="E58" s="8" t="s">
        <v>3</v>
      </c>
    </row>
    <row r="59" ht="22.5" customHeight="1">
      <c r="A59" s="10"/>
      <c r="B59" s="7"/>
      <c r="C59" s="8" t="s">
        <v>3</v>
      </c>
      <c r="D59" s="11"/>
      <c r="E59" s="8" t="s">
        <v>3</v>
      </c>
    </row>
    <row r="60" ht="22.5" customHeight="1">
      <c r="A60" s="10"/>
      <c r="B60" s="7"/>
      <c r="C60" s="8" t="s">
        <v>3</v>
      </c>
      <c r="D60" s="11"/>
      <c r="E60" s="8" t="s">
        <v>3</v>
      </c>
    </row>
    <row r="61" ht="22.5" customHeight="1">
      <c r="A61" s="10"/>
      <c r="B61" s="7"/>
      <c r="C61" s="8" t="s">
        <v>3</v>
      </c>
      <c r="D61" s="11"/>
      <c r="E61" s="8" t="s">
        <v>3</v>
      </c>
    </row>
    <row r="62" ht="22.5" customHeight="1">
      <c r="A62" s="10"/>
      <c r="B62" s="7"/>
      <c r="C62" s="8" t="s">
        <v>3</v>
      </c>
      <c r="D62" s="11"/>
      <c r="E62" s="8" t="s">
        <v>3</v>
      </c>
    </row>
    <row r="63" ht="22.5" customHeight="1">
      <c r="A63" s="10"/>
      <c r="B63" s="7"/>
      <c r="C63" s="8" t="s">
        <v>3</v>
      </c>
      <c r="D63" s="11"/>
      <c r="E63" s="8" t="s">
        <v>3</v>
      </c>
    </row>
    <row r="64" ht="22.5" customHeight="1">
      <c r="A64" s="10"/>
      <c r="B64" s="7"/>
      <c r="C64" s="8" t="s">
        <v>3</v>
      </c>
      <c r="D64" s="11"/>
      <c r="E64" s="8" t="s">
        <v>3</v>
      </c>
    </row>
    <row r="65" ht="22.5" customHeight="1">
      <c r="A65" s="10"/>
      <c r="B65" s="7"/>
      <c r="C65" s="8" t="s">
        <v>3</v>
      </c>
      <c r="D65" s="11"/>
      <c r="E65" s="8" t="s">
        <v>3</v>
      </c>
    </row>
    <row r="66" ht="22.5" customHeight="1">
      <c r="A66" s="10"/>
      <c r="B66" s="7"/>
      <c r="C66" s="8" t="s">
        <v>3</v>
      </c>
      <c r="D66" s="11"/>
      <c r="E66" s="8" t="s">
        <v>3</v>
      </c>
    </row>
    <row r="67" ht="22.5" customHeight="1">
      <c r="A67" s="10"/>
      <c r="B67" s="7"/>
      <c r="C67" s="8" t="s">
        <v>3</v>
      </c>
      <c r="D67" s="11"/>
      <c r="E67" s="8" t="s">
        <v>3</v>
      </c>
    </row>
    <row r="68" ht="22.5" customHeight="1">
      <c r="A68" s="10"/>
      <c r="B68" s="7"/>
      <c r="C68" s="8" t="s">
        <v>3</v>
      </c>
      <c r="D68" s="11"/>
      <c r="E68" s="8" t="s">
        <v>3</v>
      </c>
    </row>
    <row r="69" ht="22.5" customHeight="1">
      <c r="A69" s="10"/>
      <c r="B69" s="7"/>
      <c r="C69" s="8" t="s">
        <v>3</v>
      </c>
      <c r="D69" s="11"/>
      <c r="E69" s="8" t="s">
        <v>3</v>
      </c>
    </row>
    <row r="70" ht="22.5" customHeight="1">
      <c r="A70" s="10"/>
      <c r="B70" s="7"/>
      <c r="C70" s="8" t="s">
        <v>3</v>
      </c>
      <c r="D70" s="11"/>
      <c r="E70" s="8" t="s">
        <v>3</v>
      </c>
    </row>
    <row r="71" ht="22.5" customHeight="1">
      <c r="A71" s="10"/>
      <c r="B71" s="7"/>
      <c r="C71" s="8" t="s">
        <v>3</v>
      </c>
      <c r="D71" s="11"/>
      <c r="E71" s="8" t="s">
        <v>3</v>
      </c>
    </row>
    <row r="72" ht="22.5" customHeight="1">
      <c r="A72" s="10"/>
      <c r="B72" s="7"/>
      <c r="C72" s="8" t="s">
        <v>3</v>
      </c>
      <c r="D72" s="11"/>
      <c r="E72" s="8" t="s">
        <v>3</v>
      </c>
    </row>
    <row r="73" ht="22.5" customHeight="1">
      <c r="A73" s="10"/>
      <c r="B73" s="7"/>
      <c r="C73" s="8" t="s">
        <v>3</v>
      </c>
      <c r="D73" s="11"/>
      <c r="E73" s="8" t="s">
        <v>3</v>
      </c>
    </row>
    <row r="74" ht="22.5" customHeight="1">
      <c r="A74" s="10"/>
      <c r="B74" s="7"/>
      <c r="C74" s="8" t="s">
        <v>3</v>
      </c>
      <c r="D74" s="11"/>
      <c r="E74" s="8" t="s">
        <v>3</v>
      </c>
    </row>
    <row r="75" ht="22.5" customHeight="1">
      <c r="A75" s="10"/>
      <c r="B75" s="7"/>
      <c r="C75" s="8" t="s">
        <v>3</v>
      </c>
      <c r="D75" s="11"/>
      <c r="E75" s="8" t="s">
        <v>3</v>
      </c>
    </row>
    <row r="76" ht="22.5" customHeight="1">
      <c r="A76" s="10"/>
      <c r="B76" s="7"/>
      <c r="C76" s="8" t="s">
        <v>3</v>
      </c>
      <c r="D76" s="11"/>
      <c r="E76" s="8" t="s">
        <v>3</v>
      </c>
    </row>
    <row r="77" ht="22.5" customHeight="1">
      <c r="A77" s="10"/>
      <c r="B77" s="7"/>
      <c r="C77" s="8" t="s">
        <v>3</v>
      </c>
      <c r="D77" s="11"/>
      <c r="E77" s="8" t="s">
        <v>3</v>
      </c>
    </row>
    <row r="78" ht="22.5" customHeight="1">
      <c r="A78" s="10"/>
      <c r="B78" s="7"/>
      <c r="C78" s="8" t="s">
        <v>3</v>
      </c>
      <c r="D78" s="11"/>
      <c r="E78" s="8" t="s">
        <v>3</v>
      </c>
    </row>
    <row r="79" ht="22.5" customHeight="1">
      <c r="A79" s="10"/>
      <c r="B79" s="7"/>
      <c r="C79" s="8" t="s">
        <v>3</v>
      </c>
      <c r="D79" s="11"/>
      <c r="E79" s="8" t="s">
        <v>3</v>
      </c>
    </row>
    <row r="80" ht="22.5" customHeight="1">
      <c r="A80" s="10"/>
      <c r="B80" s="7"/>
      <c r="C80" s="8" t="s">
        <v>3</v>
      </c>
      <c r="D80" s="11"/>
      <c r="E80" s="8" t="s">
        <v>3</v>
      </c>
    </row>
    <row r="81" ht="22.5" customHeight="1">
      <c r="A81" s="10"/>
      <c r="B81" s="7"/>
      <c r="C81" s="8" t="s">
        <v>3</v>
      </c>
      <c r="D81" s="11"/>
      <c r="E81" s="8" t="s">
        <v>3</v>
      </c>
    </row>
    <row r="82" ht="22.5" customHeight="1">
      <c r="A82" s="10"/>
      <c r="B82" s="7"/>
      <c r="C82" s="8" t="s">
        <v>3</v>
      </c>
      <c r="D82" s="11"/>
      <c r="E82" s="8" t="s">
        <v>3</v>
      </c>
    </row>
    <row r="83" ht="22.5" customHeight="1">
      <c r="A83" s="10"/>
      <c r="B83" s="7"/>
      <c r="C83" s="8" t="s">
        <v>3</v>
      </c>
      <c r="D83" s="11"/>
      <c r="E83" s="8" t="s">
        <v>3</v>
      </c>
    </row>
    <row r="84" ht="22.5" customHeight="1">
      <c r="A84" s="10"/>
      <c r="B84" s="7"/>
      <c r="C84" s="8" t="s">
        <v>3</v>
      </c>
      <c r="D84" s="11"/>
      <c r="E84" s="8" t="s">
        <v>3</v>
      </c>
    </row>
    <row r="85" ht="22.5" customHeight="1">
      <c r="A85" s="10"/>
      <c r="B85" s="7"/>
      <c r="C85" s="8" t="s">
        <v>3</v>
      </c>
      <c r="D85" s="11"/>
      <c r="E85" s="8" t="s">
        <v>3</v>
      </c>
    </row>
    <row r="86" ht="22.5" customHeight="1">
      <c r="A86" s="10"/>
      <c r="B86" s="7"/>
      <c r="C86" s="8" t="s">
        <v>3</v>
      </c>
      <c r="D86" s="11"/>
      <c r="E86" s="8" t="s">
        <v>3</v>
      </c>
    </row>
    <row r="87" ht="22.5" customHeight="1">
      <c r="A87" s="10"/>
      <c r="B87" s="7"/>
      <c r="C87" s="8" t="s">
        <v>3</v>
      </c>
      <c r="D87" s="11"/>
      <c r="E87" s="8" t="s">
        <v>3</v>
      </c>
    </row>
    <row r="88" ht="22.5" customHeight="1">
      <c r="A88" s="10"/>
      <c r="B88" s="7"/>
      <c r="C88" s="8" t="s">
        <v>3</v>
      </c>
      <c r="D88" s="11"/>
      <c r="E88" s="8" t="s">
        <v>3</v>
      </c>
    </row>
    <row r="89" ht="22.5" customHeight="1">
      <c r="A89" s="12"/>
      <c r="B89" s="7"/>
      <c r="C89" s="8" t="s">
        <v>3</v>
      </c>
      <c r="D89" s="11"/>
      <c r="E89" s="8" t="s">
        <v>3</v>
      </c>
    </row>
    <row r="90" ht="22.5" customHeight="1">
      <c r="A90" s="10"/>
      <c r="B90" s="7"/>
      <c r="C90" s="8" t="s">
        <v>3</v>
      </c>
      <c r="D90" s="11"/>
      <c r="E90" s="8" t="s">
        <v>3</v>
      </c>
    </row>
    <row r="91" ht="22.5" customHeight="1">
      <c r="A91" s="10"/>
      <c r="B91" s="7"/>
      <c r="C91" s="8" t="s">
        <v>3</v>
      </c>
      <c r="D91" s="11"/>
      <c r="E91" s="8" t="s">
        <v>3</v>
      </c>
    </row>
    <row r="92" ht="22.5" customHeight="1">
      <c r="A92" s="10"/>
      <c r="B92" s="7"/>
      <c r="C92" s="8" t="s">
        <v>3</v>
      </c>
      <c r="D92" s="11"/>
      <c r="E92" s="8" t="s">
        <v>3</v>
      </c>
    </row>
    <row r="93" ht="22.5" customHeight="1">
      <c r="A93" s="10"/>
      <c r="B93" s="7"/>
      <c r="C93" s="8" t="s">
        <v>3</v>
      </c>
      <c r="D93" s="11"/>
      <c r="E93" s="8" t="s">
        <v>3</v>
      </c>
    </row>
    <row r="94" ht="22.5" customHeight="1">
      <c r="A94" s="10"/>
      <c r="B94" s="7"/>
      <c r="C94" s="8" t="s">
        <v>3</v>
      </c>
      <c r="D94" s="11"/>
      <c r="E94" s="8" t="s">
        <v>3</v>
      </c>
    </row>
    <row r="95" ht="22.5" customHeight="1">
      <c r="A95" s="10"/>
      <c r="B95" s="7"/>
      <c r="C95" s="8" t="s">
        <v>3</v>
      </c>
      <c r="D95" s="11"/>
      <c r="E95" s="8" t="s">
        <v>3</v>
      </c>
    </row>
    <row r="96" ht="22.5" customHeight="1">
      <c r="A96" s="10"/>
      <c r="B96" s="7"/>
      <c r="C96" s="8" t="s">
        <v>3</v>
      </c>
      <c r="D96" s="11"/>
      <c r="E96" s="8" t="s">
        <v>3</v>
      </c>
    </row>
    <row r="97" ht="22.5" customHeight="1">
      <c r="A97" s="10"/>
      <c r="B97" s="7"/>
      <c r="C97" s="8" t="s">
        <v>3</v>
      </c>
      <c r="D97" s="11"/>
      <c r="E97" s="8" t="s">
        <v>3</v>
      </c>
    </row>
    <row r="98" ht="22.5" customHeight="1">
      <c r="A98" s="10"/>
      <c r="B98" s="7"/>
      <c r="C98" s="8" t="s">
        <v>3</v>
      </c>
      <c r="D98" s="11"/>
      <c r="E98" s="8" t="s">
        <v>3</v>
      </c>
    </row>
    <row r="99" ht="22.5" customHeight="1">
      <c r="A99" s="10"/>
      <c r="B99" s="7"/>
      <c r="C99" s="8" t="s">
        <v>3</v>
      </c>
      <c r="D99" s="11"/>
      <c r="E99" s="8" t="s">
        <v>3</v>
      </c>
    </row>
    <row r="100" ht="22.5" customHeight="1">
      <c r="A100" s="10"/>
      <c r="B100" s="7"/>
      <c r="C100" s="8" t="s">
        <v>3</v>
      </c>
      <c r="D100" s="11"/>
      <c r="E100" s="8" t="s">
        <v>3</v>
      </c>
    </row>
    <row r="101" ht="22.5" customHeight="1">
      <c r="A101" s="10"/>
      <c r="B101" s="7"/>
      <c r="C101" s="8" t="s">
        <v>3</v>
      </c>
      <c r="D101" s="11"/>
      <c r="E101" s="8" t="s">
        <v>3</v>
      </c>
    </row>
    <row r="102" ht="22.5" customHeight="1">
      <c r="A102" s="9"/>
      <c r="B102" s="7"/>
      <c r="C102" s="8" t="s">
        <v>3</v>
      </c>
      <c r="D102" s="11"/>
      <c r="E102" s="8" t="s">
        <v>3</v>
      </c>
    </row>
    <row r="103" ht="22.5" customHeight="1">
      <c r="A103" s="9"/>
      <c r="B103" s="7"/>
      <c r="C103" s="8" t="s">
        <v>3</v>
      </c>
      <c r="D103" s="11"/>
      <c r="E103" s="8" t="s">
        <v>3</v>
      </c>
    </row>
    <row r="104" ht="22.5" customHeight="1">
      <c r="A104" s="10"/>
      <c r="B104" s="7"/>
      <c r="C104" s="8" t="s">
        <v>3</v>
      </c>
      <c r="D104" s="11"/>
      <c r="E104" s="8" t="s">
        <v>3</v>
      </c>
    </row>
    <row r="105" ht="22.5" customHeight="1">
      <c r="A105" s="10"/>
      <c r="B105" s="7"/>
      <c r="C105" s="8" t="s">
        <v>3</v>
      </c>
      <c r="D105" s="11"/>
      <c r="E105" s="8" t="s">
        <v>3</v>
      </c>
    </row>
    <row r="106" ht="22.5" customHeight="1">
      <c r="A106" s="10"/>
      <c r="B106" s="7"/>
      <c r="C106" s="8" t="s">
        <v>3</v>
      </c>
      <c r="D106" s="11"/>
      <c r="E106" s="8" t="s">
        <v>3</v>
      </c>
    </row>
    <row r="107" ht="22.5" customHeight="1">
      <c r="A107" s="10"/>
      <c r="B107" s="7"/>
      <c r="C107" s="8" t="s">
        <v>3</v>
      </c>
      <c r="D107" s="11"/>
      <c r="E107" s="8" t="s">
        <v>3</v>
      </c>
    </row>
    <row r="108" ht="22.5" customHeight="1">
      <c r="A108" s="10"/>
      <c r="B108" s="7"/>
      <c r="C108" s="8" t="s">
        <v>3</v>
      </c>
      <c r="D108" s="11"/>
      <c r="E108" s="8" t="s">
        <v>3</v>
      </c>
    </row>
    <row r="109" ht="22.5" customHeight="1">
      <c r="A109" s="10"/>
      <c r="B109" s="7"/>
      <c r="C109" s="8" t="s">
        <v>3</v>
      </c>
      <c r="D109" s="11"/>
      <c r="E109" s="8" t="s">
        <v>3</v>
      </c>
    </row>
    <row r="110" ht="22.5" customHeight="1">
      <c r="A110" s="9"/>
      <c r="B110" s="7"/>
      <c r="C110" s="8" t="s">
        <v>3</v>
      </c>
      <c r="D110" s="11"/>
      <c r="E110" s="8" t="s">
        <v>3</v>
      </c>
    </row>
    <row r="111" ht="22.5" customHeight="1">
      <c r="A111" s="10"/>
      <c r="B111" s="7"/>
      <c r="C111" s="8" t="s">
        <v>3</v>
      </c>
      <c r="D111" s="11"/>
      <c r="E111" s="8" t="s">
        <v>3</v>
      </c>
    </row>
    <row r="112" ht="22.5" customHeight="1">
      <c r="A112" s="10"/>
      <c r="B112" s="7"/>
      <c r="C112" s="8" t="s">
        <v>3</v>
      </c>
      <c r="D112" s="11"/>
      <c r="E112" s="8" t="s">
        <v>3</v>
      </c>
    </row>
    <row r="113" ht="22.5" customHeight="1">
      <c r="A113" s="10"/>
      <c r="B113" s="7"/>
      <c r="C113" s="8" t="s">
        <v>3</v>
      </c>
      <c r="D113" s="11"/>
      <c r="E113" s="8" t="s">
        <v>3</v>
      </c>
    </row>
    <row r="114" ht="22.5" customHeight="1">
      <c r="A114" s="10"/>
      <c r="B114" s="7"/>
      <c r="C114" s="8" t="s">
        <v>3</v>
      </c>
      <c r="D114" s="11"/>
      <c r="E114" s="8" t="s">
        <v>3</v>
      </c>
    </row>
    <row r="115" ht="22.5" customHeight="1">
      <c r="A115" s="10"/>
      <c r="B115" s="7"/>
      <c r="C115" s="8" t="s">
        <v>3</v>
      </c>
      <c r="D115" s="11"/>
      <c r="E115" s="8" t="s">
        <v>3</v>
      </c>
    </row>
    <row r="116" ht="22.5" customHeight="1">
      <c r="A116" s="9"/>
      <c r="B116" s="7"/>
      <c r="C116" s="8" t="s">
        <v>3</v>
      </c>
      <c r="D116" s="11"/>
      <c r="E116" s="8" t="s">
        <v>3</v>
      </c>
    </row>
    <row r="117" ht="22.5" customHeight="1">
      <c r="A117" s="9"/>
      <c r="B117" s="7"/>
      <c r="C117" s="8" t="s">
        <v>3</v>
      </c>
      <c r="D117" s="11"/>
      <c r="E117" s="8" t="s">
        <v>3</v>
      </c>
    </row>
    <row r="118" ht="22.5" customHeight="1">
      <c r="A118" s="9"/>
      <c r="B118" s="7"/>
      <c r="C118" s="8" t="s">
        <v>3</v>
      </c>
      <c r="D118" s="11"/>
      <c r="E118" s="8" t="s">
        <v>3</v>
      </c>
    </row>
    <row r="119" ht="22.5" customHeight="1">
      <c r="A119" s="9"/>
      <c r="B119" s="7"/>
      <c r="C119" s="8" t="s">
        <v>3</v>
      </c>
      <c r="D119" s="11"/>
      <c r="E119" s="8" t="s">
        <v>3</v>
      </c>
    </row>
    <row r="120" ht="22.5" customHeight="1">
      <c r="A120" s="9"/>
      <c r="B120" s="7"/>
      <c r="C120" s="8" t="s">
        <v>3</v>
      </c>
      <c r="D120" s="11"/>
      <c r="E120" s="8" t="s">
        <v>3</v>
      </c>
    </row>
    <row r="121" ht="22.5" customHeight="1">
      <c r="A121" s="10"/>
      <c r="B121" s="7"/>
      <c r="C121" s="8" t="s">
        <v>3</v>
      </c>
      <c r="D121" s="11"/>
      <c r="E121" s="8" t="s">
        <v>3</v>
      </c>
    </row>
    <row r="122" ht="22.5" customHeight="1">
      <c r="A122" s="10"/>
      <c r="B122" s="7"/>
      <c r="C122" s="8" t="s">
        <v>3</v>
      </c>
      <c r="D122" s="11"/>
      <c r="E122" s="8" t="s">
        <v>3</v>
      </c>
    </row>
    <row r="123" ht="22.5" customHeight="1">
      <c r="A123" s="10"/>
      <c r="B123" s="7"/>
      <c r="C123" s="8" t="s">
        <v>3</v>
      </c>
      <c r="D123" s="11"/>
      <c r="E123" s="8" t="s">
        <v>3</v>
      </c>
    </row>
    <row r="124" ht="22.5" customHeight="1">
      <c r="A124" s="10"/>
      <c r="B124" s="7"/>
      <c r="C124" s="8" t="s">
        <v>3</v>
      </c>
      <c r="D124" s="11"/>
      <c r="E124" s="8" t="s">
        <v>3</v>
      </c>
    </row>
    <row r="125" ht="22.5" customHeight="1">
      <c r="A125" s="10"/>
      <c r="B125" s="7"/>
      <c r="C125" s="8" t="s">
        <v>3</v>
      </c>
      <c r="D125" s="11"/>
      <c r="E125" s="8" t="s">
        <v>3</v>
      </c>
    </row>
    <row r="126" ht="22.5" customHeight="1">
      <c r="A126" s="10"/>
      <c r="B126" s="7"/>
      <c r="C126" s="8" t="s">
        <v>3</v>
      </c>
      <c r="D126" s="11"/>
      <c r="E126" s="8" t="s">
        <v>3</v>
      </c>
    </row>
    <row r="127" ht="22.5" customHeight="1">
      <c r="A127" s="10"/>
      <c r="B127" s="7"/>
      <c r="C127" s="8" t="s">
        <v>3</v>
      </c>
      <c r="D127" s="11"/>
      <c r="E127" s="8" t="s">
        <v>3</v>
      </c>
    </row>
    <row r="128" ht="22.5" customHeight="1">
      <c r="A128" s="10"/>
      <c r="B128" s="7"/>
      <c r="C128" s="8" t="s">
        <v>3</v>
      </c>
      <c r="D128" s="11"/>
      <c r="E128" s="8" t="s">
        <v>3</v>
      </c>
    </row>
    <row r="129" ht="22.5" customHeight="1">
      <c r="A129" s="10"/>
      <c r="B129" s="7"/>
      <c r="C129" s="8" t="s">
        <v>3</v>
      </c>
      <c r="D129" s="11"/>
      <c r="E129" s="8" t="s">
        <v>3</v>
      </c>
    </row>
    <row r="130" ht="22.5" customHeight="1">
      <c r="A130" s="10"/>
      <c r="B130" s="7"/>
      <c r="C130" s="8" t="s">
        <v>3</v>
      </c>
      <c r="D130" s="11"/>
      <c r="E130" s="8" t="s">
        <v>3</v>
      </c>
    </row>
    <row r="131" ht="22.5" customHeight="1">
      <c r="A131" s="10"/>
      <c r="B131" s="7"/>
      <c r="C131" s="8" t="s">
        <v>3</v>
      </c>
      <c r="D131" s="11"/>
      <c r="E131" s="8" t="s">
        <v>3</v>
      </c>
    </row>
    <row r="132" ht="22.5" customHeight="1">
      <c r="A132" s="10"/>
      <c r="B132" s="7"/>
      <c r="C132" s="8" t="s">
        <v>3</v>
      </c>
      <c r="D132" s="11"/>
      <c r="E132" s="8" t="s">
        <v>3</v>
      </c>
    </row>
    <row r="133" ht="22.5" customHeight="1">
      <c r="A133" s="10"/>
      <c r="B133" s="7"/>
      <c r="C133" s="8" t="s">
        <v>3</v>
      </c>
      <c r="D133" s="11"/>
      <c r="E133" s="8" t="s">
        <v>3</v>
      </c>
    </row>
    <row r="134" ht="22.5" customHeight="1">
      <c r="A134" s="10"/>
      <c r="B134" s="7"/>
      <c r="C134" s="8" t="s">
        <v>3</v>
      </c>
      <c r="D134" s="11"/>
      <c r="E134" s="8" t="s">
        <v>3</v>
      </c>
    </row>
    <row r="135" ht="22.5" customHeight="1">
      <c r="A135" s="10"/>
      <c r="B135" s="7"/>
      <c r="C135" s="8" t="s">
        <v>3</v>
      </c>
      <c r="D135" s="11"/>
      <c r="E135" s="8" t="s">
        <v>3</v>
      </c>
    </row>
    <row r="136" ht="22.5" customHeight="1">
      <c r="A136" s="10"/>
      <c r="B136" s="7"/>
      <c r="C136" s="8" t="s">
        <v>3</v>
      </c>
      <c r="D136" s="11"/>
      <c r="E136" s="8" t="s">
        <v>3</v>
      </c>
    </row>
    <row r="137" ht="22.5" customHeight="1">
      <c r="A137" s="10"/>
      <c r="B137" s="7"/>
      <c r="C137" s="8" t="s">
        <v>3</v>
      </c>
      <c r="D137" s="11"/>
      <c r="E137" s="8" t="s">
        <v>3</v>
      </c>
    </row>
    <row r="138" ht="22.5" customHeight="1">
      <c r="A138" s="10"/>
      <c r="B138" s="7"/>
      <c r="C138" s="8" t="s">
        <v>3</v>
      </c>
      <c r="D138" s="11"/>
      <c r="E138" s="8" t="s">
        <v>3</v>
      </c>
    </row>
    <row r="139" ht="22.5" customHeight="1">
      <c r="A139" s="10"/>
      <c r="B139" s="7"/>
      <c r="C139" s="8" t="s">
        <v>3</v>
      </c>
      <c r="D139" s="11"/>
      <c r="E139" s="8" t="s">
        <v>3</v>
      </c>
    </row>
    <row r="140" ht="22.5" customHeight="1">
      <c r="A140" s="10"/>
      <c r="B140" s="7"/>
      <c r="C140" s="8" t="s">
        <v>3</v>
      </c>
      <c r="D140" s="11"/>
      <c r="E140" s="8" t="s">
        <v>3</v>
      </c>
    </row>
    <row r="141" ht="22.5" customHeight="1">
      <c r="A141" s="9"/>
      <c r="B141" s="7"/>
      <c r="C141" s="8" t="s">
        <v>3</v>
      </c>
      <c r="D141" s="11"/>
      <c r="E141" s="8" t="s">
        <v>3</v>
      </c>
    </row>
    <row r="142" ht="22.5" customHeight="1">
      <c r="A142" s="10"/>
      <c r="B142" s="7"/>
      <c r="C142" s="8" t="s">
        <v>3</v>
      </c>
      <c r="D142" s="11"/>
      <c r="E142" s="8" t="s">
        <v>3</v>
      </c>
    </row>
    <row r="143" ht="22.5" customHeight="1">
      <c r="A143" s="10"/>
      <c r="B143" s="7"/>
      <c r="C143" s="8" t="s">
        <v>3</v>
      </c>
      <c r="D143" s="11"/>
      <c r="E143" s="8" t="s">
        <v>3</v>
      </c>
    </row>
    <row r="144" ht="22.5" customHeight="1">
      <c r="A144" s="10"/>
      <c r="B144" s="7"/>
      <c r="C144" s="8" t="s">
        <v>3</v>
      </c>
      <c r="D144" s="11"/>
      <c r="E144" s="8" t="s">
        <v>3</v>
      </c>
    </row>
    <row r="145" ht="22.5" customHeight="1">
      <c r="A145" s="9"/>
      <c r="B145" s="7"/>
      <c r="C145" s="8" t="s">
        <v>3</v>
      </c>
      <c r="D145" s="11"/>
      <c r="E145" s="8" t="s">
        <v>3</v>
      </c>
    </row>
    <row r="146" ht="22.5" customHeight="1">
      <c r="A146" s="9"/>
      <c r="B146" s="7"/>
      <c r="C146" s="8" t="s">
        <v>3</v>
      </c>
      <c r="D146" s="11"/>
      <c r="E146" s="8" t="s">
        <v>3</v>
      </c>
    </row>
    <row r="147" ht="22.5" customHeight="1">
      <c r="A147" s="10"/>
      <c r="B147" s="7"/>
      <c r="C147" s="8" t="s">
        <v>3</v>
      </c>
      <c r="D147" s="11"/>
      <c r="E147" s="8" t="s">
        <v>3</v>
      </c>
    </row>
    <row r="148" ht="22.5" customHeight="1">
      <c r="A148" s="10"/>
      <c r="B148" s="7"/>
      <c r="C148" s="8" t="s">
        <v>3</v>
      </c>
      <c r="D148" s="11"/>
      <c r="E148" s="8" t="s">
        <v>3</v>
      </c>
    </row>
    <row r="149" ht="22.5" customHeight="1">
      <c r="A149" s="10"/>
      <c r="B149" s="7"/>
      <c r="C149" s="8" t="s">
        <v>3</v>
      </c>
      <c r="D149" s="11"/>
      <c r="E149" s="8" t="s">
        <v>3</v>
      </c>
    </row>
    <row r="150" ht="22.5" customHeight="1">
      <c r="A150" s="9"/>
      <c r="B150" s="7"/>
      <c r="C150" s="8" t="s">
        <v>3</v>
      </c>
      <c r="D150" s="11"/>
      <c r="E150" s="8" t="s">
        <v>3</v>
      </c>
    </row>
    <row r="151" ht="22.5" customHeight="1">
      <c r="A151" s="10"/>
      <c r="B151" s="7"/>
      <c r="C151" s="8" t="s">
        <v>3</v>
      </c>
      <c r="D151" s="11"/>
      <c r="E151" s="8" t="s">
        <v>3</v>
      </c>
    </row>
    <row r="152" ht="22.5" customHeight="1">
      <c r="A152" s="10"/>
      <c r="B152" s="7"/>
      <c r="C152" s="8" t="s">
        <v>3</v>
      </c>
      <c r="D152" s="11"/>
      <c r="E152" s="8" t="s">
        <v>3</v>
      </c>
    </row>
    <row r="153" ht="22.5" customHeight="1">
      <c r="A153" s="10"/>
      <c r="B153" s="7"/>
      <c r="C153" s="8" t="s">
        <v>3</v>
      </c>
      <c r="D153" s="11"/>
      <c r="E153" s="8" t="s">
        <v>3</v>
      </c>
    </row>
    <row r="154" ht="22.5" customHeight="1">
      <c r="A154" s="10"/>
      <c r="B154" s="7"/>
      <c r="C154" s="8" t="s">
        <v>3</v>
      </c>
      <c r="D154" s="11"/>
      <c r="E154" s="8" t="s">
        <v>3</v>
      </c>
    </row>
    <row r="155" ht="22.5" customHeight="1">
      <c r="A155" s="10"/>
      <c r="B155" s="7"/>
      <c r="C155" s="8" t="s">
        <v>3</v>
      </c>
      <c r="D155" s="11"/>
      <c r="E155" s="8" t="s">
        <v>3</v>
      </c>
    </row>
    <row r="156" ht="22.5" customHeight="1">
      <c r="A156" s="10"/>
      <c r="B156" s="7"/>
      <c r="C156" s="8" t="s">
        <v>3</v>
      </c>
      <c r="D156" s="11"/>
      <c r="E156" s="8" t="s">
        <v>3</v>
      </c>
    </row>
    <row r="157" ht="22.5" customHeight="1">
      <c r="A157" s="10"/>
      <c r="B157" s="7"/>
      <c r="C157" s="8" t="s">
        <v>3</v>
      </c>
      <c r="D157" s="11"/>
      <c r="E157" s="8" t="s">
        <v>3</v>
      </c>
    </row>
    <row r="158" ht="22.5" customHeight="1">
      <c r="A158" s="10"/>
      <c r="B158" s="7"/>
      <c r="C158" s="8" t="s">
        <v>3</v>
      </c>
      <c r="D158" s="11"/>
      <c r="E158" s="8" t="s">
        <v>3</v>
      </c>
    </row>
    <row r="159" ht="22.5" customHeight="1">
      <c r="A159" s="10"/>
      <c r="B159" s="7"/>
      <c r="C159" s="8" t="s">
        <v>3</v>
      </c>
      <c r="D159" s="11"/>
      <c r="E159" s="8" t="s">
        <v>3</v>
      </c>
    </row>
    <row r="160" ht="22.5" customHeight="1">
      <c r="A160" s="10"/>
      <c r="B160" s="7"/>
      <c r="C160" s="8" t="s">
        <v>3</v>
      </c>
      <c r="D160" s="11"/>
      <c r="E160" s="8" t="s">
        <v>3</v>
      </c>
    </row>
    <row r="161" ht="22.5" customHeight="1">
      <c r="A161" s="10"/>
      <c r="B161" s="7"/>
      <c r="C161" s="8" t="s">
        <v>3</v>
      </c>
      <c r="D161" s="11"/>
      <c r="E161" s="8" t="s">
        <v>3</v>
      </c>
    </row>
    <row r="162" ht="22.5" customHeight="1">
      <c r="A162" s="10"/>
      <c r="B162" s="7"/>
      <c r="C162" s="8" t="s">
        <v>3</v>
      </c>
      <c r="D162" s="11"/>
      <c r="E162" s="8" t="s">
        <v>3</v>
      </c>
    </row>
    <row r="163" ht="22.5" customHeight="1">
      <c r="A163" s="10"/>
      <c r="B163" s="7"/>
      <c r="C163" s="8" t="s">
        <v>3</v>
      </c>
      <c r="D163" s="11"/>
      <c r="E163" s="8" t="s">
        <v>3</v>
      </c>
    </row>
    <row r="164" ht="22.5" customHeight="1">
      <c r="A164" s="9"/>
      <c r="B164" s="7"/>
      <c r="C164" s="8" t="s">
        <v>3</v>
      </c>
      <c r="D164" s="11"/>
      <c r="E164" s="8" t="s">
        <v>3</v>
      </c>
    </row>
    <row r="165" ht="22.5" customHeight="1">
      <c r="A165" s="9"/>
      <c r="B165" s="7"/>
      <c r="C165" s="8" t="s">
        <v>3</v>
      </c>
      <c r="D165" s="11"/>
      <c r="E165" s="8" t="s">
        <v>3</v>
      </c>
    </row>
    <row r="166" ht="22.5" customHeight="1">
      <c r="A166" s="10"/>
      <c r="B166" s="7"/>
      <c r="C166" s="8" t="s">
        <v>3</v>
      </c>
      <c r="D166" s="11"/>
      <c r="E166" s="8" t="s">
        <v>3</v>
      </c>
    </row>
    <row r="167" ht="22.5" customHeight="1">
      <c r="A167" s="10"/>
      <c r="B167" s="7"/>
      <c r="C167" s="8" t="s">
        <v>3</v>
      </c>
      <c r="D167" s="11"/>
      <c r="E167" s="8" t="s">
        <v>3</v>
      </c>
    </row>
    <row r="168" ht="22.5" customHeight="1">
      <c r="A168" s="10"/>
      <c r="B168" s="7"/>
      <c r="C168" s="8" t="s">
        <v>3</v>
      </c>
      <c r="D168" s="11"/>
      <c r="E168" s="8" t="s">
        <v>3</v>
      </c>
    </row>
    <row r="169" ht="22.5" customHeight="1">
      <c r="A169" s="10"/>
      <c r="B169" s="7"/>
      <c r="C169" s="8" t="s">
        <v>3</v>
      </c>
      <c r="D169" s="11"/>
      <c r="E169" s="8" t="s">
        <v>3</v>
      </c>
    </row>
    <row r="170" ht="22.5" customHeight="1">
      <c r="A170" s="10"/>
      <c r="B170" s="7"/>
      <c r="C170" s="8" t="s">
        <v>3</v>
      </c>
      <c r="D170" s="11"/>
      <c r="E170" s="8" t="s">
        <v>3</v>
      </c>
    </row>
    <row r="171" ht="22.5" customHeight="1">
      <c r="A171" s="10"/>
      <c r="B171" s="7"/>
      <c r="C171" s="8" t="s">
        <v>3</v>
      </c>
      <c r="D171" s="11"/>
      <c r="E171" s="8" t="s">
        <v>3</v>
      </c>
    </row>
    <row r="172" ht="22.5" customHeight="1">
      <c r="A172" s="10"/>
      <c r="B172" s="7"/>
      <c r="C172" s="8" t="s">
        <v>3</v>
      </c>
      <c r="D172" s="11"/>
      <c r="E172" s="8" t="s">
        <v>3</v>
      </c>
    </row>
    <row r="173" ht="22.5" customHeight="1">
      <c r="A173" s="9"/>
      <c r="B173" s="7"/>
      <c r="C173" s="8" t="s">
        <v>3</v>
      </c>
      <c r="D173" s="11"/>
      <c r="E173" s="8" t="s">
        <v>3</v>
      </c>
    </row>
    <row r="174" ht="22.5" customHeight="1">
      <c r="A174" s="10"/>
      <c r="B174" s="7"/>
      <c r="C174" s="8" t="s">
        <v>3</v>
      </c>
      <c r="D174" s="11"/>
      <c r="E174" s="8" t="s">
        <v>3</v>
      </c>
    </row>
    <row r="175" ht="22.5" customHeight="1">
      <c r="A175" s="10"/>
      <c r="B175" s="7"/>
      <c r="C175" s="8" t="s">
        <v>3</v>
      </c>
      <c r="D175" s="11"/>
      <c r="E175" s="8" t="s">
        <v>3</v>
      </c>
    </row>
    <row r="176" ht="22.5" customHeight="1">
      <c r="A176" s="10"/>
      <c r="B176" s="7"/>
      <c r="C176" s="8" t="s">
        <v>3</v>
      </c>
      <c r="D176" s="11"/>
      <c r="E176" s="8" t="s">
        <v>3</v>
      </c>
    </row>
    <row r="177" ht="22.5" customHeight="1">
      <c r="A177" s="10"/>
      <c r="B177" s="7"/>
      <c r="C177" s="8" t="s">
        <v>3</v>
      </c>
      <c r="D177" s="11"/>
      <c r="E177" s="8" t="s">
        <v>3</v>
      </c>
    </row>
    <row r="178" ht="22.5" customHeight="1">
      <c r="A178" s="10"/>
      <c r="B178" s="7"/>
      <c r="C178" s="8" t="s">
        <v>3</v>
      </c>
      <c r="D178" s="11"/>
      <c r="E178" s="8" t="s">
        <v>3</v>
      </c>
    </row>
    <row r="179" ht="22.5" customHeight="1">
      <c r="A179" s="10"/>
      <c r="B179" s="7"/>
      <c r="C179" s="8" t="s">
        <v>3</v>
      </c>
      <c r="D179" s="11"/>
      <c r="E179" s="8" t="s">
        <v>3</v>
      </c>
    </row>
    <row r="180" ht="22.5" customHeight="1">
      <c r="A180" s="10"/>
      <c r="B180" s="7"/>
      <c r="C180" s="8" t="s">
        <v>3</v>
      </c>
      <c r="D180" s="11"/>
      <c r="E180" s="8" t="s">
        <v>3</v>
      </c>
    </row>
    <row r="181" ht="22.5" customHeight="1">
      <c r="A181" s="10"/>
      <c r="B181" s="7"/>
      <c r="C181" s="8" t="s">
        <v>3</v>
      </c>
      <c r="D181" s="11"/>
      <c r="E181" s="8" t="s">
        <v>3</v>
      </c>
    </row>
    <row r="182" ht="22.5" customHeight="1">
      <c r="A182" s="10"/>
      <c r="B182" s="7"/>
      <c r="C182" s="8" t="s">
        <v>3</v>
      </c>
      <c r="D182" s="11"/>
      <c r="E182" s="8" t="s">
        <v>3</v>
      </c>
    </row>
    <row r="183" ht="22.5" customHeight="1">
      <c r="A183" s="10"/>
      <c r="B183" s="7"/>
      <c r="C183" s="8" t="s">
        <v>3</v>
      </c>
      <c r="D183" s="11"/>
      <c r="E183" s="8" t="s">
        <v>3</v>
      </c>
    </row>
    <row r="184" ht="22.5" customHeight="1">
      <c r="A184" s="10"/>
      <c r="B184" s="7"/>
      <c r="C184" s="8" t="s">
        <v>3</v>
      </c>
      <c r="D184" s="11"/>
      <c r="E184" s="8" t="s">
        <v>3</v>
      </c>
    </row>
    <row r="185" ht="22.5" customHeight="1">
      <c r="A185" s="10"/>
      <c r="B185" s="7"/>
      <c r="C185" s="8" t="s">
        <v>3</v>
      </c>
      <c r="D185" s="11"/>
      <c r="E185" s="8" t="s">
        <v>3</v>
      </c>
    </row>
    <row r="186" ht="22.5" customHeight="1">
      <c r="A186" s="10"/>
      <c r="B186" s="7"/>
      <c r="C186" s="8" t="s">
        <v>3</v>
      </c>
      <c r="D186" s="11"/>
      <c r="E186" s="8" t="s">
        <v>3</v>
      </c>
    </row>
    <row r="187" ht="22.5" customHeight="1">
      <c r="A187" s="10"/>
      <c r="B187" s="7"/>
      <c r="C187" s="8" t="s">
        <v>3</v>
      </c>
      <c r="D187" s="11"/>
      <c r="E187" s="8" t="s">
        <v>3</v>
      </c>
    </row>
    <row r="188" ht="22.5" customHeight="1">
      <c r="A188" s="10"/>
      <c r="B188" s="7"/>
      <c r="C188" s="8" t="s">
        <v>3</v>
      </c>
      <c r="D188" s="11"/>
      <c r="E188" s="8" t="s">
        <v>3</v>
      </c>
    </row>
    <row r="189" ht="22.5" customHeight="1">
      <c r="A189" s="9"/>
      <c r="B189" s="7"/>
      <c r="C189" s="8" t="s">
        <v>3</v>
      </c>
      <c r="D189" s="11"/>
      <c r="E189" s="8" t="s">
        <v>3</v>
      </c>
    </row>
    <row r="190" ht="22.5" customHeight="1">
      <c r="A190" s="10"/>
      <c r="B190" s="7"/>
      <c r="C190" s="8" t="s">
        <v>3</v>
      </c>
      <c r="D190" s="11"/>
      <c r="E190" s="8" t="s">
        <v>3</v>
      </c>
    </row>
    <row r="191" ht="22.5" customHeight="1">
      <c r="A191" s="10"/>
      <c r="B191" s="7"/>
      <c r="C191" s="8" t="s">
        <v>3</v>
      </c>
      <c r="D191" s="11"/>
      <c r="E191" s="8" t="s">
        <v>3</v>
      </c>
    </row>
    <row r="192" ht="22.5" customHeight="1">
      <c r="A192" s="10"/>
      <c r="B192" s="7"/>
      <c r="C192" s="8" t="s">
        <v>3</v>
      </c>
      <c r="D192" s="11"/>
      <c r="E192" s="8" t="s">
        <v>3</v>
      </c>
    </row>
    <row r="193" ht="22.5" customHeight="1">
      <c r="A193" s="10"/>
      <c r="B193" s="7"/>
      <c r="C193" s="8" t="s">
        <v>3</v>
      </c>
      <c r="D193" s="11"/>
      <c r="E193" s="8" t="s">
        <v>3</v>
      </c>
    </row>
    <row r="194" ht="22.5" customHeight="1">
      <c r="A194" s="10"/>
      <c r="B194" s="7"/>
      <c r="C194" s="8" t="s">
        <v>3</v>
      </c>
      <c r="D194" s="11"/>
      <c r="E194" s="8" t="s">
        <v>3</v>
      </c>
    </row>
    <row r="195" ht="22.5" customHeight="1">
      <c r="A195" s="10"/>
      <c r="B195" s="7"/>
      <c r="C195" s="8" t="s">
        <v>3</v>
      </c>
      <c r="D195" s="11"/>
      <c r="E195" s="8" t="s">
        <v>3</v>
      </c>
    </row>
    <row r="196" ht="22.5" customHeight="1">
      <c r="A196" s="10"/>
      <c r="B196" s="7"/>
      <c r="C196" s="8" t="s">
        <v>3</v>
      </c>
      <c r="D196" s="11"/>
      <c r="E196" s="8" t="s">
        <v>3</v>
      </c>
    </row>
    <row r="197" ht="22.5" customHeight="1">
      <c r="A197" s="10"/>
      <c r="B197" s="7"/>
      <c r="C197" s="8" t="s">
        <v>3</v>
      </c>
      <c r="D197" s="11"/>
      <c r="E197" s="8" t="s">
        <v>3</v>
      </c>
    </row>
    <row r="198" ht="22.5" customHeight="1">
      <c r="A198" s="10"/>
      <c r="B198" s="7"/>
      <c r="C198" s="8" t="s">
        <v>3</v>
      </c>
      <c r="D198" s="11"/>
      <c r="E198" s="8" t="s">
        <v>3</v>
      </c>
    </row>
    <row r="199" ht="22.5" customHeight="1">
      <c r="A199" s="10"/>
      <c r="B199" s="7"/>
      <c r="C199" s="8" t="s">
        <v>3</v>
      </c>
      <c r="D199" s="11"/>
      <c r="E199" s="8" t="s">
        <v>3</v>
      </c>
    </row>
    <row r="200" ht="22.5" customHeight="1">
      <c r="A200" s="10"/>
      <c r="B200" s="7"/>
      <c r="C200" s="8" t="s">
        <v>3</v>
      </c>
      <c r="D200" s="11"/>
      <c r="E200" s="8" t="s">
        <v>3</v>
      </c>
    </row>
    <row r="201" ht="22.5" customHeight="1">
      <c r="A201" s="10"/>
      <c r="B201" s="7"/>
      <c r="C201" s="8" t="s">
        <v>3</v>
      </c>
      <c r="D201" s="11"/>
      <c r="E201" s="8" t="s">
        <v>3</v>
      </c>
    </row>
    <row r="202" ht="22.5" customHeight="1">
      <c r="A202" s="10"/>
      <c r="B202" s="7"/>
      <c r="C202" s="8" t="s">
        <v>3</v>
      </c>
      <c r="D202" s="11"/>
      <c r="E202" s="8" t="s">
        <v>3</v>
      </c>
    </row>
    <row r="203" ht="22.5" customHeight="1">
      <c r="A203" s="10"/>
      <c r="B203" s="7"/>
      <c r="C203" s="8" t="s">
        <v>3</v>
      </c>
      <c r="D203" s="11"/>
      <c r="E203" s="8" t="s">
        <v>3</v>
      </c>
    </row>
    <row r="204" ht="22.5" customHeight="1">
      <c r="A204" s="9"/>
      <c r="B204" s="7"/>
      <c r="C204" s="8" t="s">
        <v>3</v>
      </c>
      <c r="D204" s="11"/>
      <c r="E204" s="8" t="s">
        <v>3</v>
      </c>
    </row>
    <row r="205" ht="22.5" customHeight="1">
      <c r="A205" s="10"/>
      <c r="B205" s="7"/>
      <c r="C205" s="8" t="s">
        <v>3</v>
      </c>
      <c r="D205" s="11"/>
      <c r="E205" s="8" t="s">
        <v>3</v>
      </c>
    </row>
    <row r="206" ht="22.5" customHeight="1">
      <c r="A206" s="10"/>
      <c r="B206" s="7"/>
      <c r="C206" s="8" t="s">
        <v>3</v>
      </c>
      <c r="D206" s="11"/>
      <c r="E206" s="8" t="s">
        <v>3</v>
      </c>
    </row>
    <row r="207" ht="22.5" customHeight="1">
      <c r="A207" s="10"/>
      <c r="B207" s="7"/>
      <c r="C207" s="8" t="s">
        <v>3</v>
      </c>
      <c r="D207" s="11"/>
      <c r="E207" s="8" t="s">
        <v>3</v>
      </c>
    </row>
    <row r="208" ht="22.5" customHeight="1">
      <c r="A208" s="10"/>
      <c r="B208" s="7"/>
      <c r="C208" s="8" t="s">
        <v>3</v>
      </c>
      <c r="D208" s="11"/>
      <c r="E208" s="8" t="s">
        <v>3</v>
      </c>
    </row>
    <row r="209" ht="22.5" customHeight="1">
      <c r="A209" s="10"/>
      <c r="B209" s="7"/>
      <c r="C209" s="8" t="s">
        <v>3</v>
      </c>
      <c r="D209" s="11"/>
      <c r="E209" s="8" t="s">
        <v>3</v>
      </c>
    </row>
    <row r="210" ht="22.5" customHeight="1">
      <c r="A210" s="10"/>
      <c r="B210" s="7"/>
      <c r="C210" s="8" t="s">
        <v>3</v>
      </c>
      <c r="D210" s="11"/>
      <c r="E210" s="8" t="s">
        <v>3</v>
      </c>
    </row>
    <row r="211" ht="22.5" customHeight="1">
      <c r="A211" s="10"/>
      <c r="B211" s="7"/>
      <c r="C211" s="8" t="s">
        <v>3</v>
      </c>
      <c r="D211" s="11"/>
      <c r="E211" s="8" t="s">
        <v>3</v>
      </c>
    </row>
    <row r="212" ht="22.5" customHeight="1">
      <c r="A212" s="10"/>
      <c r="B212" s="7"/>
      <c r="C212" s="8" t="s">
        <v>3</v>
      </c>
      <c r="D212" s="11"/>
      <c r="E212" s="8" t="s">
        <v>3</v>
      </c>
    </row>
    <row r="213" ht="22.5" customHeight="1">
      <c r="A213" s="10"/>
      <c r="B213" s="7"/>
      <c r="C213" s="8" t="s">
        <v>3</v>
      </c>
      <c r="D213" s="11"/>
      <c r="E213" s="8" t="s">
        <v>3</v>
      </c>
    </row>
    <row r="214" ht="22.5" customHeight="1">
      <c r="A214" s="10"/>
      <c r="B214" s="7"/>
      <c r="C214" s="8" t="s">
        <v>3</v>
      </c>
      <c r="D214" s="11"/>
      <c r="E214" s="8" t="s">
        <v>3</v>
      </c>
    </row>
    <row r="215" ht="22.5" customHeight="1">
      <c r="A215" s="10"/>
      <c r="B215" s="7"/>
      <c r="C215" s="8" t="s">
        <v>3</v>
      </c>
      <c r="D215" s="11"/>
      <c r="E215" s="8" t="s">
        <v>3</v>
      </c>
    </row>
    <row r="216" ht="22.5" customHeight="1">
      <c r="A216" s="10"/>
      <c r="B216" s="7"/>
      <c r="C216" s="8" t="s">
        <v>3</v>
      </c>
      <c r="D216" s="11"/>
      <c r="E216" s="8" t="s">
        <v>3</v>
      </c>
    </row>
    <row r="217" ht="22.5" customHeight="1">
      <c r="A217" s="10"/>
      <c r="B217" s="7"/>
      <c r="C217" s="8" t="s">
        <v>3</v>
      </c>
      <c r="D217" s="11"/>
      <c r="E217" s="8" t="s">
        <v>3</v>
      </c>
    </row>
    <row r="218" ht="22.5" customHeight="1">
      <c r="A218" s="10"/>
      <c r="B218" s="7"/>
      <c r="C218" s="8" t="s">
        <v>3</v>
      </c>
      <c r="D218" s="11"/>
      <c r="E218" s="8" t="s">
        <v>3</v>
      </c>
    </row>
    <row r="219" ht="22.5" customHeight="1">
      <c r="A219" s="10"/>
      <c r="B219" s="7"/>
      <c r="C219" s="8" t="s">
        <v>3</v>
      </c>
      <c r="D219" s="11"/>
      <c r="E219" s="8" t="s">
        <v>3</v>
      </c>
    </row>
    <row r="220" ht="22.5" customHeight="1">
      <c r="A220" s="9"/>
      <c r="B220" s="7"/>
      <c r="C220" s="8" t="s">
        <v>3</v>
      </c>
      <c r="D220" s="11"/>
      <c r="E220" s="8" t="s">
        <v>3</v>
      </c>
    </row>
    <row r="221" ht="22.5" customHeight="1">
      <c r="A221" s="10"/>
      <c r="B221" s="7"/>
      <c r="C221" s="8" t="s">
        <v>3</v>
      </c>
      <c r="D221" s="11"/>
      <c r="E221" s="8" t="s">
        <v>3</v>
      </c>
    </row>
    <row r="222" ht="22.5" customHeight="1">
      <c r="A222" s="10"/>
      <c r="B222" s="7"/>
      <c r="C222" s="8" t="s">
        <v>3</v>
      </c>
      <c r="D222" s="11"/>
      <c r="E222" s="8" t="s">
        <v>3</v>
      </c>
    </row>
    <row r="223" ht="22.5" customHeight="1">
      <c r="A223" s="10"/>
      <c r="B223" s="7"/>
      <c r="C223" s="8" t="s">
        <v>3</v>
      </c>
      <c r="D223" s="11"/>
      <c r="E223" s="8" t="s">
        <v>3</v>
      </c>
    </row>
    <row r="224" ht="22.5" customHeight="1">
      <c r="A224" s="10"/>
      <c r="B224" s="7"/>
      <c r="C224" s="8" t="s">
        <v>3</v>
      </c>
      <c r="D224" s="11"/>
      <c r="E224" s="8" t="s">
        <v>3</v>
      </c>
    </row>
    <row r="225" ht="22.5" customHeight="1">
      <c r="A225" s="9"/>
      <c r="B225" s="7"/>
      <c r="C225" s="8" t="s">
        <v>3</v>
      </c>
      <c r="D225" s="11"/>
      <c r="E225" s="8" t="s">
        <v>3</v>
      </c>
    </row>
    <row r="226" ht="22.5" customHeight="1">
      <c r="A226" s="9"/>
      <c r="B226" s="7"/>
      <c r="C226" s="8" t="s">
        <v>3</v>
      </c>
      <c r="D226" s="11"/>
      <c r="E226" s="8" t="s">
        <v>3</v>
      </c>
    </row>
    <row r="227" ht="22.5" customHeight="1">
      <c r="A227" s="10"/>
      <c r="B227" s="7"/>
      <c r="C227" s="8" t="s">
        <v>3</v>
      </c>
      <c r="D227" s="11"/>
      <c r="E227" s="8" t="s">
        <v>3</v>
      </c>
    </row>
    <row r="228" ht="22.5" customHeight="1">
      <c r="A228" s="10"/>
      <c r="B228" s="7"/>
      <c r="C228" s="8" t="s">
        <v>3</v>
      </c>
      <c r="D228" s="11"/>
      <c r="E228" s="8" t="s">
        <v>3</v>
      </c>
    </row>
    <row r="229" ht="22.5" customHeight="1">
      <c r="A229" s="10"/>
      <c r="B229" s="7"/>
      <c r="C229" s="8" t="s">
        <v>3</v>
      </c>
      <c r="D229" s="11"/>
      <c r="E229" s="8" t="s">
        <v>3</v>
      </c>
    </row>
    <row r="230" ht="22.5" customHeight="1">
      <c r="A230" s="10"/>
      <c r="B230" s="7"/>
      <c r="C230" s="8" t="s">
        <v>3</v>
      </c>
      <c r="D230" s="11"/>
      <c r="E230" s="8" t="s">
        <v>3</v>
      </c>
    </row>
    <row r="231" ht="22.5" customHeight="1">
      <c r="A231" s="10"/>
      <c r="B231" s="7"/>
      <c r="C231" s="8" t="s">
        <v>3</v>
      </c>
      <c r="D231" s="11"/>
      <c r="E231" s="8" t="s">
        <v>3</v>
      </c>
    </row>
    <row r="232" ht="22.5" customHeight="1">
      <c r="A232" s="10"/>
      <c r="B232" s="7"/>
      <c r="C232" s="8" t="s">
        <v>3</v>
      </c>
      <c r="D232" s="11"/>
      <c r="E232" s="8" t="s">
        <v>3</v>
      </c>
    </row>
    <row r="233" ht="22.5" customHeight="1">
      <c r="A233" s="10"/>
      <c r="B233" s="7"/>
      <c r="C233" s="8" t="s">
        <v>3</v>
      </c>
      <c r="D233" s="11"/>
      <c r="E233" s="8" t="s">
        <v>3</v>
      </c>
    </row>
    <row r="234" ht="22.5" customHeight="1">
      <c r="A234" s="9"/>
      <c r="B234" s="7"/>
      <c r="C234" s="8" t="s">
        <v>3</v>
      </c>
      <c r="D234" s="11"/>
      <c r="E234" s="8" t="s">
        <v>3</v>
      </c>
    </row>
    <row r="235" ht="22.5" customHeight="1">
      <c r="A235" s="10"/>
      <c r="B235" s="7"/>
      <c r="C235" s="8" t="s">
        <v>3</v>
      </c>
      <c r="D235" s="11"/>
      <c r="E235" s="8" t="s">
        <v>3</v>
      </c>
    </row>
    <row r="236" ht="22.5" customHeight="1">
      <c r="A236" s="10"/>
      <c r="B236" s="7"/>
      <c r="C236" s="8" t="s">
        <v>3</v>
      </c>
      <c r="D236" s="11"/>
      <c r="E236" s="8" t="s">
        <v>3</v>
      </c>
    </row>
    <row r="237" ht="22.5" customHeight="1">
      <c r="A237" s="10"/>
      <c r="B237" s="7"/>
      <c r="C237" s="8" t="s">
        <v>3</v>
      </c>
      <c r="D237" s="11"/>
      <c r="E237" s="8" t="s">
        <v>3</v>
      </c>
    </row>
    <row r="238" ht="22.5" customHeight="1">
      <c r="A238" s="10"/>
      <c r="B238" s="7"/>
      <c r="C238" s="8" t="s">
        <v>3</v>
      </c>
      <c r="D238" s="11"/>
      <c r="E238" s="8" t="s">
        <v>3</v>
      </c>
    </row>
    <row r="239" ht="22.5" customHeight="1">
      <c r="A239" s="10"/>
      <c r="B239" s="7"/>
      <c r="C239" s="8" t="s">
        <v>3</v>
      </c>
      <c r="D239" s="11"/>
      <c r="E239" s="8" t="s">
        <v>3</v>
      </c>
    </row>
    <row r="240" ht="22.5" customHeight="1">
      <c r="A240" s="10"/>
      <c r="B240" s="7"/>
      <c r="C240" s="8" t="s">
        <v>3</v>
      </c>
      <c r="D240" s="11"/>
      <c r="E240" s="8" t="s">
        <v>3</v>
      </c>
    </row>
    <row r="241" ht="22.5" customHeight="1">
      <c r="A241" s="10"/>
      <c r="B241" s="7"/>
      <c r="C241" s="8" t="s">
        <v>3</v>
      </c>
      <c r="D241" s="11"/>
      <c r="E241" s="8" t="s">
        <v>3</v>
      </c>
    </row>
    <row r="242" ht="22.5" customHeight="1">
      <c r="A242" s="10"/>
      <c r="B242" s="7"/>
      <c r="C242" s="8" t="s">
        <v>3</v>
      </c>
      <c r="D242" s="11"/>
      <c r="E242" s="8" t="s">
        <v>3</v>
      </c>
    </row>
    <row r="243" ht="22.5" customHeight="1">
      <c r="A243" s="10"/>
      <c r="B243" s="7"/>
      <c r="C243" s="8" t="s">
        <v>3</v>
      </c>
      <c r="D243" s="11"/>
      <c r="E243" s="8" t="s">
        <v>3</v>
      </c>
    </row>
    <row r="244" ht="22.5" customHeight="1">
      <c r="A244" s="10"/>
      <c r="B244" s="7"/>
      <c r="C244" s="8" t="s">
        <v>3</v>
      </c>
      <c r="D244" s="11"/>
      <c r="E244" s="8" t="s">
        <v>3</v>
      </c>
    </row>
    <row r="245" ht="22.5" customHeight="1">
      <c r="A245" s="10"/>
      <c r="B245" s="7"/>
      <c r="C245" s="8" t="s">
        <v>3</v>
      </c>
      <c r="D245" s="11"/>
      <c r="E245" s="8" t="s">
        <v>3</v>
      </c>
    </row>
    <row r="246" ht="22.5" customHeight="1">
      <c r="A246" s="10"/>
      <c r="B246" s="7"/>
      <c r="C246" s="8" t="s">
        <v>3</v>
      </c>
      <c r="D246" s="11"/>
      <c r="E246" s="8" t="s">
        <v>3</v>
      </c>
    </row>
    <row r="247" ht="22.5" customHeight="1">
      <c r="A247" s="10"/>
      <c r="B247" s="7"/>
      <c r="C247" s="8" t="s">
        <v>3</v>
      </c>
      <c r="D247" s="11"/>
      <c r="E247" s="8" t="s">
        <v>3</v>
      </c>
    </row>
    <row r="248" ht="22.5" customHeight="1">
      <c r="A248" s="9"/>
      <c r="B248" s="7"/>
      <c r="C248" s="8" t="s">
        <v>3</v>
      </c>
      <c r="D248" s="11"/>
      <c r="E248" s="8" t="s">
        <v>3</v>
      </c>
    </row>
    <row r="249" ht="22.5" customHeight="1">
      <c r="A249" s="9"/>
      <c r="B249" s="7"/>
      <c r="C249" s="8" t="s">
        <v>3</v>
      </c>
      <c r="D249" s="11"/>
      <c r="E249" s="8" t="s">
        <v>3</v>
      </c>
    </row>
    <row r="250" ht="22.5" customHeight="1">
      <c r="A250" s="10"/>
      <c r="B250" s="7"/>
      <c r="C250" s="8" t="s">
        <v>3</v>
      </c>
      <c r="D250" s="11"/>
      <c r="E250" s="8" t="s">
        <v>3</v>
      </c>
    </row>
    <row r="251" ht="22.5" customHeight="1">
      <c r="A251" s="10"/>
      <c r="B251" s="7"/>
      <c r="C251" s="8" t="s">
        <v>3</v>
      </c>
      <c r="D251" s="11"/>
      <c r="E251" s="8" t="s">
        <v>3</v>
      </c>
    </row>
    <row r="252" ht="22.5" customHeight="1">
      <c r="A252" s="10"/>
      <c r="B252" s="7"/>
      <c r="C252" s="8" t="s">
        <v>3</v>
      </c>
      <c r="D252" s="11"/>
      <c r="E252" s="8" t="s">
        <v>3</v>
      </c>
    </row>
    <row r="253" ht="22.5" customHeight="1">
      <c r="A253" s="10"/>
      <c r="B253" s="7"/>
      <c r="C253" s="8" t="s">
        <v>3</v>
      </c>
      <c r="D253" s="11"/>
      <c r="E253" s="8" t="s">
        <v>3</v>
      </c>
    </row>
    <row r="254" ht="22.5" customHeight="1">
      <c r="A254" s="10"/>
      <c r="B254" s="7"/>
      <c r="C254" s="8" t="s">
        <v>3</v>
      </c>
      <c r="D254" s="11"/>
      <c r="E254" s="8" t="s">
        <v>3</v>
      </c>
    </row>
    <row r="255" ht="22.5" customHeight="1">
      <c r="A255" s="10"/>
      <c r="B255" s="7"/>
      <c r="C255" s="8" t="s">
        <v>3</v>
      </c>
      <c r="D255" s="11"/>
      <c r="E255" s="8" t="s">
        <v>3</v>
      </c>
    </row>
    <row r="256" ht="22.5" customHeight="1">
      <c r="A256" s="10"/>
      <c r="B256" s="7"/>
      <c r="C256" s="8" t="s">
        <v>3</v>
      </c>
      <c r="D256" s="11"/>
      <c r="E256" s="8" t="s">
        <v>3</v>
      </c>
    </row>
    <row r="257" ht="22.5" customHeight="1">
      <c r="A257" s="10"/>
      <c r="B257" s="7"/>
      <c r="C257" s="8" t="s">
        <v>3</v>
      </c>
      <c r="D257" s="11"/>
      <c r="E257" s="8" t="s">
        <v>3</v>
      </c>
    </row>
    <row r="258" ht="22.5" customHeight="1">
      <c r="A258" s="10"/>
      <c r="B258" s="7"/>
      <c r="C258" s="8" t="s">
        <v>3</v>
      </c>
      <c r="D258" s="11"/>
      <c r="E258" s="8" t="s">
        <v>3</v>
      </c>
    </row>
    <row r="259" ht="22.5" customHeight="1">
      <c r="A259" s="10"/>
      <c r="B259" s="7"/>
      <c r="C259" s="8" t="s">
        <v>3</v>
      </c>
      <c r="D259" s="11"/>
      <c r="E259" s="8" t="s">
        <v>3</v>
      </c>
    </row>
    <row r="260" ht="22.5" customHeight="1">
      <c r="A260" s="10"/>
      <c r="B260" s="7"/>
      <c r="C260" s="8" t="s">
        <v>3</v>
      </c>
      <c r="D260" s="11"/>
      <c r="E260" s="8" t="s">
        <v>3</v>
      </c>
    </row>
    <row r="261" ht="22.5" customHeight="1">
      <c r="A261" s="10"/>
      <c r="B261" s="7"/>
      <c r="C261" s="8" t="s">
        <v>3</v>
      </c>
      <c r="D261" s="11"/>
      <c r="E261" s="8" t="s">
        <v>3</v>
      </c>
    </row>
    <row r="262" ht="22.5" customHeight="1">
      <c r="A262" s="10"/>
      <c r="B262" s="7"/>
      <c r="C262" s="8" t="s">
        <v>3</v>
      </c>
      <c r="D262" s="11"/>
      <c r="E262" s="8" t="s">
        <v>3</v>
      </c>
    </row>
    <row r="263" ht="22.5" customHeight="1">
      <c r="A263" s="10"/>
      <c r="B263" s="7"/>
      <c r="C263" s="8" t="s">
        <v>3</v>
      </c>
      <c r="D263" s="11"/>
      <c r="E263" s="8" t="s">
        <v>3</v>
      </c>
    </row>
    <row r="264" ht="22.5" customHeight="1">
      <c r="A264" s="10"/>
      <c r="B264" s="7"/>
      <c r="C264" s="8" t="s">
        <v>3</v>
      </c>
      <c r="D264" s="11"/>
      <c r="E264" s="8" t="s">
        <v>3</v>
      </c>
    </row>
    <row r="265" ht="22.5" customHeight="1">
      <c r="A265" s="10"/>
      <c r="B265" s="7"/>
      <c r="C265" s="8" t="s">
        <v>3</v>
      </c>
      <c r="D265" s="11"/>
      <c r="E265" s="8" t="s">
        <v>3</v>
      </c>
    </row>
    <row r="266" ht="22.5" customHeight="1">
      <c r="A266" s="10"/>
      <c r="B266" s="7"/>
      <c r="C266" s="8" t="s">
        <v>3</v>
      </c>
      <c r="D266" s="11"/>
      <c r="E266" s="8" t="s">
        <v>3</v>
      </c>
    </row>
    <row r="267" ht="22.5" customHeight="1">
      <c r="A267" s="10"/>
      <c r="B267" s="7"/>
      <c r="C267" s="8" t="s">
        <v>3</v>
      </c>
      <c r="D267" s="11"/>
      <c r="E267" s="8" t="s">
        <v>3</v>
      </c>
    </row>
    <row r="268" ht="22.5" customHeight="1">
      <c r="A268" s="10"/>
      <c r="B268" s="7"/>
      <c r="C268" s="8" t="s">
        <v>3</v>
      </c>
      <c r="D268" s="11"/>
      <c r="E268" s="8" t="s">
        <v>3</v>
      </c>
    </row>
    <row r="269" ht="22.5" customHeight="1">
      <c r="A269" s="10"/>
      <c r="B269" s="7"/>
      <c r="C269" s="8" t="s">
        <v>3</v>
      </c>
      <c r="D269" s="11"/>
      <c r="E269" s="8" t="s">
        <v>3</v>
      </c>
    </row>
    <row r="270" ht="22.5" customHeight="1">
      <c r="A270" s="9"/>
      <c r="B270" s="7"/>
      <c r="C270" s="8" t="s">
        <v>3</v>
      </c>
      <c r="D270" s="11"/>
      <c r="E270" s="8" t="s">
        <v>3</v>
      </c>
    </row>
    <row r="271" ht="22.5" customHeight="1">
      <c r="A271" s="10"/>
      <c r="B271" s="7"/>
      <c r="C271" s="8" t="s">
        <v>3</v>
      </c>
      <c r="D271" s="11"/>
      <c r="E271" s="8" t="s">
        <v>3</v>
      </c>
    </row>
    <row r="272" ht="22.5" customHeight="1">
      <c r="A272" s="10"/>
      <c r="B272" s="7"/>
      <c r="C272" s="8" t="s">
        <v>3</v>
      </c>
      <c r="D272" s="11"/>
      <c r="E272" s="8" t="s">
        <v>3</v>
      </c>
    </row>
    <row r="273" ht="22.5" customHeight="1">
      <c r="A273" s="10"/>
      <c r="B273" s="7"/>
      <c r="C273" s="8" t="s">
        <v>3</v>
      </c>
      <c r="D273" s="11"/>
      <c r="E273" s="8" t="s">
        <v>3</v>
      </c>
    </row>
    <row r="274" ht="22.5" customHeight="1">
      <c r="A274" s="10"/>
      <c r="B274" s="7"/>
      <c r="C274" s="8" t="s">
        <v>3</v>
      </c>
      <c r="D274" s="11"/>
      <c r="E274" s="8" t="s">
        <v>3</v>
      </c>
    </row>
    <row r="275" ht="22.5" customHeight="1">
      <c r="A275" s="10"/>
      <c r="B275" s="7"/>
      <c r="C275" s="8" t="s">
        <v>3</v>
      </c>
      <c r="D275" s="11"/>
      <c r="E275" s="8" t="s">
        <v>3</v>
      </c>
    </row>
    <row r="276" ht="22.5" customHeight="1">
      <c r="A276" s="10"/>
      <c r="B276" s="7"/>
      <c r="C276" s="8" t="s">
        <v>3</v>
      </c>
      <c r="D276" s="11"/>
      <c r="E276" s="8" t="s">
        <v>3</v>
      </c>
    </row>
    <row r="277" ht="22.5" customHeight="1">
      <c r="A277" s="10"/>
      <c r="B277" s="7"/>
      <c r="C277" s="8" t="s">
        <v>3</v>
      </c>
      <c r="D277" s="11"/>
      <c r="E277" s="8" t="s">
        <v>3</v>
      </c>
    </row>
    <row r="278" ht="22.5" customHeight="1">
      <c r="A278" s="10"/>
      <c r="B278" s="7"/>
      <c r="C278" s="8" t="s">
        <v>3</v>
      </c>
      <c r="D278" s="11"/>
      <c r="E278" s="8" t="s">
        <v>3</v>
      </c>
    </row>
    <row r="279" ht="22.5" customHeight="1">
      <c r="A279" s="10"/>
      <c r="B279" s="7"/>
      <c r="C279" s="8" t="s">
        <v>3</v>
      </c>
      <c r="D279" s="11"/>
      <c r="E279" s="8" t="s">
        <v>3</v>
      </c>
    </row>
    <row r="280" ht="22.5" customHeight="1">
      <c r="A280" s="10"/>
      <c r="B280" s="7"/>
      <c r="C280" s="8" t="s">
        <v>3</v>
      </c>
      <c r="D280" s="11"/>
      <c r="E280" s="8" t="s">
        <v>3</v>
      </c>
    </row>
    <row r="281" ht="22.5" customHeight="1">
      <c r="A281" s="10"/>
      <c r="B281" s="7"/>
      <c r="C281" s="8" t="s">
        <v>3</v>
      </c>
      <c r="D281" s="11"/>
      <c r="E281" s="8" t="s">
        <v>3</v>
      </c>
    </row>
    <row r="282" ht="22.5" customHeight="1">
      <c r="A282" s="10"/>
      <c r="B282" s="7"/>
      <c r="C282" s="8" t="s">
        <v>3</v>
      </c>
      <c r="D282" s="11"/>
      <c r="E282" s="8" t="s">
        <v>3</v>
      </c>
    </row>
    <row r="283" ht="22.5" customHeight="1">
      <c r="A283" s="10"/>
      <c r="B283" s="7"/>
      <c r="C283" s="8" t="s">
        <v>3</v>
      </c>
      <c r="D283" s="11"/>
      <c r="E283" s="8" t="s">
        <v>3</v>
      </c>
    </row>
    <row r="284" ht="22.5" customHeight="1">
      <c r="A284" s="10"/>
      <c r="B284" s="7"/>
      <c r="C284" s="8" t="s">
        <v>3</v>
      </c>
      <c r="D284" s="11"/>
      <c r="E284" s="8" t="s">
        <v>3</v>
      </c>
    </row>
    <row r="285" ht="22.5" customHeight="1">
      <c r="A285" s="10"/>
      <c r="B285" s="7"/>
      <c r="C285" s="8" t="s">
        <v>3</v>
      </c>
      <c r="D285" s="11"/>
      <c r="E285" s="8" t="s">
        <v>3</v>
      </c>
    </row>
    <row r="286" ht="22.5" customHeight="1">
      <c r="A286" s="10"/>
      <c r="B286" s="7"/>
      <c r="C286" s="8" t="s">
        <v>3</v>
      </c>
      <c r="D286" s="11"/>
      <c r="E286" s="8" t="s">
        <v>3</v>
      </c>
    </row>
    <row r="287" ht="22.5" customHeight="1">
      <c r="A287" s="10"/>
      <c r="B287" s="7"/>
      <c r="C287" s="8" t="s">
        <v>3</v>
      </c>
      <c r="D287" s="11"/>
      <c r="E287" s="8" t="s">
        <v>3</v>
      </c>
    </row>
    <row r="288" ht="22.5" customHeight="1">
      <c r="A288" s="10"/>
      <c r="B288" s="7"/>
      <c r="C288" s="8" t="s">
        <v>3</v>
      </c>
      <c r="D288" s="11"/>
      <c r="E288" s="8" t="s">
        <v>3</v>
      </c>
    </row>
    <row r="289" ht="22.5" customHeight="1">
      <c r="A289" s="10"/>
      <c r="B289" s="7"/>
      <c r="C289" s="8" t="s">
        <v>3</v>
      </c>
      <c r="D289" s="11"/>
      <c r="E289" s="8" t="s">
        <v>3</v>
      </c>
    </row>
    <row r="290" ht="22.5" customHeight="1">
      <c r="A290" s="10"/>
      <c r="B290" s="7"/>
      <c r="C290" s="8" t="s">
        <v>3</v>
      </c>
      <c r="D290" s="11"/>
      <c r="E290" s="8" t="s">
        <v>3</v>
      </c>
    </row>
    <row r="291" ht="22.5" customHeight="1">
      <c r="A291" s="10"/>
      <c r="B291" s="7"/>
      <c r="C291" s="8" t="s">
        <v>3</v>
      </c>
      <c r="D291" s="11"/>
      <c r="E291" s="8" t="s">
        <v>3</v>
      </c>
    </row>
    <row r="292" ht="22.5" customHeight="1">
      <c r="A292" s="10"/>
      <c r="B292" s="7"/>
      <c r="C292" s="8" t="s">
        <v>3</v>
      </c>
      <c r="D292" s="11"/>
      <c r="E292" s="8" t="s">
        <v>3</v>
      </c>
    </row>
    <row r="293" ht="22.5" customHeight="1">
      <c r="A293" s="10"/>
      <c r="B293" s="7"/>
      <c r="C293" s="8" t="s">
        <v>3</v>
      </c>
      <c r="D293" s="11"/>
      <c r="E293" s="8" t="s">
        <v>3</v>
      </c>
    </row>
    <row r="294" ht="22.5" customHeight="1">
      <c r="A294" s="14"/>
      <c r="B294" s="7"/>
      <c r="C294" s="8" t="s">
        <v>3</v>
      </c>
      <c r="D294" s="11"/>
      <c r="E294" s="8" t="s">
        <v>3</v>
      </c>
    </row>
    <row r="295" ht="22.5" customHeight="1">
      <c r="A295" s="10"/>
      <c r="B295" s="7"/>
      <c r="C295" s="8" t="s">
        <v>3</v>
      </c>
      <c r="D295" s="11"/>
      <c r="E295" s="8" t="s">
        <v>3</v>
      </c>
    </row>
    <row r="296" ht="22.5" customHeight="1">
      <c r="A296" s="10"/>
      <c r="B296" s="7"/>
      <c r="C296" s="8" t="s">
        <v>3</v>
      </c>
      <c r="D296" s="11"/>
      <c r="E296" s="8" t="s">
        <v>3</v>
      </c>
    </row>
    <row r="297" ht="22.5" customHeight="1">
      <c r="A297" s="9"/>
      <c r="B297" s="7"/>
      <c r="C297" s="8" t="s">
        <v>3</v>
      </c>
      <c r="D297" s="11"/>
      <c r="E297" s="8" t="s">
        <v>3</v>
      </c>
    </row>
    <row r="298" ht="22.5" customHeight="1">
      <c r="A298" s="9"/>
      <c r="B298" s="7"/>
      <c r="C298" s="8" t="s">
        <v>3</v>
      </c>
      <c r="D298" s="11"/>
      <c r="E298" s="8" t="s">
        <v>3</v>
      </c>
    </row>
    <row r="299" ht="22.5" customHeight="1">
      <c r="A299" s="10"/>
      <c r="B299" s="7"/>
      <c r="C299" s="8" t="s">
        <v>3</v>
      </c>
      <c r="D299" s="11"/>
      <c r="E299" s="8" t="s">
        <v>3</v>
      </c>
    </row>
    <row r="300" ht="22.5" customHeight="1">
      <c r="A300" s="10"/>
      <c r="B300" s="7"/>
      <c r="C300" s="8" t="s">
        <v>3</v>
      </c>
      <c r="D300" s="11"/>
      <c r="E300" s="8" t="s">
        <v>3</v>
      </c>
    </row>
    <row r="301" ht="22.5" customHeight="1">
      <c r="A301" s="10"/>
      <c r="B301" s="7"/>
      <c r="C301" s="8" t="s">
        <v>3</v>
      </c>
      <c r="D301" s="11"/>
      <c r="E301" s="8" t="s">
        <v>3</v>
      </c>
    </row>
    <row r="302" ht="22.5" customHeight="1">
      <c r="A302" s="10"/>
      <c r="B302" s="7"/>
      <c r="C302" s="8" t="s">
        <v>3</v>
      </c>
      <c r="D302" s="11"/>
      <c r="E302" s="8" t="s">
        <v>3</v>
      </c>
    </row>
    <row r="303" ht="22.5" customHeight="1">
      <c r="A303" s="10"/>
      <c r="B303" s="7"/>
      <c r="C303" s="8" t="s">
        <v>3</v>
      </c>
      <c r="D303" s="11"/>
      <c r="E303" s="8" t="s">
        <v>3</v>
      </c>
    </row>
    <row r="304" ht="22.5" customHeight="1">
      <c r="A304" s="10"/>
      <c r="B304" s="7"/>
      <c r="C304" s="8" t="s">
        <v>3</v>
      </c>
      <c r="D304" s="11"/>
      <c r="E304" s="8" t="s">
        <v>3</v>
      </c>
    </row>
    <row r="305" ht="22.5" customHeight="1">
      <c r="A305" s="14"/>
      <c r="B305" s="7"/>
      <c r="C305" s="8" t="s">
        <v>3</v>
      </c>
      <c r="D305" s="11"/>
      <c r="E305" s="8" t="s">
        <v>3</v>
      </c>
    </row>
    <row r="306" ht="22.5" customHeight="1">
      <c r="A306" s="10"/>
      <c r="B306" s="7"/>
      <c r="C306" s="8" t="s">
        <v>3</v>
      </c>
      <c r="D306" s="11"/>
      <c r="E306" s="8" t="s">
        <v>3</v>
      </c>
    </row>
    <row r="307" ht="22.5" customHeight="1">
      <c r="A307" s="10"/>
      <c r="B307" s="7"/>
      <c r="C307" s="8" t="s">
        <v>3</v>
      </c>
      <c r="D307" s="11"/>
      <c r="E307" s="8" t="s">
        <v>3</v>
      </c>
    </row>
    <row r="308" ht="22.5" customHeight="1">
      <c r="A308" s="10"/>
      <c r="B308" s="7"/>
      <c r="C308" s="8" t="s">
        <v>3</v>
      </c>
      <c r="D308" s="11"/>
      <c r="E308" s="8" t="s">
        <v>3</v>
      </c>
    </row>
    <row r="309" ht="22.5" customHeight="1">
      <c r="A309" s="10"/>
      <c r="B309" s="7"/>
      <c r="C309" s="8" t="s">
        <v>3</v>
      </c>
      <c r="D309" s="11"/>
      <c r="E309" s="8" t="s">
        <v>3</v>
      </c>
    </row>
    <row r="310" ht="22.5" customHeight="1">
      <c r="A310" s="10"/>
      <c r="B310" s="7"/>
      <c r="C310" s="8" t="s">
        <v>3</v>
      </c>
      <c r="D310" s="11"/>
      <c r="E310" s="8" t="s">
        <v>3</v>
      </c>
    </row>
    <row r="311" ht="22.5" customHeight="1">
      <c r="A311" s="10"/>
      <c r="B311" s="7"/>
      <c r="C311" s="8" t="s">
        <v>3</v>
      </c>
      <c r="D311" s="11"/>
      <c r="E311" s="8" t="s">
        <v>3</v>
      </c>
    </row>
    <row r="312" ht="22.5" customHeight="1">
      <c r="A312" s="10"/>
      <c r="B312" s="7"/>
      <c r="C312" s="8" t="s">
        <v>3</v>
      </c>
      <c r="D312" s="11"/>
      <c r="E312" s="8" t="s">
        <v>3</v>
      </c>
    </row>
    <row r="313" ht="22.5" customHeight="1">
      <c r="A313" s="10"/>
      <c r="B313" s="7"/>
      <c r="C313" s="8" t="s">
        <v>3</v>
      </c>
      <c r="D313" s="11"/>
      <c r="E313" s="8" t="s">
        <v>3</v>
      </c>
    </row>
    <row r="314" ht="22.5" customHeight="1">
      <c r="A314" s="10"/>
      <c r="B314" s="7"/>
      <c r="C314" s="8" t="s">
        <v>3</v>
      </c>
      <c r="D314" s="11"/>
      <c r="E314" s="8" t="s">
        <v>3</v>
      </c>
    </row>
    <row r="315" ht="22.5" customHeight="1">
      <c r="A315" s="10"/>
      <c r="B315" s="7"/>
      <c r="C315" s="8" t="s">
        <v>3</v>
      </c>
      <c r="D315" s="11"/>
      <c r="E315" s="8" t="s">
        <v>3</v>
      </c>
    </row>
    <row r="316" ht="22.5" customHeight="1">
      <c r="A316" s="10"/>
      <c r="B316" s="7"/>
      <c r="C316" s="8" t="s">
        <v>3</v>
      </c>
      <c r="D316" s="11"/>
      <c r="E316" s="8" t="s">
        <v>3</v>
      </c>
    </row>
    <row r="317" ht="22.5" customHeight="1">
      <c r="A317" s="10"/>
      <c r="B317" s="7"/>
      <c r="C317" s="8" t="s">
        <v>3</v>
      </c>
      <c r="D317" s="11"/>
      <c r="E317" s="8" t="s">
        <v>3</v>
      </c>
    </row>
    <row r="318" ht="22.5" customHeight="1">
      <c r="A318" s="10"/>
      <c r="B318" s="7"/>
      <c r="C318" s="8" t="s">
        <v>3</v>
      </c>
      <c r="D318" s="11"/>
      <c r="E318" s="8" t="s">
        <v>3</v>
      </c>
    </row>
    <row r="319" ht="22.5" customHeight="1">
      <c r="A319" s="10"/>
      <c r="B319" s="7"/>
      <c r="C319" s="8" t="s">
        <v>3</v>
      </c>
      <c r="D319" s="11"/>
      <c r="E319" s="8" t="s">
        <v>3</v>
      </c>
    </row>
    <row r="320" ht="22.5" customHeight="1">
      <c r="A320" s="10"/>
      <c r="B320" s="7"/>
      <c r="C320" s="8" t="s">
        <v>3</v>
      </c>
      <c r="D320" s="11"/>
      <c r="E320" s="8" t="s">
        <v>3</v>
      </c>
    </row>
    <row r="321" ht="22.5" customHeight="1">
      <c r="A321" s="10"/>
      <c r="B321" s="7"/>
      <c r="C321" s="8" t="s">
        <v>3</v>
      </c>
      <c r="D321" s="11"/>
      <c r="E321" s="8" t="s">
        <v>3</v>
      </c>
    </row>
    <row r="322" ht="22.5" customHeight="1">
      <c r="A322" s="10"/>
      <c r="B322" s="7"/>
      <c r="C322" s="8" t="s">
        <v>3</v>
      </c>
      <c r="D322" s="11"/>
      <c r="E322" s="8" t="s">
        <v>3</v>
      </c>
    </row>
    <row r="323" ht="22.5" customHeight="1">
      <c r="A323" s="10"/>
      <c r="B323" s="7"/>
      <c r="C323" s="8" t="s">
        <v>3</v>
      </c>
      <c r="D323" s="11"/>
      <c r="E323" s="8" t="s">
        <v>3</v>
      </c>
    </row>
    <row r="324" ht="22.5" customHeight="1">
      <c r="A324" s="10"/>
      <c r="B324" s="7"/>
      <c r="C324" s="8" t="s">
        <v>3</v>
      </c>
      <c r="D324" s="11"/>
      <c r="E324" s="8" t="s">
        <v>3</v>
      </c>
    </row>
    <row r="325" ht="22.5" customHeight="1">
      <c r="A325" s="10"/>
      <c r="B325" s="7"/>
      <c r="C325" s="8" t="s">
        <v>3</v>
      </c>
      <c r="D325" s="11"/>
      <c r="E325" s="8" t="s">
        <v>3</v>
      </c>
    </row>
    <row r="326" ht="22.5" customHeight="1">
      <c r="A326" s="10"/>
      <c r="B326" s="7"/>
      <c r="C326" s="8" t="s">
        <v>3</v>
      </c>
      <c r="D326" s="11"/>
      <c r="E326" s="8" t="s">
        <v>3</v>
      </c>
    </row>
    <row r="327" ht="22.5" customHeight="1">
      <c r="A327" s="10"/>
      <c r="B327" s="7"/>
      <c r="C327" s="8" t="s">
        <v>3</v>
      </c>
      <c r="D327" s="11"/>
      <c r="E327" s="8" t="s">
        <v>3</v>
      </c>
    </row>
    <row r="328" ht="22.5" customHeight="1">
      <c r="A328" s="10"/>
      <c r="B328" s="7"/>
      <c r="C328" s="8" t="s">
        <v>3</v>
      </c>
      <c r="D328" s="11"/>
      <c r="E328" s="8" t="s">
        <v>3</v>
      </c>
    </row>
    <row r="329" ht="22.5" customHeight="1">
      <c r="A329" s="10"/>
      <c r="B329" s="7"/>
      <c r="C329" s="8" t="s">
        <v>3</v>
      </c>
      <c r="D329" s="11"/>
      <c r="E329" s="8" t="s">
        <v>3</v>
      </c>
    </row>
    <row r="330" ht="22.5" customHeight="1">
      <c r="A330" s="10"/>
      <c r="B330" s="7"/>
      <c r="C330" s="8" t="s">
        <v>3</v>
      </c>
      <c r="D330" s="11"/>
      <c r="E330" s="8" t="s">
        <v>3</v>
      </c>
    </row>
    <row r="331" ht="22.5" customHeight="1">
      <c r="A331" s="9"/>
      <c r="B331" s="7"/>
      <c r="C331" s="8" t="s">
        <v>3</v>
      </c>
      <c r="D331" s="11"/>
      <c r="E331" s="8" t="s">
        <v>3</v>
      </c>
    </row>
    <row r="332" ht="22.5" customHeight="1">
      <c r="A332" s="10"/>
      <c r="B332" s="7"/>
      <c r="C332" s="8" t="s">
        <v>3</v>
      </c>
      <c r="D332" s="11"/>
      <c r="E332" s="8" t="s">
        <v>3</v>
      </c>
    </row>
    <row r="333" ht="22.5" customHeight="1">
      <c r="A333" s="10"/>
      <c r="B333" s="7"/>
      <c r="C333" s="8" t="s">
        <v>3</v>
      </c>
      <c r="D333" s="11"/>
      <c r="E333" s="8" t="s">
        <v>3</v>
      </c>
    </row>
    <row r="334" ht="22.5" customHeight="1">
      <c r="A334" s="10"/>
      <c r="B334" s="7"/>
      <c r="C334" s="8" t="s">
        <v>3</v>
      </c>
      <c r="D334" s="11"/>
      <c r="E334" s="8" t="s">
        <v>3</v>
      </c>
    </row>
    <row r="335" ht="22.5" customHeight="1">
      <c r="A335" s="10"/>
      <c r="B335" s="7"/>
      <c r="C335" s="8" t="s">
        <v>3</v>
      </c>
      <c r="D335" s="11"/>
      <c r="E335" s="8" t="s">
        <v>3</v>
      </c>
    </row>
    <row r="336" ht="22.5" customHeight="1">
      <c r="A336" s="10"/>
      <c r="B336" s="7"/>
      <c r="C336" s="8" t="s">
        <v>3</v>
      </c>
      <c r="D336" s="11"/>
      <c r="E336" s="8" t="s">
        <v>3</v>
      </c>
    </row>
    <row r="337" ht="22.5" customHeight="1">
      <c r="A337" s="10"/>
      <c r="B337" s="7"/>
      <c r="C337" s="8" t="s">
        <v>3</v>
      </c>
      <c r="D337" s="11"/>
      <c r="E337" s="8" t="s">
        <v>3</v>
      </c>
    </row>
    <row r="338" ht="22.5" customHeight="1">
      <c r="A338" s="10"/>
      <c r="B338" s="7"/>
      <c r="C338" s="8" t="s">
        <v>3</v>
      </c>
      <c r="D338" s="11"/>
      <c r="E338" s="8" t="s">
        <v>3</v>
      </c>
    </row>
    <row r="339" ht="22.5" customHeight="1">
      <c r="A339" s="10"/>
      <c r="B339" s="7"/>
      <c r="C339" s="8" t="s">
        <v>3</v>
      </c>
      <c r="D339" s="11"/>
      <c r="E339" s="8" t="s">
        <v>3</v>
      </c>
    </row>
    <row r="340" ht="22.5" customHeight="1">
      <c r="A340" s="10"/>
      <c r="B340" s="7"/>
      <c r="C340" s="8" t="s">
        <v>3</v>
      </c>
      <c r="D340" s="11"/>
      <c r="E340" s="8" t="s">
        <v>3</v>
      </c>
    </row>
    <row r="341" ht="22.5" customHeight="1">
      <c r="A341" s="9"/>
      <c r="B341" s="7"/>
      <c r="C341" s="8" t="s">
        <v>3</v>
      </c>
      <c r="D341" s="11"/>
      <c r="E341" s="8" t="s">
        <v>3</v>
      </c>
    </row>
    <row r="342" ht="22.5" customHeight="1">
      <c r="A342" s="10"/>
      <c r="B342" s="7"/>
      <c r="C342" s="8" t="s">
        <v>3</v>
      </c>
      <c r="D342" s="11"/>
      <c r="E342" s="8" t="s">
        <v>3</v>
      </c>
    </row>
    <row r="343" ht="22.5" customHeight="1">
      <c r="A343" s="10"/>
      <c r="B343" s="7"/>
      <c r="C343" s="8" t="s">
        <v>3</v>
      </c>
      <c r="D343" s="11"/>
      <c r="E343" s="8" t="s">
        <v>3</v>
      </c>
    </row>
    <row r="344" ht="22.5" customHeight="1">
      <c r="A344" s="9"/>
      <c r="B344" s="7"/>
      <c r="C344" s="8" t="s">
        <v>3</v>
      </c>
      <c r="D344" s="11"/>
      <c r="E344" s="8" t="s">
        <v>3</v>
      </c>
    </row>
    <row r="345" ht="22.5" customHeight="1">
      <c r="A345" s="10"/>
      <c r="B345" s="7"/>
      <c r="C345" s="8" t="s">
        <v>3</v>
      </c>
      <c r="D345" s="11"/>
      <c r="E345" s="8" t="s">
        <v>3</v>
      </c>
    </row>
    <row r="346" ht="22.5" customHeight="1">
      <c r="A346" s="10"/>
      <c r="B346" s="7"/>
      <c r="C346" s="8" t="s">
        <v>3</v>
      </c>
      <c r="D346" s="11"/>
      <c r="E346" s="8" t="s">
        <v>3</v>
      </c>
    </row>
    <row r="347" ht="22.5" customHeight="1">
      <c r="A347" s="10"/>
      <c r="B347" s="7"/>
      <c r="C347" s="8" t="s">
        <v>3</v>
      </c>
      <c r="D347" s="11"/>
      <c r="E347" s="8" t="s">
        <v>3</v>
      </c>
    </row>
    <row r="348" ht="22.5" customHeight="1">
      <c r="A348" s="10"/>
      <c r="B348" s="7"/>
      <c r="C348" s="8" t="s">
        <v>3</v>
      </c>
      <c r="D348" s="11"/>
      <c r="E348" s="8" t="s">
        <v>3</v>
      </c>
    </row>
    <row r="349" ht="22.5" customHeight="1">
      <c r="A349" s="10"/>
      <c r="B349" s="7"/>
      <c r="C349" s="8" t="s">
        <v>3</v>
      </c>
      <c r="D349" s="11"/>
      <c r="E349" s="8" t="s">
        <v>3</v>
      </c>
    </row>
    <row r="350" ht="22.5" customHeight="1">
      <c r="A350" s="10"/>
      <c r="B350" s="7"/>
      <c r="C350" s="8" t="s">
        <v>3</v>
      </c>
      <c r="D350" s="11"/>
      <c r="E350" s="8" t="s">
        <v>3</v>
      </c>
    </row>
    <row r="351" ht="22.5" customHeight="1">
      <c r="A351" s="10"/>
      <c r="B351" s="7"/>
      <c r="C351" s="8" t="s">
        <v>3</v>
      </c>
      <c r="D351" s="11"/>
      <c r="E351" s="8" t="s">
        <v>3</v>
      </c>
    </row>
    <row r="352" ht="22.5" customHeight="1">
      <c r="A352" s="10"/>
      <c r="B352" s="7"/>
      <c r="C352" s="8" t="s">
        <v>3</v>
      </c>
      <c r="D352" s="11"/>
      <c r="E352" s="8" t="s">
        <v>3</v>
      </c>
    </row>
    <row r="353" ht="22.5" customHeight="1">
      <c r="A353" s="9"/>
      <c r="B353" s="7"/>
      <c r="C353" s="13" t="s">
        <v>3</v>
      </c>
      <c r="D353" s="11"/>
      <c r="E353" s="13" t="s">
        <v>3</v>
      </c>
    </row>
    <row r="354" ht="22.5" customHeight="1">
      <c r="A354" s="9"/>
      <c r="B354" s="7"/>
      <c r="C354" s="8" t="s">
        <v>3</v>
      </c>
      <c r="D354" s="11"/>
      <c r="E354" s="8" t="s">
        <v>3</v>
      </c>
    </row>
    <row r="355" ht="22.5" customHeight="1">
      <c r="A355" s="9"/>
      <c r="B355" s="7"/>
      <c r="C355" s="8" t="s">
        <v>3</v>
      </c>
      <c r="D355" s="11"/>
      <c r="E355" s="8" t="s">
        <v>3</v>
      </c>
    </row>
    <row r="356" ht="22.5" customHeight="1">
      <c r="A356" s="9"/>
      <c r="B356" s="7"/>
      <c r="C356" s="8" t="s">
        <v>3</v>
      </c>
      <c r="D356" s="11"/>
      <c r="E356" s="8" t="s">
        <v>3</v>
      </c>
    </row>
    <row r="357" ht="22.5" customHeight="1">
      <c r="A357" s="9"/>
      <c r="B357" s="7"/>
      <c r="C357" s="8" t="s">
        <v>3</v>
      </c>
      <c r="D357" s="11"/>
      <c r="E357" s="8" t="s">
        <v>3</v>
      </c>
    </row>
    <row r="358" ht="22.5" customHeight="1">
      <c r="A358" s="9"/>
      <c r="B358" s="7"/>
      <c r="C358" s="8" t="s">
        <v>3</v>
      </c>
      <c r="D358" s="11"/>
      <c r="E358" s="8" t="s">
        <v>3</v>
      </c>
    </row>
    <row r="359" ht="22.5" customHeight="1">
      <c r="A359" s="9"/>
      <c r="B359" s="7"/>
      <c r="C359" s="8" t="s">
        <v>3</v>
      </c>
      <c r="D359" s="11"/>
      <c r="E359" s="8" t="s">
        <v>3</v>
      </c>
    </row>
    <row r="360" ht="22.5" customHeight="1">
      <c r="A360" s="10"/>
      <c r="B360" s="7"/>
      <c r="C360" s="8" t="s">
        <v>3</v>
      </c>
      <c r="D360" s="11"/>
      <c r="E360" s="8" t="s">
        <v>3</v>
      </c>
    </row>
    <row r="361" ht="22.5" customHeight="1">
      <c r="A361" s="10"/>
      <c r="B361" s="7"/>
      <c r="C361" s="8" t="s">
        <v>3</v>
      </c>
      <c r="D361" s="11"/>
      <c r="E361" s="8" t="s">
        <v>3</v>
      </c>
    </row>
    <row r="362" ht="22.5" customHeight="1">
      <c r="A362" s="10"/>
      <c r="B362" s="7"/>
      <c r="C362" s="8" t="s">
        <v>3</v>
      </c>
      <c r="D362" s="11"/>
      <c r="E362" s="8" t="s">
        <v>3</v>
      </c>
    </row>
    <row r="363" ht="22.5" customHeight="1">
      <c r="A363" s="10"/>
      <c r="B363" s="7"/>
      <c r="C363" s="8" t="s">
        <v>3</v>
      </c>
      <c r="D363" s="11"/>
      <c r="E363" s="8" t="s">
        <v>3</v>
      </c>
    </row>
    <row r="364" ht="22.5" customHeight="1">
      <c r="A364" s="10"/>
      <c r="B364" s="7"/>
      <c r="C364" s="8" t="s">
        <v>3</v>
      </c>
      <c r="D364" s="11"/>
      <c r="E364" s="8" t="s">
        <v>3</v>
      </c>
    </row>
    <row r="365" ht="22.5" customHeight="1">
      <c r="A365" s="10"/>
      <c r="B365" s="7"/>
      <c r="C365" s="8" t="s">
        <v>3</v>
      </c>
      <c r="D365" s="11"/>
      <c r="E365" s="8" t="s">
        <v>3</v>
      </c>
    </row>
    <row r="366" ht="22.5" customHeight="1">
      <c r="A366" s="10"/>
      <c r="B366" s="7"/>
      <c r="C366" s="8" t="s">
        <v>3</v>
      </c>
      <c r="D366" s="11"/>
      <c r="E366" s="8" t="s">
        <v>3</v>
      </c>
    </row>
    <row r="367" ht="22.5" customHeight="1">
      <c r="A367" s="10"/>
      <c r="B367" s="7"/>
      <c r="C367" s="8" t="s">
        <v>3</v>
      </c>
      <c r="D367" s="11"/>
      <c r="E367" s="8" t="s">
        <v>3</v>
      </c>
    </row>
    <row r="368" ht="22.5" customHeight="1">
      <c r="A368" s="10"/>
      <c r="B368" s="7"/>
      <c r="C368" s="8" t="s">
        <v>3</v>
      </c>
      <c r="D368" s="11"/>
      <c r="E368" s="8" t="s">
        <v>3</v>
      </c>
    </row>
    <row r="369" ht="22.5" customHeight="1">
      <c r="A369" s="10"/>
      <c r="B369" s="7"/>
      <c r="C369" s="8" t="s">
        <v>3</v>
      </c>
      <c r="D369" s="11"/>
      <c r="E369" s="8" t="s">
        <v>3</v>
      </c>
    </row>
    <row r="370" ht="22.5" customHeight="1">
      <c r="A370" s="10"/>
      <c r="B370" s="7"/>
      <c r="C370" s="8" t="s">
        <v>3</v>
      </c>
      <c r="D370" s="11"/>
      <c r="E370" s="8" t="s">
        <v>3</v>
      </c>
    </row>
    <row r="371" ht="22.5" customHeight="1">
      <c r="A371" s="10"/>
      <c r="B371" s="7"/>
      <c r="C371" s="8" t="s">
        <v>3</v>
      </c>
      <c r="D371" s="11"/>
      <c r="E371" s="8" t="s">
        <v>3</v>
      </c>
    </row>
    <row r="372" ht="22.5" customHeight="1">
      <c r="A372" s="9"/>
      <c r="B372" s="7"/>
      <c r="C372" s="8" t="s">
        <v>3</v>
      </c>
      <c r="D372" s="11"/>
      <c r="E372" s="8" t="s">
        <v>3</v>
      </c>
    </row>
    <row r="373" ht="22.5" customHeight="1">
      <c r="A373" s="9"/>
      <c r="B373" s="7"/>
      <c r="C373" s="8" t="s">
        <v>3</v>
      </c>
      <c r="D373" s="11"/>
      <c r="E373" s="8" t="s">
        <v>3</v>
      </c>
    </row>
    <row r="374" ht="22.5" customHeight="1">
      <c r="A374" s="9"/>
      <c r="B374" s="7"/>
      <c r="C374" s="8" t="s">
        <v>3</v>
      </c>
      <c r="D374" s="11"/>
      <c r="E374" s="13" t="s">
        <v>3</v>
      </c>
    </row>
    <row r="375" ht="22.5" customHeight="1">
      <c r="A375" s="9"/>
      <c r="B375" s="7"/>
      <c r="C375" s="8" t="s">
        <v>3</v>
      </c>
      <c r="D375" s="11"/>
      <c r="E375" s="8" t="s">
        <v>3</v>
      </c>
    </row>
    <row r="376" ht="22.5" customHeight="1">
      <c r="A376" s="10"/>
      <c r="B376" s="7"/>
      <c r="C376" s="8" t="s">
        <v>3</v>
      </c>
      <c r="D376" s="11"/>
      <c r="E376" s="8" t="s">
        <v>3</v>
      </c>
    </row>
    <row r="377" ht="22.5" customHeight="1">
      <c r="A377" s="10"/>
      <c r="B377" s="7"/>
      <c r="C377" s="8" t="s">
        <v>3</v>
      </c>
      <c r="D377" s="11"/>
      <c r="E377" s="8" t="s">
        <v>3</v>
      </c>
    </row>
    <row r="378" ht="22.5" customHeight="1">
      <c r="A378" s="10"/>
      <c r="B378" s="7"/>
      <c r="C378" s="8" t="s">
        <v>3</v>
      </c>
      <c r="D378" s="11"/>
      <c r="E378" s="8" t="s">
        <v>3</v>
      </c>
    </row>
    <row r="379" ht="22.5" customHeight="1">
      <c r="A379" s="10"/>
      <c r="B379" s="7"/>
      <c r="C379" s="8" t="s">
        <v>3</v>
      </c>
      <c r="D379" s="11"/>
      <c r="E379" s="8" t="s">
        <v>3</v>
      </c>
    </row>
    <row r="380" ht="22.5" customHeight="1">
      <c r="A380" s="10"/>
      <c r="B380" s="7"/>
      <c r="C380" s="8" t="s">
        <v>3</v>
      </c>
      <c r="D380" s="11"/>
      <c r="E380" s="8" t="s">
        <v>3</v>
      </c>
    </row>
    <row r="381" ht="22.5" customHeight="1">
      <c r="A381" s="10"/>
      <c r="B381" s="7"/>
      <c r="C381" s="8" t="s">
        <v>3</v>
      </c>
      <c r="D381" s="11"/>
      <c r="E381" s="8" t="s">
        <v>3</v>
      </c>
    </row>
    <row r="382" ht="22.5" customHeight="1">
      <c r="A382" s="10"/>
      <c r="B382" s="7"/>
      <c r="C382" s="8" t="s">
        <v>3</v>
      </c>
      <c r="D382" s="11"/>
      <c r="E382" s="8" t="s">
        <v>3</v>
      </c>
    </row>
    <row r="383" ht="22.5" customHeight="1">
      <c r="A383" s="10"/>
      <c r="B383" s="7"/>
      <c r="C383" s="8" t="s">
        <v>3</v>
      </c>
      <c r="D383" s="11"/>
      <c r="E383" s="8" t="s">
        <v>3</v>
      </c>
    </row>
    <row r="384" ht="22.5" customHeight="1">
      <c r="A384" s="10"/>
      <c r="B384" s="7"/>
      <c r="C384" s="8" t="s">
        <v>3</v>
      </c>
      <c r="D384" s="11"/>
      <c r="E384" s="8" t="s">
        <v>3</v>
      </c>
    </row>
    <row r="385" ht="22.5" customHeight="1">
      <c r="A385" s="10"/>
      <c r="B385" s="7"/>
      <c r="C385" s="8" t="s">
        <v>3</v>
      </c>
      <c r="D385" s="11"/>
      <c r="E385" s="8" t="s">
        <v>3</v>
      </c>
    </row>
    <row r="386" ht="22.5" customHeight="1">
      <c r="A386" s="10"/>
      <c r="B386" s="7"/>
      <c r="C386" s="8" t="s">
        <v>3</v>
      </c>
      <c r="D386" s="11"/>
      <c r="E386" s="8" t="s">
        <v>3</v>
      </c>
    </row>
    <row r="387" ht="22.5" customHeight="1">
      <c r="A387" s="10"/>
      <c r="B387" s="7"/>
      <c r="C387" s="8" t="s">
        <v>3</v>
      </c>
      <c r="D387" s="11"/>
      <c r="E387" s="8" t="s">
        <v>3</v>
      </c>
    </row>
    <row r="388" ht="22.5" customHeight="1">
      <c r="A388" s="10"/>
      <c r="B388" s="7"/>
      <c r="C388" s="8" t="s">
        <v>3</v>
      </c>
      <c r="D388" s="11"/>
      <c r="E388" s="8" t="s">
        <v>3</v>
      </c>
    </row>
    <row r="389" ht="22.5" customHeight="1">
      <c r="A389" s="9"/>
      <c r="B389" s="7"/>
      <c r="C389" s="8" t="s">
        <v>3</v>
      </c>
      <c r="D389" s="11"/>
      <c r="E389" s="8" t="s">
        <v>3</v>
      </c>
    </row>
    <row r="390" ht="22.5" customHeight="1">
      <c r="A390" s="10"/>
      <c r="B390" s="7"/>
      <c r="C390" s="8" t="s">
        <v>3</v>
      </c>
      <c r="D390" s="11"/>
      <c r="E390" s="8" t="s">
        <v>3</v>
      </c>
    </row>
    <row r="391" ht="22.5" customHeight="1">
      <c r="A391" s="10"/>
      <c r="B391" s="7"/>
      <c r="C391" s="8" t="s">
        <v>3</v>
      </c>
      <c r="D391" s="11"/>
      <c r="E391" s="8" t="s">
        <v>3</v>
      </c>
    </row>
    <row r="392" ht="22.5" customHeight="1">
      <c r="A392" s="10"/>
      <c r="B392" s="7"/>
      <c r="C392" s="8" t="s">
        <v>3</v>
      </c>
      <c r="D392" s="11"/>
      <c r="E392" s="8" t="s">
        <v>3</v>
      </c>
    </row>
    <row r="393" ht="22.5" customHeight="1">
      <c r="A393" s="10"/>
      <c r="B393" s="7"/>
      <c r="C393" s="8" t="s">
        <v>3</v>
      </c>
      <c r="D393" s="11"/>
      <c r="E393" s="8" t="s">
        <v>3</v>
      </c>
    </row>
    <row r="394" ht="22.5" customHeight="1">
      <c r="A394" s="10"/>
      <c r="B394" s="7"/>
      <c r="C394" s="8" t="s">
        <v>3</v>
      </c>
      <c r="D394" s="11"/>
      <c r="E394" s="8" t="s">
        <v>3</v>
      </c>
    </row>
    <row r="395" ht="22.5" customHeight="1">
      <c r="A395" s="10"/>
      <c r="B395" s="7"/>
      <c r="C395" s="8" t="s">
        <v>3</v>
      </c>
      <c r="D395" s="11"/>
      <c r="E395" s="8" t="s">
        <v>3</v>
      </c>
    </row>
    <row r="396" ht="22.5" customHeight="1">
      <c r="A396" s="10"/>
      <c r="B396" s="7"/>
      <c r="C396" s="8" t="s">
        <v>3</v>
      </c>
      <c r="D396" s="11"/>
      <c r="E396" s="8" t="s">
        <v>3</v>
      </c>
    </row>
    <row r="397" ht="22.5" customHeight="1">
      <c r="A397" s="10"/>
      <c r="B397" s="7"/>
      <c r="C397" s="8" t="s">
        <v>3</v>
      </c>
      <c r="D397" s="11"/>
      <c r="E397" s="8" t="s">
        <v>3</v>
      </c>
    </row>
    <row r="398" ht="22.5" customHeight="1">
      <c r="A398" s="10"/>
      <c r="B398" s="7"/>
      <c r="C398" s="8" t="s">
        <v>3</v>
      </c>
      <c r="D398" s="11"/>
      <c r="E398" s="8" t="s">
        <v>3</v>
      </c>
    </row>
    <row r="399" ht="22.5" customHeight="1">
      <c r="A399" s="10"/>
      <c r="B399" s="7"/>
      <c r="C399" s="8" t="s">
        <v>3</v>
      </c>
      <c r="D399" s="11"/>
      <c r="E399" s="8" t="s">
        <v>3</v>
      </c>
    </row>
    <row r="400" ht="22.5" customHeight="1">
      <c r="A400" s="9"/>
      <c r="B400" s="7"/>
      <c r="C400" s="8" t="s">
        <v>3</v>
      </c>
      <c r="D400" s="11"/>
      <c r="E400" s="8" t="s">
        <v>3</v>
      </c>
    </row>
    <row r="401" ht="22.5" customHeight="1">
      <c r="A401" s="10"/>
      <c r="B401" s="7"/>
      <c r="C401" s="8" t="s">
        <v>3</v>
      </c>
      <c r="D401" s="11"/>
      <c r="E401" s="8" t="s">
        <v>3</v>
      </c>
    </row>
    <row r="402" ht="22.5" customHeight="1">
      <c r="A402" s="10"/>
      <c r="B402" s="7"/>
      <c r="C402" s="8" t="s">
        <v>3</v>
      </c>
      <c r="D402" s="11"/>
      <c r="E402" s="8" t="s">
        <v>3</v>
      </c>
    </row>
    <row r="403" ht="22.5" customHeight="1">
      <c r="A403" s="10"/>
      <c r="B403" s="7"/>
      <c r="C403" s="8" t="s">
        <v>3</v>
      </c>
      <c r="D403" s="11"/>
      <c r="E403" s="8" t="s">
        <v>3</v>
      </c>
    </row>
    <row r="404" ht="22.5" customHeight="1">
      <c r="A404" s="10"/>
      <c r="B404" s="7"/>
      <c r="C404" s="8" t="s">
        <v>3</v>
      </c>
      <c r="D404" s="11"/>
      <c r="E404" s="8" t="s">
        <v>3</v>
      </c>
    </row>
    <row r="405" ht="22.5" customHeight="1">
      <c r="A405" s="10"/>
      <c r="B405" s="7"/>
      <c r="C405" s="8" t="s">
        <v>3</v>
      </c>
      <c r="D405" s="11"/>
      <c r="E405" s="8" t="s">
        <v>3</v>
      </c>
    </row>
    <row r="406" ht="22.5" customHeight="1">
      <c r="A406" s="10"/>
      <c r="B406" s="7"/>
      <c r="C406" s="8" t="s">
        <v>3</v>
      </c>
      <c r="D406" s="11"/>
      <c r="E406" s="8" t="s">
        <v>3</v>
      </c>
    </row>
    <row r="407" ht="22.5" customHeight="1">
      <c r="A407" s="9"/>
      <c r="B407" s="7"/>
      <c r="C407" s="8" t="s">
        <v>3</v>
      </c>
      <c r="D407" s="11"/>
      <c r="E407" s="8" t="s">
        <v>3</v>
      </c>
    </row>
    <row r="408" ht="22.5" customHeight="1">
      <c r="A408" s="10"/>
      <c r="B408" s="7"/>
      <c r="C408" s="8" t="s">
        <v>3</v>
      </c>
      <c r="D408" s="11"/>
      <c r="E408" s="8" t="s">
        <v>3</v>
      </c>
    </row>
    <row r="409" ht="22.5" customHeight="1">
      <c r="A409" s="9"/>
      <c r="B409" s="7"/>
      <c r="C409" s="8" t="s">
        <v>3</v>
      </c>
      <c r="D409" s="11"/>
      <c r="E409" s="8" t="s">
        <v>3</v>
      </c>
    </row>
    <row r="410" ht="22.5" customHeight="1">
      <c r="A410" s="10"/>
      <c r="B410" s="7"/>
      <c r="C410" s="8" t="s">
        <v>3</v>
      </c>
      <c r="D410" s="11"/>
      <c r="E410" s="8" t="s">
        <v>3</v>
      </c>
    </row>
    <row r="411" ht="22.5" customHeight="1">
      <c r="A411" s="10"/>
      <c r="B411" s="7"/>
      <c r="C411" s="8" t="s">
        <v>3</v>
      </c>
      <c r="D411" s="11"/>
      <c r="E411" s="8" t="s">
        <v>3</v>
      </c>
    </row>
    <row r="412" ht="22.5" customHeight="1">
      <c r="A412" s="10"/>
      <c r="B412" s="7"/>
      <c r="C412" s="8" t="s">
        <v>3</v>
      </c>
      <c r="D412" s="11"/>
      <c r="E412" s="8" t="s">
        <v>3</v>
      </c>
    </row>
    <row r="413" ht="22.5" customHeight="1">
      <c r="A413" s="10"/>
      <c r="B413" s="7"/>
      <c r="C413" s="8" t="s">
        <v>3</v>
      </c>
      <c r="D413" s="11"/>
      <c r="E413" s="8" t="s">
        <v>3</v>
      </c>
    </row>
    <row r="414" ht="22.5" customHeight="1">
      <c r="A414" s="10"/>
      <c r="B414" s="7"/>
      <c r="C414" s="8" t="s">
        <v>3</v>
      </c>
      <c r="D414" s="11"/>
      <c r="E414" s="8" t="s">
        <v>3</v>
      </c>
    </row>
    <row r="415" ht="22.5" customHeight="1">
      <c r="A415" s="9"/>
      <c r="B415" s="7"/>
      <c r="C415" s="8" t="s">
        <v>3</v>
      </c>
      <c r="D415" s="11"/>
      <c r="E415" s="8" t="s">
        <v>3</v>
      </c>
    </row>
    <row r="416" ht="22.5" customHeight="1">
      <c r="A416" s="9"/>
      <c r="B416" s="7"/>
      <c r="C416" s="8" t="s">
        <v>3</v>
      </c>
      <c r="D416" s="11"/>
      <c r="E416" s="8" t="s">
        <v>3</v>
      </c>
    </row>
    <row r="417" ht="22.5" customHeight="1">
      <c r="A417" s="10"/>
      <c r="B417" s="7"/>
      <c r="C417" s="8" t="s">
        <v>3</v>
      </c>
      <c r="D417" s="11"/>
      <c r="E417" s="8" t="s">
        <v>3</v>
      </c>
    </row>
    <row r="418" ht="22.5" customHeight="1">
      <c r="A418" s="10"/>
      <c r="B418" s="7"/>
      <c r="C418" s="8" t="s">
        <v>3</v>
      </c>
      <c r="D418" s="11"/>
      <c r="E418" s="8" t="s">
        <v>3</v>
      </c>
    </row>
    <row r="419" ht="22.5" customHeight="1">
      <c r="A419" s="10"/>
      <c r="B419" s="7"/>
      <c r="C419" s="8" t="s">
        <v>3</v>
      </c>
      <c r="D419" s="11"/>
      <c r="E419" s="8" t="s">
        <v>3</v>
      </c>
    </row>
    <row r="420" ht="22.5" customHeight="1">
      <c r="A420" s="10"/>
      <c r="B420" s="7"/>
      <c r="C420" s="8" t="s">
        <v>3</v>
      </c>
      <c r="D420" s="11"/>
      <c r="E420" s="8" t="s">
        <v>3</v>
      </c>
    </row>
    <row r="421" ht="22.5" customHeight="1">
      <c r="A421" s="10"/>
      <c r="B421" s="7"/>
      <c r="C421" s="8" t="s">
        <v>3</v>
      </c>
      <c r="D421" s="11"/>
      <c r="E421" s="8" t="s">
        <v>3</v>
      </c>
    </row>
    <row r="422" ht="22.5" customHeight="1">
      <c r="A422" s="10"/>
      <c r="B422" s="7"/>
      <c r="C422" s="8" t="s">
        <v>3</v>
      </c>
      <c r="D422" s="11"/>
      <c r="E422" s="8" t="s">
        <v>3</v>
      </c>
    </row>
    <row r="423" ht="22.5" customHeight="1">
      <c r="A423" s="9"/>
      <c r="B423" s="7"/>
      <c r="C423" s="8" t="s">
        <v>3</v>
      </c>
      <c r="D423" s="11"/>
      <c r="E423" s="8" t="s">
        <v>3</v>
      </c>
    </row>
    <row r="424" ht="22.5" customHeight="1">
      <c r="A424" s="10"/>
      <c r="B424" s="7"/>
      <c r="C424" s="8" t="s">
        <v>3</v>
      </c>
      <c r="D424" s="11"/>
      <c r="E424" s="8" t="s">
        <v>3</v>
      </c>
    </row>
    <row r="425" ht="22.5" customHeight="1">
      <c r="A425" s="10"/>
      <c r="B425" s="7"/>
      <c r="C425" s="8" t="s">
        <v>3</v>
      </c>
      <c r="D425" s="11"/>
      <c r="E425" s="8" t="s">
        <v>3</v>
      </c>
    </row>
    <row r="426" ht="22.5" customHeight="1">
      <c r="A426" s="9"/>
      <c r="B426" s="7"/>
      <c r="C426" s="13" t="s">
        <v>3</v>
      </c>
      <c r="D426" s="11"/>
      <c r="E426" s="13" t="s">
        <v>3</v>
      </c>
    </row>
    <row r="427" ht="22.5" customHeight="1">
      <c r="A427" s="10"/>
      <c r="B427" s="7"/>
      <c r="C427" s="8" t="s">
        <v>3</v>
      </c>
      <c r="D427" s="11"/>
      <c r="E427" s="8" t="s">
        <v>3</v>
      </c>
    </row>
    <row r="428" ht="22.5" customHeight="1">
      <c r="A428" s="10"/>
      <c r="B428" s="7"/>
      <c r="C428" s="8" t="s">
        <v>3</v>
      </c>
      <c r="D428" s="11"/>
      <c r="E428" s="8" t="s">
        <v>3</v>
      </c>
    </row>
    <row r="429" ht="22.5" customHeight="1">
      <c r="A429" s="9"/>
      <c r="B429" s="7"/>
      <c r="C429" s="8" t="s">
        <v>3</v>
      </c>
      <c r="D429" s="11"/>
      <c r="E429" s="8" t="s">
        <v>3</v>
      </c>
    </row>
    <row r="430" ht="22.5" customHeight="1">
      <c r="A430" s="9"/>
      <c r="B430" s="7"/>
      <c r="C430" s="8" t="s">
        <v>3</v>
      </c>
      <c r="D430" s="11"/>
      <c r="E430" s="8" t="s">
        <v>3</v>
      </c>
    </row>
    <row r="431" ht="22.5" customHeight="1">
      <c r="A431" s="10"/>
      <c r="B431" s="7"/>
      <c r="C431" s="8" t="s">
        <v>3</v>
      </c>
      <c r="D431" s="11"/>
      <c r="E431" s="8" t="s">
        <v>3</v>
      </c>
    </row>
    <row r="432" ht="22.5" customHeight="1">
      <c r="A432" s="10"/>
      <c r="B432" s="7"/>
      <c r="C432" s="8" t="s">
        <v>3</v>
      </c>
      <c r="D432" s="11"/>
      <c r="E432" s="8" t="s">
        <v>3</v>
      </c>
    </row>
    <row r="433" ht="22.5" customHeight="1">
      <c r="A433" s="9"/>
      <c r="B433" s="7"/>
      <c r="C433" s="8" t="s">
        <v>3</v>
      </c>
      <c r="D433" s="11"/>
      <c r="E433" s="8" t="s">
        <v>3</v>
      </c>
    </row>
    <row r="434" ht="22.5" customHeight="1">
      <c r="A434" s="9"/>
      <c r="B434" s="7"/>
      <c r="C434" s="8" t="s">
        <v>3</v>
      </c>
      <c r="D434" s="11"/>
      <c r="E434" s="8" t="s">
        <v>3</v>
      </c>
    </row>
    <row r="435" ht="22.5" customHeight="1">
      <c r="A435" s="9"/>
      <c r="B435" s="7"/>
      <c r="C435" s="8" t="s">
        <v>3</v>
      </c>
      <c r="D435" s="11"/>
      <c r="E435" s="8" t="s">
        <v>3</v>
      </c>
    </row>
    <row r="436" ht="22.5" customHeight="1">
      <c r="A436" s="9"/>
      <c r="B436" s="7"/>
      <c r="C436" s="8" t="s">
        <v>3</v>
      </c>
      <c r="D436" s="11"/>
      <c r="E436" s="8" t="s">
        <v>3</v>
      </c>
    </row>
    <row r="437" ht="22.5" customHeight="1">
      <c r="A437" s="10"/>
      <c r="B437" s="7"/>
      <c r="C437" s="8" t="s">
        <v>3</v>
      </c>
      <c r="D437" s="11"/>
      <c r="E437" s="8" t="s">
        <v>3</v>
      </c>
    </row>
    <row r="438" ht="22.5" customHeight="1">
      <c r="A438" s="10"/>
      <c r="B438" s="7"/>
      <c r="C438" s="8" t="s">
        <v>3</v>
      </c>
      <c r="D438" s="11"/>
      <c r="E438" s="8" t="s">
        <v>3</v>
      </c>
    </row>
    <row r="439" ht="22.5" customHeight="1">
      <c r="A439" s="10"/>
      <c r="B439" s="7"/>
      <c r="C439" s="8" t="s">
        <v>3</v>
      </c>
      <c r="D439" s="11"/>
      <c r="E439" s="8" t="s">
        <v>3</v>
      </c>
    </row>
    <row r="440" ht="22.5" customHeight="1">
      <c r="A440" s="10"/>
      <c r="B440" s="7"/>
      <c r="C440" s="8" t="s">
        <v>3</v>
      </c>
      <c r="D440" s="11"/>
      <c r="E440" s="8" t="s">
        <v>3</v>
      </c>
    </row>
    <row r="441" ht="22.5" customHeight="1">
      <c r="A441" s="10"/>
      <c r="B441" s="7"/>
      <c r="C441" s="8" t="s">
        <v>3</v>
      </c>
      <c r="D441" s="11"/>
      <c r="E441" s="8" t="s">
        <v>3</v>
      </c>
    </row>
    <row r="442" ht="22.5" customHeight="1">
      <c r="A442" s="10"/>
      <c r="B442" s="7"/>
      <c r="C442" s="8" t="s">
        <v>3</v>
      </c>
      <c r="D442" s="11"/>
      <c r="E442" s="8" t="s">
        <v>3</v>
      </c>
    </row>
    <row r="443" ht="22.5" customHeight="1">
      <c r="A443" s="10"/>
      <c r="B443" s="7"/>
      <c r="C443" s="8" t="s">
        <v>3</v>
      </c>
      <c r="D443" s="11"/>
      <c r="E443" s="8" t="s">
        <v>3</v>
      </c>
    </row>
    <row r="444" ht="22.5" customHeight="1">
      <c r="A444" s="10"/>
      <c r="B444" s="7"/>
      <c r="C444" s="8" t="s">
        <v>3</v>
      </c>
      <c r="D444" s="11"/>
      <c r="E444" s="8" t="s">
        <v>3</v>
      </c>
    </row>
    <row r="445" ht="22.5" customHeight="1">
      <c r="A445" s="10"/>
      <c r="B445" s="7"/>
      <c r="C445" s="8" t="s">
        <v>3</v>
      </c>
      <c r="D445" s="11"/>
      <c r="E445" s="8" t="s">
        <v>3</v>
      </c>
    </row>
    <row r="446" ht="22.5" customHeight="1">
      <c r="A446" s="10"/>
      <c r="B446" s="7"/>
      <c r="C446" s="8" t="s">
        <v>3</v>
      </c>
      <c r="D446" s="11"/>
      <c r="E446" s="8" t="s">
        <v>3</v>
      </c>
    </row>
    <row r="447" ht="22.5" customHeight="1">
      <c r="A447" s="10"/>
      <c r="B447" s="7"/>
      <c r="C447" s="8" t="s">
        <v>3</v>
      </c>
      <c r="D447" s="11"/>
      <c r="E447" s="8" t="s">
        <v>3</v>
      </c>
    </row>
    <row r="448" ht="22.5" customHeight="1">
      <c r="A448" s="10"/>
      <c r="B448" s="7"/>
      <c r="C448" s="8" t="s">
        <v>3</v>
      </c>
      <c r="D448" s="11"/>
      <c r="E448" s="8" t="s">
        <v>3</v>
      </c>
    </row>
    <row r="449" ht="22.5" customHeight="1">
      <c r="A449" s="10"/>
      <c r="B449" s="7"/>
      <c r="C449" s="8" t="s">
        <v>3</v>
      </c>
      <c r="D449" s="11"/>
      <c r="E449" s="8" t="s">
        <v>3</v>
      </c>
    </row>
    <row r="450" ht="22.5" customHeight="1">
      <c r="A450" s="10"/>
      <c r="B450" s="7"/>
      <c r="C450" s="8" t="s">
        <v>3</v>
      </c>
      <c r="D450" s="11"/>
      <c r="E450" s="8" t="s">
        <v>3</v>
      </c>
    </row>
    <row r="451" ht="22.5" customHeight="1">
      <c r="A451" s="10"/>
      <c r="B451" s="7"/>
      <c r="C451" s="8" t="s">
        <v>3</v>
      </c>
      <c r="D451" s="11"/>
      <c r="E451" s="8" t="s">
        <v>3</v>
      </c>
    </row>
    <row r="452" ht="22.5" customHeight="1">
      <c r="A452" s="10"/>
      <c r="B452" s="7"/>
      <c r="C452" s="8" t="s">
        <v>3</v>
      </c>
      <c r="D452" s="11"/>
      <c r="E452" s="8" t="s">
        <v>3</v>
      </c>
    </row>
    <row r="453" ht="22.5" customHeight="1">
      <c r="A453" s="9"/>
      <c r="B453" s="7"/>
      <c r="C453" s="8" t="s">
        <v>3</v>
      </c>
      <c r="D453" s="11"/>
      <c r="E453" s="8" t="s">
        <v>3</v>
      </c>
    </row>
    <row r="454" ht="22.5" customHeight="1">
      <c r="A454" s="9"/>
      <c r="B454" s="7"/>
      <c r="C454" s="8" t="s">
        <v>3</v>
      </c>
      <c r="D454" s="11"/>
      <c r="E454" s="8" t="s">
        <v>3</v>
      </c>
    </row>
    <row r="455" ht="22.5" customHeight="1">
      <c r="A455" s="9"/>
      <c r="B455" s="7"/>
      <c r="C455" s="8" t="s">
        <v>3</v>
      </c>
      <c r="D455" s="11"/>
      <c r="E455" s="8" t="s">
        <v>3</v>
      </c>
    </row>
    <row r="456" ht="22.5" customHeight="1">
      <c r="A456" s="10"/>
      <c r="B456" s="7"/>
      <c r="C456" s="8" t="s">
        <v>3</v>
      </c>
      <c r="D456" s="11"/>
      <c r="E456" s="8" t="s">
        <v>3</v>
      </c>
    </row>
    <row r="457" ht="22.5" customHeight="1">
      <c r="A457" s="10"/>
      <c r="B457" s="7"/>
      <c r="C457" s="8" t="s">
        <v>3</v>
      </c>
      <c r="D457" s="11"/>
      <c r="E457" s="8" t="s">
        <v>3</v>
      </c>
    </row>
    <row r="458" ht="22.5" customHeight="1">
      <c r="A458" s="10"/>
      <c r="B458" s="7"/>
      <c r="C458" s="8" t="s">
        <v>3</v>
      </c>
      <c r="D458" s="11"/>
      <c r="E458" s="8" t="s">
        <v>3</v>
      </c>
    </row>
    <row r="459" ht="22.5" customHeight="1">
      <c r="A459" s="10"/>
      <c r="B459" s="7"/>
      <c r="C459" s="8" t="s">
        <v>3</v>
      </c>
      <c r="D459" s="11"/>
      <c r="E459" s="8" t="s">
        <v>3</v>
      </c>
    </row>
    <row r="460" ht="22.5" customHeight="1">
      <c r="A460" s="10"/>
      <c r="B460" s="7"/>
      <c r="C460" s="8" t="s">
        <v>3</v>
      </c>
      <c r="D460" s="11"/>
      <c r="E460" s="8" t="s">
        <v>3</v>
      </c>
    </row>
    <row r="461" ht="22.5" customHeight="1">
      <c r="A461" s="10"/>
      <c r="B461" s="7"/>
      <c r="C461" s="8" t="s">
        <v>3</v>
      </c>
      <c r="D461" s="11"/>
      <c r="E461" s="8" t="s">
        <v>3</v>
      </c>
    </row>
    <row r="462" ht="22.5" customHeight="1">
      <c r="A462" s="10"/>
      <c r="B462" s="7"/>
      <c r="C462" s="8" t="s">
        <v>3</v>
      </c>
      <c r="D462" s="11"/>
      <c r="E462" s="8" t="s">
        <v>3</v>
      </c>
    </row>
    <row r="463" ht="22.5" customHeight="1">
      <c r="A463" s="10"/>
      <c r="B463" s="7"/>
      <c r="C463" s="8" t="s">
        <v>3</v>
      </c>
      <c r="D463" s="11"/>
      <c r="E463" s="8" t="s">
        <v>3</v>
      </c>
    </row>
    <row r="464" ht="22.5" customHeight="1">
      <c r="A464" s="10"/>
      <c r="B464" s="7"/>
      <c r="C464" s="8" t="s">
        <v>3</v>
      </c>
      <c r="D464" s="11"/>
      <c r="E464" s="8" t="s">
        <v>3</v>
      </c>
    </row>
    <row r="465" ht="22.5" customHeight="1">
      <c r="A465" s="15"/>
      <c r="B465" s="16"/>
      <c r="C465" s="8" t="s">
        <v>3</v>
      </c>
      <c r="D465" s="17"/>
      <c r="E465" s="8" t="s">
        <v>3</v>
      </c>
    </row>
    <row r="466" ht="22.5" customHeight="1">
      <c r="A466" s="15"/>
      <c r="B466" s="16"/>
      <c r="C466" s="8" t="s">
        <v>3</v>
      </c>
      <c r="D466" s="17"/>
      <c r="E466" s="8" t="s">
        <v>3</v>
      </c>
    </row>
    <row r="467" ht="22.5" customHeight="1">
      <c r="A467" s="15"/>
      <c r="B467" s="16"/>
      <c r="C467" s="8" t="s">
        <v>3</v>
      </c>
      <c r="D467" s="17"/>
      <c r="E467" s="8" t="s">
        <v>3</v>
      </c>
    </row>
    <row r="468" ht="22.5" customHeight="1">
      <c r="A468" s="15"/>
      <c r="B468" s="16"/>
      <c r="C468" s="8" t="s">
        <v>3</v>
      </c>
      <c r="D468" s="17"/>
      <c r="E468" s="8" t="s">
        <v>3</v>
      </c>
    </row>
    <row r="469" ht="22.5" customHeight="1">
      <c r="A469" s="15"/>
      <c r="B469" s="16"/>
      <c r="C469" s="8" t="s">
        <v>3</v>
      </c>
      <c r="D469" s="17"/>
      <c r="E469" s="8" t="s">
        <v>3</v>
      </c>
    </row>
    <row r="470" ht="22.5" customHeight="1">
      <c r="A470" s="15"/>
      <c r="B470" s="16"/>
      <c r="C470" s="8" t="s">
        <v>3</v>
      </c>
      <c r="D470" s="17"/>
      <c r="E470" s="8" t="s">
        <v>3</v>
      </c>
    </row>
    <row r="471" ht="22.5" customHeight="1">
      <c r="A471" s="15"/>
      <c r="B471" s="16"/>
      <c r="C471" s="8" t="s">
        <v>3</v>
      </c>
      <c r="D471" s="17"/>
      <c r="E471" s="8" t="s">
        <v>3</v>
      </c>
    </row>
    <row r="472" ht="22.5" customHeight="1">
      <c r="A472" s="15"/>
      <c r="B472" s="16"/>
      <c r="C472" s="8" t="s">
        <v>3</v>
      </c>
      <c r="D472" s="17"/>
      <c r="E472" s="8" t="s">
        <v>3</v>
      </c>
    </row>
    <row r="473" ht="22.5" customHeight="1">
      <c r="A473" s="15"/>
      <c r="B473" s="16"/>
      <c r="C473" s="8" t="s">
        <v>3</v>
      </c>
      <c r="D473" s="17"/>
      <c r="E473" s="8" t="s">
        <v>3</v>
      </c>
    </row>
    <row r="474" ht="22.5" customHeight="1">
      <c r="A474" s="15"/>
      <c r="B474" s="16"/>
      <c r="C474" s="8" t="s">
        <v>3</v>
      </c>
      <c r="D474" s="17"/>
      <c r="E474" s="8" t="s">
        <v>3</v>
      </c>
    </row>
    <row r="475" ht="22.5" customHeight="1">
      <c r="A475" s="15"/>
      <c r="B475" s="16"/>
      <c r="C475" s="8" t="s">
        <v>3</v>
      </c>
      <c r="D475" s="17"/>
      <c r="E475" s="8" t="s">
        <v>3</v>
      </c>
    </row>
    <row r="476" ht="22.5" customHeight="1">
      <c r="A476" s="15"/>
      <c r="B476" s="16"/>
      <c r="C476" s="8" t="s">
        <v>3</v>
      </c>
      <c r="D476" s="17"/>
      <c r="E476" s="8" t="s">
        <v>3</v>
      </c>
    </row>
    <row r="477" ht="22.5" customHeight="1">
      <c r="A477" s="15"/>
      <c r="B477" s="16"/>
      <c r="C477" s="8" t="s">
        <v>3</v>
      </c>
      <c r="D477" s="17"/>
      <c r="E477" s="8" t="s">
        <v>3</v>
      </c>
    </row>
    <row r="478" ht="22.5" customHeight="1">
      <c r="A478" s="15"/>
      <c r="B478" s="16"/>
      <c r="C478" s="8" t="s">
        <v>3</v>
      </c>
      <c r="D478" s="17"/>
      <c r="E478" s="8" t="s">
        <v>3</v>
      </c>
    </row>
    <row r="479" ht="22.5" customHeight="1">
      <c r="A479" s="15"/>
      <c r="B479" s="16"/>
      <c r="C479" s="8" t="s">
        <v>3</v>
      </c>
      <c r="D479" s="17"/>
      <c r="E479" s="8" t="s">
        <v>3</v>
      </c>
    </row>
    <row r="480" ht="22.5" customHeight="1">
      <c r="A480" s="15"/>
      <c r="B480" s="16"/>
      <c r="C480" s="8" t="s">
        <v>3</v>
      </c>
      <c r="D480" s="17"/>
      <c r="E480" s="8" t="s">
        <v>3</v>
      </c>
    </row>
    <row r="481" ht="22.5" customHeight="1">
      <c r="A481" s="15"/>
      <c r="B481" s="16"/>
      <c r="C481" s="8" t="s">
        <v>3</v>
      </c>
      <c r="D481" s="17"/>
      <c r="E481" s="8" t="s">
        <v>3</v>
      </c>
    </row>
    <row r="482" ht="22.5" customHeight="1">
      <c r="A482" s="15"/>
      <c r="B482" s="16"/>
      <c r="C482" s="8" t="s">
        <v>3</v>
      </c>
      <c r="D482" s="17"/>
      <c r="E482" s="8" t="s">
        <v>3</v>
      </c>
    </row>
    <row r="483" ht="22.5" customHeight="1">
      <c r="A483" s="15"/>
      <c r="B483" s="16"/>
      <c r="C483" s="8" t="s">
        <v>3</v>
      </c>
      <c r="D483" s="17"/>
      <c r="E483" s="8" t="s">
        <v>3</v>
      </c>
    </row>
    <row r="484" ht="22.5" customHeight="1">
      <c r="A484" s="15"/>
      <c r="B484" s="16"/>
      <c r="C484" s="8" t="s">
        <v>3</v>
      </c>
      <c r="D484" s="17"/>
      <c r="E484" s="8" t="s">
        <v>3</v>
      </c>
    </row>
    <row r="485" ht="22.5" customHeight="1">
      <c r="A485" s="15"/>
      <c r="B485" s="16"/>
      <c r="C485" s="8" t="s">
        <v>3</v>
      </c>
      <c r="D485" s="17"/>
      <c r="E485" s="8" t="s">
        <v>3</v>
      </c>
    </row>
    <row r="486" ht="22.5" customHeight="1">
      <c r="A486" s="15"/>
      <c r="B486" s="16"/>
      <c r="C486" s="8" t="s">
        <v>3</v>
      </c>
      <c r="D486" s="17"/>
      <c r="E486" s="8" t="s">
        <v>3</v>
      </c>
    </row>
    <row r="487" ht="22.5" customHeight="1">
      <c r="A487" s="15"/>
      <c r="B487" s="16"/>
      <c r="C487" s="8" t="s">
        <v>3</v>
      </c>
      <c r="D487" s="17"/>
      <c r="E487" s="8" t="s">
        <v>3</v>
      </c>
    </row>
    <row r="488" ht="22.5" customHeight="1">
      <c r="A488" s="15"/>
      <c r="B488" s="16"/>
      <c r="C488" s="8" t="s">
        <v>3</v>
      </c>
      <c r="D488" s="17"/>
      <c r="E488" s="8" t="s">
        <v>3</v>
      </c>
    </row>
    <row r="489" ht="22.5" customHeight="1">
      <c r="A489" s="15"/>
      <c r="B489" s="16"/>
      <c r="C489" s="8" t="s">
        <v>3</v>
      </c>
      <c r="D489" s="17"/>
      <c r="E489" s="8" t="s">
        <v>3</v>
      </c>
    </row>
    <row r="490" ht="22.5" customHeight="1">
      <c r="A490" s="15"/>
      <c r="B490" s="16"/>
      <c r="C490" s="8" t="s">
        <v>3</v>
      </c>
      <c r="D490" s="17"/>
      <c r="E490" s="8" t="s">
        <v>3</v>
      </c>
    </row>
    <row r="491" ht="22.5" customHeight="1">
      <c r="A491" s="15"/>
      <c r="B491" s="16"/>
      <c r="C491" s="8" t="s">
        <v>3</v>
      </c>
      <c r="D491" s="17"/>
      <c r="E491" s="8" t="s">
        <v>3</v>
      </c>
    </row>
    <row r="492" ht="22.5" customHeight="1">
      <c r="A492" s="15"/>
      <c r="B492" s="16"/>
      <c r="C492" s="8" t="s">
        <v>3</v>
      </c>
      <c r="D492" s="17"/>
      <c r="E492" s="8" t="s">
        <v>3</v>
      </c>
    </row>
    <row r="493" ht="22.5" customHeight="1">
      <c r="A493" s="15"/>
      <c r="B493" s="16"/>
      <c r="C493" s="8" t="s">
        <v>3</v>
      </c>
      <c r="D493" s="17"/>
      <c r="E493" s="8" t="s">
        <v>3</v>
      </c>
    </row>
    <row r="494" ht="22.5" customHeight="1">
      <c r="A494" s="15"/>
      <c r="B494" s="16"/>
      <c r="C494" s="8" t="s">
        <v>3</v>
      </c>
      <c r="D494" s="17"/>
      <c r="E494" s="8" t="s">
        <v>3</v>
      </c>
    </row>
    <row r="495" ht="22.5" customHeight="1">
      <c r="A495" s="15"/>
      <c r="B495" s="16"/>
      <c r="C495" s="8" t="s">
        <v>3</v>
      </c>
      <c r="D495" s="17"/>
      <c r="E495" s="8" t="s">
        <v>3</v>
      </c>
    </row>
    <row r="496" ht="22.5" customHeight="1">
      <c r="A496" s="15"/>
      <c r="B496" s="16"/>
      <c r="C496" s="8" t="s">
        <v>3</v>
      </c>
      <c r="D496" s="17"/>
      <c r="E496" s="8" t="s">
        <v>3</v>
      </c>
    </row>
    <row r="497" ht="22.5" customHeight="1">
      <c r="A497" s="15"/>
      <c r="B497" s="16"/>
      <c r="C497" s="8" t="s">
        <v>3</v>
      </c>
      <c r="D497" s="17"/>
      <c r="E497" s="8" t="s">
        <v>3</v>
      </c>
    </row>
    <row r="498" ht="22.5" customHeight="1">
      <c r="A498" s="15"/>
      <c r="B498" s="16"/>
      <c r="C498" s="8" t="s">
        <v>3</v>
      </c>
      <c r="D498" s="17"/>
      <c r="E498" s="8" t="s">
        <v>3</v>
      </c>
    </row>
    <row r="499" ht="22.5" customHeight="1">
      <c r="A499" s="15"/>
      <c r="B499" s="16"/>
      <c r="C499" s="8" t="s">
        <v>3</v>
      </c>
      <c r="D499" s="17"/>
      <c r="E499" s="8" t="s">
        <v>3</v>
      </c>
    </row>
    <row r="500" ht="22.5" customHeight="1">
      <c r="A500" s="15"/>
      <c r="B500" s="16"/>
      <c r="C500" s="8" t="s">
        <v>3</v>
      </c>
      <c r="D500" s="17"/>
      <c r="E500" s="8" t="s">
        <v>3</v>
      </c>
    </row>
    <row r="501" ht="22.5" customHeight="1">
      <c r="A501" s="15"/>
      <c r="B501" s="7"/>
      <c r="C501" s="8" t="s">
        <v>3</v>
      </c>
      <c r="D501" s="17"/>
      <c r="E501" s="8" t="s">
        <v>3</v>
      </c>
    </row>
    <row r="502" ht="22.5" customHeight="1">
      <c r="A502" s="15"/>
      <c r="B502" s="16"/>
      <c r="C502" s="8" t="s">
        <v>3</v>
      </c>
      <c r="D502" s="17"/>
      <c r="E502" s="8" t="s">
        <v>3</v>
      </c>
    </row>
    <row r="503" ht="22.5" customHeight="1">
      <c r="A503" s="15"/>
      <c r="B503" s="16"/>
      <c r="C503" s="8" t="s">
        <v>3</v>
      </c>
      <c r="D503" s="17"/>
      <c r="E503" s="8" t="s">
        <v>3</v>
      </c>
    </row>
    <row r="504" ht="22.5" customHeight="1">
      <c r="A504" s="15"/>
      <c r="B504" s="16"/>
      <c r="C504" s="8" t="s">
        <v>3</v>
      </c>
      <c r="D504" s="17"/>
      <c r="E504" s="8" t="s">
        <v>3</v>
      </c>
    </row>
    <row r="505" ht="22.5" customHeight="1">
      <c r="A505" s="15"/>
      <c r="B505" s="16"/>
      <c r="C505" s="8" t="s">
        <v>3</v>
      </c>
      <c r="D505" s="17"/>
      <c r="E505" s="8" t="s">
        <v>3</v>
      </c>
    </row>
    <row r="506" ht="22.5" customHeight="1">
      <c r="A506" s="15"/>
      <c r="B506" s="16"/>
      <c r="C506" s="8" t="s">
        <v>3</v>
      </c>
      <c r="D506" s="17"/>
      <c r="E506" s="8" t="s">
        <v>3</v>
      </c>
    </row>
    <row r="507" ht="22.5" customHeight="1">
      <c r="A507" s="15"/>
      <c r="B507" s="16"/>
      <c r="C507" s="8" t="s">
        <v>3</v>
      </c>
      <c r="D507" s="17"/>
      <c r="E507" s="8" t="s">
        <v>3</v>
      </c>
    </row>
    <row r="508" ht="22.5" customHeight="1">
      <c r="A508" s="15"/>
      <c r="B508" s="16"/>
      <c r="C508" s="8" t="s">
        <v>3</v>
      </c>
      <c r="D508" s="17"/>
      <c r="E508" s="8" t="s">
        <v>3</v>
      </c>
    </row>
    <row r="509" ht="22.5" customHeight="1">
      <c r="A509" s="15"/>
      <c r="B509" s="16"/>
      <c r="C509" s="8" t="s">
        <v>3</v>
      </c>
      <c r="D509" s="17"/>
      <c r="E509" s="8" t="s">
        <v>3</v>
      </c>
    </row>
    <row r="510" ht="22.5" customHeight="1">
      <c r="A510" s="15"/>
      <c r="B510" s="16"/>
      <c r="C510" s="8" t="s">
        <v>3</v>
      </c>
      <c r="D510" s="17"/>
      <c r="E510" s="8" t="s">
        <v>3</v>
      </c>
    </row>
    <row r="511" ht="22.5" customHeight="1">
      <c r="A511" s="15"/>
      <c r="B511" s="16"/>
      <c r="C511" s="8" t="s">
        <v>3</v>
      </c>
      <c r="D511" s="17"/>
      <c r="E511" s="8" t="s">
        <v>3</v>
      </c>
    </row>
    <row r="512" ht="22.5" customHeight="1">
      <c r="A512" s="15"/>
      <c r="B512" s="16"/>
      <c r="C512" s="8" t="s">
        <v>3</v>
      </c>
      <c r="D512" s="17"/>
      <c r="E512" s="8" t="s">
        <v>3</v>
      </c>
    </row>
    <row r="513" ht="22.5" customHeight="1">
      <c r="A513" s="15"/>
      <c r="B513" s="16"/>
      <c r="C513" s="8" t="s">
        <v>3</v>
      </c>
      <c r="D513" s="17"/>
      <c r="E513" s="8" t="s">
        <v>3</v>
      </c>
    </row>
    <row r="514" ht="22.5" customHeight="1">
      <c r="A514" s="15"/>
      <c r="B514" s="16"/>
      <c r="C514" s="8" t="s">
        <v>3</v>
      </c>
      <c r="D514" s="17"/>
      <c r="E514" s="8" t="s">
        <v>3</v>
      </c>
    </row>
    <row r="515" ht="22.5" customHeight="1">
      <c r="A515" s="15"/>
      <c r="B515" s="16"/>
      <c r="C515" s="8" t="s">
        <v>3</v>
      </c>
      <c r="D515" s="17"/>
      <c r="E515" s="8" t="s">
        <v>3</v>
      </c>
    </row>
    <row r="516" ht="22.5" customHeight="1">
      <c r="A516" s="15"/>
      <c r="B516" s="16"/>
      <c r="C516" s="8" t="s">
        <v>3</v>
      </c>
      <c r="D516" s="17"/>
      <c r="E516" s="8" t="s">
        <v>3</v>
      </c>
    </row>
    <row r="517" ht="22.5" customHeight="1">
      <c r="A517" s="15"/>
      <c r="B517" s="16"/>
      <c r="C517" s="8" t="s">
        <v>3</v>
      </c>
      <c r="D517" s="17"/>
      <c r="E517" s="8" t="s">
        <v>3</v>
      </c>
    </row>
    <row r="518" ht="22.5" customHeight="1">
      <c r="A518" s="15"/>
      <c r="B518" s="16"/>
      <c r="C518" s="8" t="s">
        <v>3</v>
      </c>
      <c r="D518" s="17"/>
      <c r="E518" s="8" t="s">
        <v>3</v>
      </c>
    </row>
    <row r="519" ht="22.5" customHeight="1">
      <c r="A519" s="15"/>
      <c r="B519" s="16"/>
      <c r="C519" s="8" t="s">
        <v>3</v>
      </c>
      <c r="D519" s="17"/>
      <c r="E519" s="8" t="s">
        <v>3</v>
      </c>
    </row>
    <row r="520" ht="22.5" customHeight="1">
      <c r="A520" s="15"/>
      <c r="B520" s="16"/>
      <c r="C520" s="8" t="s">
        <v>3</v>
      </c>
      <c r="D520" s="17"/>
      <c r="E520" s="8" t="s">
        <v>3</v>
      </c>
    </row>
    <row r="521" ht="22.5" customHeight="1">
      <c r="A521" s="15"/>
      <c r="B521" s="16"/>
      <c r="C521" s="8" t="s">
        <v>3</v>
      </c>
      <c r="D521" s="17"/>
      <c r="E521" s="8" t="s">
        <v>3</v>
      </c>
    </row>
    <row r="522" ht="22.5" customHeight="1">
      <c r="A522" s="15"/>
      <c r="B522" s="16"/>
      <c r="C522" s="8" t="s">
        <v>3</v>
      </c>
      <c r="D522" s="17"/>
      <c r="E522" s="8" t="s">
        <v>3</v>
      </c>
    </row>
    <row r="523" ht="22.5" customHeight="1">
      <c r="A523" s="15"/>
      <c r="B523" s="16"/>
      <c r="C523" s="8" t="s">
        <v>3</v>
      </c>
      <c r="D523" s="17"/>
      <c r="E523" s="8" t="s">
        <v>3</v>
      </c>
    </row>
    <row r="524" ht="22.5" customHeight="1">
      <c r="A524" s="15"/>
      <c r="B524" s="16"/>
      <c r="C524" s="8" t="s">
        <v>3</v>
      </c>
      <c r="D524" s="17"/>
      <c r="E524" s="8" t="s">
        <v>3</v>
      </c>
    </row>
    <row r="525" ht="22.5" customHeight="1">
      <c r="A525" s="15"/>
      <c r="B525" s="16"/>
      <c r="C525" s="8" t="s">
        <v>3</v>
      </c>
      <c r="D525" s="17"/>
      <c r="E525" s="8" t="s">
        <v>3</v>
      </c>
    </row>
    <row r="526" ht="22.5" customHeight="1">
      <c r="A526" s="15"/>
      <c r="B526" s="16"/>
      <c r="C526" s="8" t="s">
        <v>3</v>
      </c>
      <c r="D526" s="17"/>
      <c r="E526" s="8" t="s">
        <v>3</v>
      </c>
    </row>
    <row r="527" ht="22.5" customHeight="1">
      <c r="A527" s="15"/>
      <c r="B527" s="16"/>
      <c r="C527" s="8" t="s">
        <v>3</v>
      </c>
      <c r="D527" s="17"/>
      <c r="E527" s="8" t="s">
        <v>3</v>
      </c>
    </row>
    <row r="528" ht="22.5" customHeight="1">
      <c r="A528" s="15"/>
      <c r="B528" s="16"/>
      <c r="C528" s="8" t="s">
        <v>3</v>
      </c>
      <c r="D528" s="17"/>
      <c r="E528" s="8" t="s">
        <v>3</v>
      </c>
    </row>
    <row r="529" ht="22.5" customHeight="1">
      <c r="A529" s="15"/>
      <c r="B529" s="16"/>
      <c r="C529" s="8" t="s">
        <v>3</v>
      </c>
      <c r="D529" s="17"/>
      <c r="E529" s="8" t="s">
        <v>3</v>
      </c>
    </row>
    <row r="530" ht="22.5" customHeight="1">
      <c r="A530" s="15"/>
      <c r="B530" s="16"/>
      <c r="C530" s="8" t="s">
        <v>3</v>
      </c>
      <c r="D530" s="17"/>
      <c r="E530" s="8" t="s">
        <v>3</v>
      </c>
    </row>
    <row r="531" ht="22.5" customHeight="1">
      <c r="A531" s="15"/>
      <c r="B531" s="16"/>
      <c r="C531" s="8" t="s">
        <v>3</v>
      </c>
      <c r="D531" s="17"/>
      <c r="E531" s="8" t="s">
        <v>3</v>
      </c>
    </row>
    <row r="532" ht="22.5" customHeight="1">
      <c r="A532" s="15"/>
      <c r="B532" s="16"/>
      <c r="C532" s="8" t="s">
        <v>3</v>
      </c>
      <c r="D532" s="17"/>
      <c r="E532" s="8" t="s">
        <v>3</v>
      </c>
    </row>
    <row r="533" ht="22.5" customHeight="1">
      <c r="A533" s="15"/>
      <c r="B533" s="16"/>
      <c r="C533" s="8" t="s">
        <v>3</v>
      </c>
      <c r="D533" s="17"/>
      <c r="E533" s="8" t="s">
        <v>3</v>
      </c>
    </row>
    <row r="534" ht="22.5" customHeight="1">
      <c r="A534" s="15"/>
      <c r="B534" s="16"/>
      <c r="C534" s="8" t="s">
        <v>3</v>
      </c>
      <c r="D534" s="17"/>
      <c r="E534" s="8" t="s">
        <v>3</v>
      </c>
    </row>
    <row r="535" ht="22.5" customHeight="1">
      <c r="A535" s="15"/>
      <c r="B535" s="16"/>
      <c r="C535" s="8" t="s">
        <v>3</v>
      </c>
      <c r="D535" s="17"/>
      <c r="E535" s="8" t="s">
        <v>3</v>
      </c>
    </row>
    <row r="536" ht="22.5" customHeight="1">
      <c r="A536" s="15"/>
      <c r="B536" s="16"/>
      <c r="C536" s="8" t="s">
        <v>3</v>
      </c>
      <c r="D536" s="17"/>
      <c r="E536" s="8" t="s">
        <v>3</v>
      </c>
    </row>
    <row r="537" ht="22.5" customHeight="1">
      <c r="A537" s="15"/>
      <c r="B537" s="16"/>
      <c r="C537" s="8" t="s">
        <v>3</v>
      </c>
      <c r="D537" s="17"/>
      <c r="E537" s="8" t="s">
        <v>3</v>
      </c>
    </row>
    <row r="538" ht="22.5" customHeight="1">
      <c r="A538" s="15"/>
      <c r="B538" s="16"/>
      <c r="C538" s="8" t="s">
        <v>3</v>
      </c>
      <c r="D538" s="17"/>
      <c r="E538" s="8" t="s">
        <v>3</v>
      </c>
    </row>
    <row r="539" ht="22.5" customHeight="1">
      <c r="A539" s="15"/>
      <c r="B539" s="16"/>
      <c r="C539" s="8" t="s">
        <v>3</v>
      </c>
      <c r="D539" s="17"/>
      <c r="E539" s="8" t="s">
        <v>3</v>
      </c>
    </row>
    <row r="540" ht="22.5" customHeight="1">
      <c r="A540" s="15"/>
      <c r="B540" s="16"/>
      <c r="C540" s="8" t="s">
        <v>3</v>
      </c>
      <c r="D540" s="17"/>
      <c r="E540" s="8" t="s">
        <v>3</v>
      </c>
    </row>
    <row r="541" ht="22.5" customHeight="1">
      <c r="A541" s="15"/>
      <c r="B541" s="16"/>
      <c r="C541" s="8" t="s">
        <v>3</v>
      </c>
      <c r="D541" s="17"/>
      <c r="E541" s="8" t="s">
        <v>3</v>
      </c>
    </row>
    <row r="542" ht="22.5" customHeight="1">
      <c r="A542" s="15"/>
      <c r="B542" s="16"/>
      <c r="C542" s="8" t="s">
        <v>3</v>
      </c>
      <c r="D542" s="17"/>
      <c r="E542" s="8" t="s">
        <v>3</v>
      </c>
    </row>
    <row r="543" ht="22.5" customHeight="1">
      <c r="A543" s="15"/>
      <c r="B543" s="16"/>
      <c r="C543" s="8" t="s">
        <v>3</v>
      </c>
      <c r="D543" s="17"/>
      <c r="E543" s="8" t="s">
        <v>3</v>
      </c>
    </row>
    <row r="544" ht="22.5" customHeight="1">
      <c r="A544" s="15"/>
      <c r="B544" s="16"/>
      <c r="C544" s="8" t="s">
        <v>3</v>
      </c>
      <c r="D544" s="17"/>
      <c r="E544" s="8" t="s">
        <v>3</v>
      </c>
    </row>
    <row r="545" ht="22.5" customHeight="1">
      <c r="A545" s="15"/>
      <c r="B545" s="16"/>
      <c r="C545" s="8" t="s">
        <v>3</v>
      </c>
      <c r="D545" s="17"/>
      <c r="E545" s="8" t="s">
        <v>3</v>
      </c>
    </row>
    <row r="546" ht="22.5" customHeight="1">
      <c r="A546" s="15"/>
      <c r="B546" s="16"/>
      <c r="C546" s="8" t="s">
        <v>3</v>
      </c>
      <c r="D546" s="17"/>
      <c r="E546" s="8" t="s">
        <v>3</v>
      </c>
    </row>
    <row r="547" ht="22.5" customHeight="1">
      <c r="A547" s="15"/>
      <c r="B547" s="16"/>
      <c r="C547" s="8" t="s">
        <v>3</v>
      </c>
      <c r="D547" s="17"/>
      <c r="E547" s="8" t="s">
        <v>3</v>
      </c>
    </row>
    <row r="548" ht="22.5" customHeight="1">
      <c r="A548" s="15"/>
      <c r="B548" s="16"/>
      <c r="C548" s="8" t="s">
        <v>3</v>
      </c>
      <c r="D548" s="17"/>
      <c r="E548" s="8" t="s">
        <v>3</v>
      </c>
    </row>
    <row r="549" ht="22.5" customHeight="1">
      <c r="A549" s="15"/>
      <c r="B549" s="16"/>
      <c r="C549" s="8" t="s">
        <v>3</v>
      </c>
      <c r="D549" s="17"/>
      <c r="E549" s="8" t="s">
        <v>3</v>
      </c>
    </row>
    <row r="550" ht="22.5" customHeight="1">
      <c r="A550" s="15"/>
      <c r="B550" s="16"/>
      <c r="C550" s="8" t="s">
        <v>3</v>
      </c>
      <c r="D550" s="17"/>
      <c r="E550" s="8" t="s">
        <v>3</v>
      </c>
    </row>
    <row r="551" ht="22.5" customHeight="1">
      <c r="A551" s="15"/>
      <c r="B551" s="16"/>
      <c r="C551" s="8" t="s">
        <v>3</v>
      </c>
      <c r="D551" s="17"/>
      <c r="E551" s="8" t="s">
        <v>3</v>
      </c>
    </row>
    <row r="552" ht="22.5" customHeight="1">
      <c r="A552" s="15"/>
      <c r="B552" s="16"/>
      <c r="C552" s="8" t="s">
        <v>3</v>
      </c>
      <c r="D552" s="17"/>
      <c r="E552" s="8" t="s">
        <v>3</v>
      </c>
    </row>
    <row r="553" ht="22.5" customHeight="1">
      <c r="A553" s="15"/>
      <c r="B553" s="16"/>
      <c r="C553" s="8" t="s">
        <v>3</v>
      </c>
      <c r="D553" s="17"/>
      <c r="E553" s="8" t="s">
        <v>3</v>
      </c>
    </row>
    <row r="554" ht="22.5" customHeight="1">
      <c r="A554" s="15"/>
      <c r="B554" s="16"/>
      <c r="C554" s="8" t="s">
        <v>3</v>
      </c>
      <c r="D554" s="17"/>
      <c r="E554" s="8" t="s">
        <v>3</v>
      </c>
    </row>
    <row r="555" ht="22.5" customHeight="1">
      <c r="A555" s="15"/>
      <c r="B555" s="16"/>
      <c r="C555" s="8" t="s">
        <v>3</v>
      </c>
      <c r="D555" s="17"/>
      <c r="E555" s="8" t="s">
        <v>3</v>
      </c>
    </row>
    <row r="556" ht="22.5" customHeight="1">
      <c r="A556" s="15"/>
      <c r="B556" s="16"/>
      <c r="C556" s="8" t="s">
        <v>3</v>
      </c>
      <c r="D556" s="17"/>
      <c r="E556" s="8" t="s">
        <v>3</v>
      </c>
    </row>
    <row r="557" ht="22.5" customHeight="1">
      <c r="A557" s="15"/>
      <c r="B557" s="16"/>
      <c r="C557" s="8" t="s">
        <v>3</v>
      </c>
      <c r="D557" s="17"/>
      <c r="E557" s="8" t="s">
        <v>3</v>
      </c>
    </row>
    <row r="558" ht="22.5" customHeight="1">
      <c r="A558" s="15"/>
      <c r="B558" s="16"/>
      <c r="C558" s="8" t="s">
        <v>3</v>
      </c>
      <c r="D558" s="17"/>
      <c r="E558" s="8" t="s">
        <v>3</v>
      </c>
    </row>
    <row r="559" ht="22.5" customHeight="1">
      <c r="A559" s="15"/>
      <c r="B559" s="16"/>
      <c r="C559" s="8" t="s">
        <v>3</v>
      </c>
      <c r="D559" s="17"/>
      <c r="E559" s="8" t="s">
        <v>3</v>
      </c>
    </row>
    <row r="560" ht="22.5" customHeight="1">
      <c r="A560" s="15"/>
      <c r="B560" s="16"/>
      <c r="C560" s="8" t="s">
        <v>3</v>
      </c>
      <c r="D560" s="17"/>
      <c r="E560" s="8" t="s">
        <v>3</v>
      </c>
    </row>
    <row r="561" ht="22.5" customHeight="1">
      <c r="A561" s="15"/>
      <c r="B561" s="16"/>
      <c r="C561" s="8" t="s">
        <v>3</v>
      </c>
      <c r="D561" s="17"/>
      <c r="E561" s="8" t="s">
        <v>3</v>
      </c>
    </row>
    <row r="562" ht="22.5" customHeight="1">
      <c r="A562" s="15"/>
      <c r="B562" s="16"/>
      <c r="C562" s="8" t="s">
        <v>3</v>
      </c>
      <c r="D562" s="17"/>
      <c r="E562" s="8" t="s">
        <v>3</v>
      </c>
    </row>
    <row r="563" ht="22.5" customHeight="1">
      <c r="A563" s="15"/>
      <c r="B563" s="16"/>
      <c r="C563" s="8" t="s">
        <v>3</v>
      </c>
      <c r="D563" s="17"/>
      <c r="E563" s="8" t="s">
        <v>3</v>
      </c>
    </row>
    <row r="564" ht="22.5" customHeight="1">
      <c r="A564" s="15"/>
      <c r="B564" s="16"/>
      <c r="C564" s="8" t="s">
        <v>3</v>
      </c>
      <c r="D564" s="17"/>
      <c r="E564" s="8" t="s">
        <v>3</v>
      </c>
    </row>
    <row r="565" ht="22.5" customHeight="1">
      <c r="A565" s="15"/>
      <c r="B565" s="16"/>
      <c r="C565" s="8" t="s">
        <v>3</v>
      </c>
      <c r="D565" s="17"/>
      <c r="E565" s="8" t="s">
        <v>3</v>
      </c>
    </row>
    <row r="566" ht="22.5" customHeight="1">
      <c r="A566" s="15"/>
      <c r="B566" s="16"/>
      <c r="C566" s="8" t="s">
        <v>3</v>
      </c>
      <c r="D566" s="17"/>
      <c r="E566" s="8" t="s">
        <v>3</v>
      </c>
    </row>
    <row r="567" ht="22.5" customHeight="1">
      <c r="A567" s="15"/>
      <c r="B567" s="16"/>
      <c r="C567" s="8" t="s">
        <v>3</v>
      </c>
      <c r="D567" s="17"/>
      <c r="E567" s="8" t="s">
        <v>3</v>
      </c>
    </row>
    <row r="568" ht="22.5" customHeight="1">
      <c r="A568" s="15"/>
      <c r="B568" s="16"/>
      <c r="C568" s="8" t="s">
        <v>3</v>
      </c>
      <c r="D568" s="17"/>
      <c r="E568" s="8" t="s">
        <v>3</v>
      </c>
    </row>
    <row r="569" ht="22.5" customHeight="1">
      <c r="A569" s="15"/>
      <c r="B569" s="16"/>
      <c r="C569" s="8" t="s">
        <v>3</v>
      </c>
      <c r="D569" s="17"/>
      <c r="E569" s="8" t="s">
        <v>3</v>
      </c>
    </row>
    <row r="570" ht="22.5" customHeight="1">
      <c r="A570" s="15"/>
      <c r="B570" s="16"/>
      <c r="C570" s="8" t="s">
        <v>3</v>
      </c>
      <c r="D570" s="17"/>
      <c r="E570" s="8" t="s">
        <v>3</v>
      </c>
    </row>
    <row r="571" ht="22.5" customHeight="1">
      <c r="A571" s="15"/>
      <c r="B571" s="16"/>
      <c r="C571" s="8" t="s">
        <v>3</v>
      </c>
      <c r="D571" s="17"/>
      <c r="E571" s="8" t="s">
        <v>3</v>
      </c>
    </row>
    <row r="572" ht="22.5" customHeight="1">
      <c r="A572" s="15"/>
      <c r="B572" s="16"/>
      <c r="C572" s="8" t="s">
        <v>3</v>
      </c>
      <c r="D572" s="17"/>
      <c r="E572" s="8" t="s">
        <v>3</v>
      </c>
    </row>
    <row r="573" ht="22.5" customHeight="1">
      <c r="A573" s="15"/>
      <c r="B573" s="16"/>
      <c r="C573" s="8" t="s">
        <v>3</v>
      </c>
      <c r="D573" s="17"/>
      <c r="E573" s="8" t="s">
        <v>3</v>
      </c>
    </row>
    <row r="574" ht="22.5" customHeight="1">
      <c r="A574" s="15"/>
      <c r="B574" s="16"/>
      <c r="C574" s="8" t="s">
        <v>3</v>
      </c>
      <c r="D574" s="17"/>
      <c r="E574" s="8" t="s">
        <v>3</v>
      </c>
    </row>
    <row r="575" ht="22.5" customHeight="1">
      <c r="A575" s="15"/>
      <c r="B575" s="16"/>
      <c r="C575" s="8" t="s">
        <v>3</v>
      </c>
      <c r="D575" s="17"/>
      <c r="E575" s="8" t="s">
        <v>3</v>
      </c>
    </row>
    <row r="576" ht="22.5" customHeight="1">
      <c r="A576" s="15"/>
      <c r="B576" s="16"/>
      <c r="C576" s="8" t="s">
        <v>3</v>
      </c>
      <c r="D576" s="17"/>
      <c r="E576" s="8" t="s">
        <v>3</v>
      </c>
    </row>
    <row r="577" ht="22.5" customHeight="1">
      <c r="A577" s="15"/>
      <c r="B577" s="16"/>
      <c r="C577" s="8" t="s">
        <v>3</v>
      </c>
      <c r="D577" s="17"/>
      <c r="E577" s="8" t="s">
        <v>3</v>
      </c>
    </row>
    <row r="578" ht="22.5" customHeight="1">
      <c r="A578" s="15"/>
      <c r="B578" s="16"/>
      <c r="C578" s="8" t="s">
        <v>3</v>
      </c>
      <c r="D578" s="17"/>
      <c r="E578" s="8" t="s">
        <v>3</v>
      </c>
    </row>
    <row r="579" ht="22.5" customHeight="1">
      <c r="A579" s="15"/>
      <c r="B579" s="16"/>
      <c r="C579" s="8" t="s">
        <v>3</v>
      </c>
      <c r="D579" s="17"/>
      <c r="E579" s="8" t="s">
        <v>3</v>
      </c>
    </row>
    <row r="580" ht="22.5" customHeight="1">
      <c r="A580" s="15"/>
      <c r="B580" s="16"/>
      <c r="C580" s="8" t="s">
        <v>3</v>
      </c>
      <c r="D580" s="17"/>
      <c r="E580" s="8" t="s">
        <v>3</v>
      </c>
    </row>
    <row r="581" ht="22.5" customHeight="1">
      <c r="A581" s="15"/>
      <c r="B581" s="16"/>
      <c r="C581" s="8" t="s">
        <v>3</v>
      </c>
      <c r="D581" s="17"/>
      <c r="E581" s="8" t="s">
        <v>3</v>
      </c>
    </row>
    <row r="582" ht="22.5" customHeight="1">
      <c r="A582" s="15"/>
      <c r="B582" s="16"/>
      <c r="C582" s="8" t="s">
        <v>3</v>
      </c>
      <c r="D582" s="17"/>
      <c r="E582" s="8" t="s">
        <v>3</v>
      </c>
    </row>
    <row r="583" ht="22.5" customHeight="1">
      <c r="A583" s="15"/>
      <c r="B583" s="16"/>
      <c r="C583" s="8" t="s">
        <v>3</v>
      </c>
      <c r="D583" s="17"/>
      <c r="E583" s="8" t="s">
        <v>3</v>
      </c>
    </row>
    <row r="584" ht="22.5" customHeight="1">
      <c r="A584" s="15"/>
      <c r="B584" s="16"/>
      <c r="C584" s="8" t="s">
        <v>3</v>
      </c>
      <c r="D584" s="17"/>
      <c r="E584" s="8" t="s">
        <v>3</v>
      </c>
    </row>
    <row r="585" ht="22.5" customHeight="1">
      <c r="A585" s="15"/>
      <c r="B585" s="16"/>
      <c r="C585" s="8" t="s">
        <v>3</v>
      </c>
      <c r="D585" s="17"/>
      <c r="E585" s="8" t="s">
        <v>3</v>
      </c>
    </row>
    <row r="586" ht="22.5" customHeight="1">
      <c r="A586" s="15"/>
      <c r="B586" s="16"/>
      <c r="C586" s="8" t="s">
        <v>3</v>
      </c>
      <c r="D586" s="17"/>
      <c r="E586" s="8" t="s">
        <v>3</v>
      </c>
    </row>
    <row r="587" ht="22.5" customHeight="1">
      <c r="A587" s="15"/>
      <c r="B587" s="16"/>
      <c r="C587" s="8" t="s">
        <v>3</v>
      </c>
      <c r="D587" s="17"/>
      <c r="E587" s="8" t="s">
        <v>3</v>
      </c>
    </row>
    <row r="588" ht="22.5" customHeight="1">
      <c r="A588" s="15"/>
      <c r="B588" s="16"/>
      <c r="C588" s="8" t="s">
        <v>3</v>
      </c>
      <c r="D588" s="17"/>
      <c r="E588" s="8" t="s">
        <v>3</v>
      </c>
    </row>
    <row r="589" ht="22.5" customHeight="1">
      <c r="A589" s="15"/>
      <c r="B589" s="16"/>
      <c r="C589" s="8" t="s">
        <v>3</v>
      </c>
      <c r="D589" s="17"/>
      <c r="E589" s="8" t="s">
        <v>3</v>
      </c>
    </row>
    <row r="590" ht="22.5" customHeight="1">
      <c r="A590" s="15"/>
      <c r="B590" s="16"/>
      <c r="C590" s="8" t="s">
        <v>3</v>
      </c>
      <c r="D590" s="17"/>
      <c r="E590" s="8" t="s">
        <v>3</v>
      </c>
    </row>
    <row r="591" ht="22.5" customHeight="1">
      <c r="A591" s="15"/>
      <c r="B591" s="16"/>
      <c r="C591" s="8" t="s">
        <v>3</v>
      </c>
      <c r="D591" s="17"/>
      <c r="E591" s="8" t="s">
        <v>3</v>
      </c>
    </row>
    <row r="592" ht="22.5" customHeight="1">
      <c r="A592" s="15"/>
      <c r="B592" s="16"/>
      <c r="C592" s="8" t="s">
        <v>3</v>
      </c>
      <c r="D592" s="17"/>
      <c r="E592" s="8" t="s">
        <v>3</v>
      </c>
    </row>
    <row r="593" ht="22.5" customHeight="1">
      <c r="A593" s="15"/>
      <c r="B593" s="16"/>
      <c r="C593" s="8" t="s">
        <v>3</v>
      </c>
      <c r="D593" s="17"/>
      <c r="E593" s="8" t="s">
        <v>3</v>
      </c>
    </row>
    <row r="594" ht="22.5" customHeight="1">
      <c r="A594" s="15"/>
      <c r="B594" s="16"/>
      <c r="C594" s="8" t="s">
        <v>3</v>
      </c>
      <c r="D594" s="17"/>
      <c r="E594" s="8" t="s">
        <v>3</v>
      </c>
    </row>
    <row r="595" ht="22.5" customHeight="1">
      <c r="A595" s="15"/>
      <c r="B595" s="16"/>
      <c r="C595" s="8" t="s">
        <v>3</v>
      </c>
      <c r="D595" s="17"/>
      <c r="E595" s="8" t="s">
        <v>3</v>
      </c>
    </row>
    <row r="596" ht="22.5" customHeight="1">
      <c r="A596" s="15"/>
      <c r="B596" s="16"/>
      <c r="C596" s="8" t="s">
        <v>3</v>
      </c>
      <c r="D596" s="17"/>
      <c r="E596" s="8" t="s">
        <v>3</v>
      </c>
    </row>
    <row r="597" ht="22.5" customHeight="1">
      <c r="A597" s="15"/>
      <c r="B597" s="16"/>
      <c r="C597" s="8" t="s">
        <v>3</v>
      </c>
      <c r="D597" s="17"/>
      <c r="E597" s="8" t="s">
        <v>3</v>
      </c>
    </row>
    <row r="598" ht="22.5" customHeight="1">
      <c r="A598" s="15"/>
      <c r="B598" s="16"/>
      <c r="C598" s="8" t="s">
        <v>3</v>
      </c>
      <c r="D598" s="17"/>
      <c r="E598" s="8" t="s">
        <v>3</v>
      </c>
    </row>
    <row r="599" ht="22.5" customHeight="1">
      <c r="A599" s="15"/>
      <c r="B599" s="16"/>
      <c r="C599" s="8" t="s">
        <v>3</v>
      </c>
      <c r="D599" s="17"/>
      <c r="E599" s="8" t="s">
        <v>3</v>
      </c>
    </row>
    <row r="600" ht="22.5" customHeight="1">
      <c r="A600" s="15"/>
      <c r="B600" s="16"/>
      <c r="C600" s="8" t="s">
        <v>3</v>
      </c>
      <c r="D600" s="17"/>
      <c r="E600" s="8" t="s">
        <v>3</v>
      </c>
    </row>
    <row r="601" ht="22.5" customHeight="1">
      <c r="A601" s="15"/>
      <c r="B601" s="16"/>
      <c r="C601" s="8" t="s">
        <v>3</v>
      </c>
      <c r="D601" s="17"/>
      <c r="E601" s="8" t="s">
        <v>3</v>
      </c>
    </row>
    <row r="602" ht="22.5" customHeight="1">
      <c r="A602" s="15"/>
      <c r="B602" s="16"/>
      <c r="C602" s="8" t="s">
        <v>3</v>
      </c>
      <c r="D602" s="17"/>
      <c r="E602" s="8" t="s">
        <v>3</v>
      </c>
    </row>
    <row r="603" ht="22.5" customHeight="1">
      <c r="A603" s="15"/>
      <c r="B603" s="16"/>
      <c r="C603" s="8" t="s">
        <v>3</v>
      </c>
      <c r="D603" s="17"/>
      <c r="E603" s="8" t="s">
        <v>3</v>
      </c>
    </row>
    <row r="604" ht="22.5" customHeight="1">
      <c r="A604" s="15"/>
      <c r="B604" s="16"/>
      <c r="C604" s="8" t="s">
        <v>3</v>
      </c>
      <c r="D604" s="17"/>
      <c r="E604" s="8" t="s">
        <v>3</v>
      </c>
    </row>
    <row r="605" ht="22.5" customHeight="1">
      <c r="A605" s="15"/>
      <c r="B605" s="16"/>
      <c r="C605" s="8" t="s">
        <v>3</v>
      </c>
      <c r="D605" s="17"/>
      <c r="E605" s="8" t="s">
        <v>3</v>
      </c>
    </row>
    <row r="606" ht="22.5" customHeight="1">
      <c r="A606" s="15"/>
      <c r="B606" s="16"/>
      <c r="C606" s="8" t="s">
        <v>3</v>
      </c>
      <c r="D606" s="17"/>
      <c r="E606" s="8" t="s">
        <v>3</v>
      </c>
    </row>
    <row r="607" ht="22.5" customHeight="1">
      <c r="A607" s="15"/>
      <c r="B607" s="16"/>
      <c r="C607" s="8" t="s">
        <v>3</v>
      </c>
      <c r="D607" s="17"/>
      <c r="E607" s="8" t="s">
        <v>3</v>
      </c>
    </row>
    <row r="608" ht="22.5" customHeight="1">
      <c r="A608" s="15"/>
      <c r="B608" s="16"/>
      <c r="C608" s="8" t="s">
        <v>3</v>
      </c>
      <c r="D608" s="17"/>
      <c r="E608" s="8" t="s">
        <v>3</v>
      </c>
    </row>
    <row r="609" ht="22.5" customHeight="1">
      <c r="A609" s="15"/>
      <c r="B609" s="16"/>
      <c r="C609" s="8" t="s">
        <v>3</v>
      </c>
      <c r="D609" s="17"/>
      <c r="E609" s="8" t="s">
        <v>3</v>
      </c>
    </row>
    <row r="610" ht="22.5" customHeight="1">
      <c r="A610" s="15"/>
      <c r="B610" s="16"/>
      <c r="C610" s="8" t="s">
        <v>3</v>
      </c>
      <c r="D610" s="17"/>
      <c r="E610" s="8" t="s">
        <v>3</v>
      </c>
    </row>
    <row r="611" ht="22.5" customHeight="1">
      <c r="A611" s="15"/>
      <c r="B611" s="16"/>
      <c r="C611" s="8" t="s">
        <v>3</v>
      </c>
      <c r="D611" s="17"/>
      <c r="E611" s="8" t="s">
        <v>3</v>
      </c>
    </row>
    <row r="612" ht="22.5" customHeight="1">
      <c r="A612" s="15"/>
      <c r="B612" s="16"/>
      <c r="C612" s="8" t="s">
        <v>3</v>
      </c>
      <c r="D612" s="17"/>
      <c r="E612" s="8" t="s">
        <v>3</v>
      </c>
    </row>
    <row r="613" ht="22.5" customHeight="1">
      <c r="A613" s="15"/>
      <c r="B613" s="16"/>
      <c r="C613" s="8" t="s">
        <v>3</v>
      </c>
      <c r="D613" s="17"/>
      <c r="E613" s="8" t="s">
        <v>3</v>
      </c>
    </row>
    <row r="614" ht="22.5" customHeight="1">
      <c r="A614" s="15"/>
      <c r="B614" s="16"/>
      <c r="C614" s="8" t="s">
        <v>3</v>
      </c>
      <c r="D614" s="17"/>
      <c r="E614" s="8" t="s">
        <v>3</v>
      </c>
    </row>
    <row r="615" ht="22.5" customHeight="1">
      <c r="A615" s="15"/>
      <c r="B615" s="16"/>
      <c r="C615" s="8" t="s">
        <v>3</v>
      </c>
      <c r="D615" s="17"/>
      <c r="E615" s="8" t="s">
        <v>3</v>
      </c>
    </row>
    <row r="616" ht="22.5" customHeight="1">
      <c r="A616" s="15"/>
      <c r="B616" s="16"/>
      <c r="C616" s="8" t="s">
        <v>3</v>
      </c>
      <c r="D616" s="17"/>
      <c r="E616" s="8" t="s">
        <v>3</v>
      </c>
    </row>
    <row r="617" ht="22.5" customHeight="1">
      <c r="A617" s="15"/>
      <c r="B617" s="16"/>
      <c r="C617" s="8" t="s">
        <v>3</v>
      </c>
      <c r="D617" s="17"/>
      <c r="E617" s="8" t="s">
        <v>3</v>
      </c>
    </row>
    <row r="618" ht="22.5" customHeight="1">
      <c r="A618" s="15"/>
      <c r="B618" s="16"/>
      <c r="C618" s="8" t="s">
        <v>3</v>
      </c>
      <c r="D618" s="17"/>
      <c r="E618" s="8" t="s">
        <v>3</v>
      </c>
    </row>
    <row r="619" ht="22.5" customHeight="1">
      <c r="A619" s="15"/>
      <c r="B619" s="16"/>
      <c r="C619" s="8" t="s">
        <v>3</v>
      </c>
      <c r="D619" s="17"/>
      <c r="E619" s="8" t="s">
        <v>3</v>
      </c>
    </row>
    <row r="620" ht="22.5" customHeight="1">
      <c r="A620" s="15"/>
      <c r="B620" s="16"/>
      <c r="C620" s="8" t="s">
        <v>3</v>
      </c>
      <c r="D620" s="17"/>
      <c r="E620" s="8" t="s">
        <v>3</v>
      </c>
    </row>
    <row r="621" ht="22.5" customHeight="1">
      <c r="A621" s="15"/>
      <c r="B621" s="16"/>
      <c r="C621" s="8" t="s">
        <v>3</v>
      </c>
      <c r="D621" s="17"/>
      <c r="E621" s="8" t="s">
        <v>3</v>
      </c>
    </row>
    <row r="622" ht="22.5" customHeight="1">
      <c r="A622" s="15"/>
      <c r="B622" s="16"/>
      <c r="C622" s="8" t="s">
        <v>3</v>
      </c>
      <c r="D622" s="17"/>
      <c r="E622" s="8" t="s">
        <v>3</v>
      </c>
    </row>
    <row r="623" ht="22.5" customHeight="1">
      <c r="A623" s="15"/>
      <c r="B623" s="16"/>
      <c r="C623" s="8" t="s">
        <v>3</v>
      </c>
      <c r="D623" s="17"/>
      <c r="E623" s="8" t="s">
        <v>3</v>
      </c>
    </row>
    <row r="624" ht="22.5" customHeight="1">
      <c r="A624" s="15"/>
      <c r="B624" s="16"/>
      <c r="C624" s="8" t="s">
        <v>3</v>
      </c>
      <c r="D624" s="17"/>
      <c r="E624" s="8" t="s">
        <v>3</v>
      </c>
    </row>
    <row r="625" ht="22.5" customHeight="1">
      <c r="A625" s="15"/>
      <c r="B625" s="16"/>
      <c r="C625" s="8" t="s">
        <v>3</v>
      </c>
      <c r="D625" s="17"/>
      <c r="E625" s="8" t="s">
        <v>3</v>
      </c>
    </row>
    <row r="626" ht="22.5" customHeight="1">
      <c r="A626" s="15"/>
      <c r="B626" s="16"/>
      <c r="C626" s="8" t="s">
        <v>3</v>
      </c>
      <c r="D626" s="17"/>
      <c r="E626" s="8" t="s">
        <v>3</v>
      </c>
    </row>
    <row r="627" ht="22.5" customHeight="1">
      <c r="A627" s="15"/>
      <c r="B627" s="16"/>
      <c r="C627" s="8" t="s">
        <v>3</v>
      </c>
      <c r="D627" s="17"/>
      <c r="E627" s="8" t="s">
        <v>3</v>
      </c>
    </row>
    <row r="628" ht="22.5" customHeight="1">
      <c r="A628" s="15"/>
      <c r="B628" s="16"/>
      <c r="C628" s="8" t="s">
        <v>3</v>
      </c>
      <c r="D628" s="17"/>
      <c r="E628" s="8" t="s">
        <v>3</v>
      </c>
    </row>
    <row r="629" ht="22.5" customHeight="1">
      <c r="A629" s="15"/>
      <c r="B629" s="16"/>
      <c r="C629" s="8" t="s">
        <v>3</v>
      </c>
      <c r="D629" s="17"/>
      <c r="E629" s="8" t="s">
        <v>3</v>
      </c>
    </row>
    <row r="630" ht="22.5" customHeight="1">
      <c r="A630" s="15"/>
      <c r="B630" s="16"/>
      <c r="C630" s="8" t="s">
        <v>3</v>
      </c>
      <c r="D630" s="17"/>
      <c r="E630" s="8" t="s">
        <v>3</v>
      </c>
    </row>
    <row r="631" ht="22.5" customHeight="1">
      <c r="A631" s="15"/>
      <c r="B631" s="16"/>
      <c r="C631" s="8" t="s">
        <v>3</v>
      </c>
      <c r="D631" s="17"/>
      <c r="E631" s="8" t="s">
        <v>3</v>
      </c>
    </row>
    <row r="632" ht="22.5" customHeight="1">
      <c r="A632" s="15"/>
      <c r="B632" s="16"/>
      <c r="C632" s="8" t="s">
        <v>3</v>
      </c>
      <c r="D632" s="17"/>
      <c r="E632" s="8" t="s">
        <v>3</v>
      </c>
    </row>
    <row r="633" ht="22.5" customHeight="1">
      <c r="A633" s="15"/>
      <c r="B633" s="16"/>
      <c r="C633" s="8" t="s">
        <v>3</v>
      </c>
      <c r="D633" s="17"/>
      <c r="E633" s="8" t="s">
        <v>3</v>
      </c>
    </row>
    <row r="634" ht="22.5" customHeight="1">
      <c r="A634" s="15"/>
      <c r="B634" s="16"/>
      <c r="C634" s="8" t="s">
        <v>3</v>
      </c>
      <c r="D634" s="17"/>
      <c r="E634" s="8" t="s">
        <v>3</v>
      </c>
    </row>
    <row r="635" ht="22.5" customHeight="1">
      <c r="A635" s="15"/>
      <c r="B635" s="16"/>
      <c r="C635" s="8" t="s">
        <v>3</v>
      </c>
      <c r="D635" s="17"/>
      <c r="E635" s="8" t="s">
        <v>3</v>
      </c>
    </row>
    <row r="636" ht="22.5" customHeight="1">
      <c r="A636" s="15"/>
      <c r="B636" s="16"/>
      <c r="C636" s="8" t="s">
        <v>3</v>
      </c>
      <c r="D636" s="17"/>
      <c r="E636" s="8" t="s">
        <v>3</v>
      </c>
    </row>
    <row r="637" ht="22.5" customHeight="1">
      <c r="A637" s="15"/>
      <c r="B637" s="16"/>
      <c r="C637" s="8" t="s">
        <v>3</v>
      </c>
      <c r="D637" s="17"/>
      <c r="E637" s="8" t="s">
        <v>3</v>
      </c>
    </row>
    <row r="638" ht="22.5" customHeight="1">
      <c r="A638" s="15"/>
      <c r="B638" s="16"/>
      <c r="C638" s="8" t="s">
        <v>3</v>
      </c>
      <c r="D638" s="17"/>
      <c r="E638" s="8" t="s">
        <v>3</v>
      </c>
    </row>
    <row r="639" ht="22.5" customHeight="1">
      <c r="A639" s="15"/>
      <c r="B639" s="16"/>
      <c r="C639" s="8" t="s">
        <v>3</v>
      </c>
      <c r="D639" s="17"/>
      <c r="E639" s="8" t="s">
        <v>3</v>
      </c>
    </row>
    <row r="640" ht="22.5" customHeight="1">
      <c r="A640" s="15"/>
      <c r="B640" s="16"/>
      <c r="C640" s="8" t="s">
        <v>3</v>
      </c>
      <c r="D640" s="17"/>
      <c r="E640" s="8" t="s">
        <v>3</v>
      </c>
    </row>
    <row r="641" ht="22.5" customHeight="1">
      <c r="A641" s="15"/>
      <c r="B641" s="16"/>
      <c r="C641" s="8" t="s">
        <v>3</v>
      </c>
      <c r="D641" s="17"/>
      <c r="E641" s="8" t="s">
        <v>3</v>
      </c>
    </row>
    <row r="642" ht="22.5" customHeight="1">
      <c r="A642" s="15"/>
      <c r="B642" s="16"/>
      <c r="C642" s="8" t="s">
        <v>3</v>
      </c>
      <c r="D642" s="17"/>
      <c r="E642" s="8" t="s">
        <v>3</v>
      </c>
    </row>
    <row r="643" ht="22.5" customHeight="1">
      <c r="A643" s="15"/>
      <c r="B643" s="16"/>
      <c r="C643" s="8" t="s">
        <v>3</v>
      </c>
      <c r="D643" s="17"/>
      <c r="E643" s="8" t="s">
        <v>3</v>
      </c>
    </row>
    <row r="644" ht="22.5" customHeight="1">
      <c r="A644" s="15"/>
      <c r="B644" s="16"/>
      <c r="C644" s="8" t="s">
        <v>3</v>
      </c>
      <c r="D644" s="17"/>
      <c r="E644" s="8" t="s">
        <v>3</v>
      </c>
    </row>
    <row r="645" ht="22.5" customHeight="1">
      <c r="A645" s="15"/>
      <c r="B645" s="16"/>
      <c r="C645" s="8" t="s">
        <v>3</v>
      </c>
      <c r="D645" s="17"/>
      <c r="E645" s="8" t="s">
        <v>3</v>
      </c>
    </row>
    <row r="646" ht="22.5" customHeight="1">
      <c r="A646" s="15"/>
      <c r="B646" s="16"/>
      <c r="C646" s="8" t="s">
        <v>3</v>
      </c>
      <c r="D646" s="17"/>
      <c r="E646" s="8" t="s">
        <v>3</v>
      </c>
    </row>
    <row r="647" ht="22.5" customHeight="1">
      <c r="A647" s="15"/>
      <c r="B647" s="16"/>
      <c r="C647" s="8" t="s">
        <v>3</v>
      </c>
      <c r="D647" s="17"/>
      <c r="E647" s="8" t="s">
        <v>3</v>
      </c>
    </row>
    <row r="648" ht="22.5" customHeight="1">
      <c r="A648" s="15"/>
      <c r="B648" s="16"/>
      <c r="C648" s="8" t="s">
        <v>3</v>
      </c>
      <c r="D648" s="17"/>
      <c r="E648" s="8" t="s">
        <v>3</v>
      </c>
    </row>
    <row r="649" ht="22.5" customHeight="1">
      <c r="A649" s="15"/>
      <c r="B649" s="16"/>
      <c r="C649" s="8" t="s">
        <v>3</v>
      </c>
      <c r="D649" s="17"/>
      <c r="E649" s="8" t="s">
        <v>3</v>
      </c>
    </row>
    <row r="650" ht="22.5" customHeight="1">
      <c r="A650" s="15"/>
      <c r="B650" s="16"/>
      <c r="C650" s="8" t="s">
        <v>3</v>
      </c>
      <c r="D650" s="17"/>
      <c r="E650" s="8" t="s">
        <v>3</v>
      </c>
    </row>
    <row r="651" ht="22.5" customHeight="1">
      <c r="A651" s="15"/>
      <c r="B651" s="16"/>
      <c r="C651" s="8" t="s">
        <v>3</v>
      </c>
      <c r="D651" s="17"/>
      <c r="E651" s="8" t="s">
        <v>3</v>
      </c>
    </row>
    <row r="652" ht="22.5" customHeight="1">
      <c r="A652" s="15"/>
      <c r="B652" s="16"/>
      <c r="C652" s="8" t="s">
        <v>3</v>
      </c>
      <c r="D652" s="17"/>
      <c r="E652" s="8" t="s">
        <v>3</v>
      </c>
    </row>
    <row r="653" ht="22.5" customHeight="1">
      <c r="A653" s="15"/>
      <c r="B653" s="16"/>
      <c r="C653" s="8" t="s">
        <v>3</v>
      </c>
      <c r="D653" s="17"/>
      <c r="E653" s="8" t="s">
        <v>3</v>
      </c>
    </row>
    <row r="654" ht="22.5" customHeight="1">
      <c r="A654" s="15"/>
      <c r="B654" s="16"/>
      <c r="C654" s="8" t="s">
        <v>3</v>
      </c>
      <c r="D654" s="17"/>
      <c r="E654" s="8" t="s">
        <v>3</v>
      </c>
    </row>
    <row r="655" ht="22.5" customHeight="1">
      <c r="A655" s="15"/>
      <c r="B655" s="16"/>
      <c r="C655" s="8" t="s">
        <v>3</v>
      </c>
      <c r="D655" s="17"/>
      <c r="E655" s="8" t="s">
        <v>3</v>
      </c>
    </row>
    <row r="656" ht="22.5" customHeight="1">
      <c r="A656" s="15"/>
      <c r="B656" s="16"/>
      <c r="C656" s="8" t="s">
        <v>3</v>
      </c>
      <c r="D656" s="17"/>
      <c r="E656" s="8" t="s">
        <v>3</v>
      </c>
    </row>
    <row r="657" ht="22.5" customHeight="1">
      <c r="A657" s="15"/>
      <c r="B657" s="16"/>
      <c r="C657" s="8" t="s">
        <v>3</v>
      </c>
      <c r="D657" s="17"/>
      <c r="E657" s="8" t="s">
        <v>3</v>
      </c>
    </row>
    <row r="658" ht="22.5" customHeight="1">
      <c r="A658" s="15"/>
      <c r="B658" s="16"/>
      <c r="C658" s="8" t="s">
        <v>3</v>
      </c>
      <c r="D658" s="17"/>
      <c r="E658" s="8" t="s">
        <v>3</v>
      </c>
    </row>
    <row r="659" ht="22.5" customHeight="1">
      <c r="A659" s="15"/>
      <c r="B659" s="16"/>
      <c r="C659" s="8" t="s">
        <v>3</v>
      </c>
      <c r="D659" s="17"/>
      <c r="E659" s="8" t="s">
        <v>3</v>
      </c>
    </row>
    <row r="660" ht="22.5" customHeight="1">
      <c r="A660" s="15"/>
      <c r="B660" s="16"/>
      <c r="C660" s="8" t="s">
        <v>3</v>
      </c>
      <c r="D660" s="17"/>
      <c r="E660" s="8" t="s">
        <v>3</v>
      </c>
    </row>
    <row r="661" ht="22.5" customHeight="1">
      <c r="A661" s="15"/>
      <c r="B661" s="16"/>
      <c r="C661" s="8" t="s">
        <v>3</v>
      </c>
      <c r="D661" s="17"/>
      <c r="E661" s="8" t="s">
        <v>3</v>
      </c>
    </row>
    <row r="662" ht="22.5" customHeight="1">
      <c r="A662" s="15"/>
      <c r="B662" s="16"/>
      <c r="C662" s="8" t="s">
        <v>3</v>
      </c>
      <c r="D662" s="17"/>
      <c r="E662" s="8" t="s">
        <v>3</v>
      </c>
    </row>
    <row r="663" ht="22.5" customHeight="1">
      <c r="A663" s="15"/>
      <c r="B663" s="16"/>
      <c r="C663" s="8" t="s">
        <v>3</v>
      </c>
      <c r="D663" s="17"/>
      <c r="E663" s="8" t="s">
        <v>3</v>
      </c>
    </row>
    <row r="664" ht="22.5" customHeight="1">
      <c r="A664" s="15"/>
      <c r="B664" s="16"/>
      <c r="C664" s="8" t="s">
        <v>3</v>
      </c>
      <c r="D664" s="17"/>
      <c r="E664" s="8" t="s">
        <v>3</v>
      </c>
    </row>
    <row r="665" ht="22.5" customHeight="1">
      <c r="A665" s="15"/>
      <c r="B665" s="16"/>
      <c r="C665" s="8" t="s">
        <v>3</v>
      </c>
      <c r="D665" s="17"/>
      <c r="E665" s="8" t="s">
        <v>3</v>
      </c>
    </row>
    <row r="666" ht="22.5" customHeight="1">
      <c r="A666" s="15"/>
      <c r="B666" s="16"/>
      <c r="C666" s="8" t="s">
        <v>3</v>
      </c>
      <c r="D666" s="17"/>
      <c r="E666" s="8" t="s">
        <v>3</v>
      </c>
    </row>
    <row r="667" ht="22.5" customHeight="1">
      <c r="A667" s="15"/>
      <c r="B667" s="16"/>
      <c r="C667" s="8" t="s">
        <v>3</v>
      </c>
      <c r="D667" s="17"/>
      <c r="E667" s="8" t="s">
        <v>3</v>
      </c>
    </row>
    <row r="668" ht="22.5" customHeight="1">
      <c r="A668" s="15"/>
      <c r="B668" s="16"/>
      <c r="C668" s="8" t="s">
        <v>3</v>
      </c>
      <c r="D668" s="17"/>
      <c r="E668" s="8" t="s">
        <v>3</v>
      </c>
    </row>
    <row r="669" ht="22.5" customHeight="1">
      <c r="A669" s="15"/>
      <c r="B669" s="16"/>
      <c r="C669" s="8" t="s">
        <v>3</v>
      </c>
      <c r="D669" s="17"/>
      <c r="E669" s="8" t="s">
        <v>3</v>
      </c>
    </row>
    <row r="670" ht="22.5" customHeight="1">
      <c r="A670" s="15"/>
      <c r="B670" s="16"/>
      <c r="C670" s="8" t="s">
        <v>3</v>
      </c>
      <c r="D670" s="17"/>
      <c r="E670" s="8" t="s">
        <v>3</v>
      </c>
    </row>
    <row r="671" ht="22.5" customHeight="1">
      <c r="A671" s="15"/>
      <c r="B671" s="16"/>
      <c r="C671" s="8" t="s">
        <v>3</v>
      </c>
      <c r="D671" s="17"/>
      <c r="E671" s="8" t="s">
        <v>3</v>
      </c>
    </row>
    <row r="672" ht="22.5" customHeight="1">
      <c r="A672" s="15"/>
      <c r="B672" s="16"/>
      <c r="C672" s="8" t="s">
        <v>3</v>
      </c>
      <c r="D672" s="17"/>
      <c r="E672" s="8" t="s">
        <v>3</v>
      </c>
    </row>
    <row r="673" ht="22.5" customHeight="1">
      <c r="A673" s="15"/>
      <c r="B673" s="16"/>
      <c r="C673" s="8" t="s">
        <v>3</v>
      </c>
      <c r="D673" s="17"/>
      <c r="E673" s="8" t="s">
        <v>3</v>
      </c>
    </row>
    <row r="674" ht="22.5" customHeight="1">
      <c r="A674" s="15"/>
      <c r="B674" s="16"/>
      <c r="C674" s="8" t="s">
        <v>3</v>
      </c>
      <c r="D674" s="17"/>
      <c r="E674" s="8" t="s">
        <v>3</v>
      </c>
    </row>
    <row r="675" ht="22.5" customHeight="1">
      <c r="A675" s="15"/>
      <c r="B675" s="16"/>
      <c r="C675" s="8" t="s">
        <v>3</v>
      </c>
      <c r="D675" s="17"/>
      <c r="E675" s="8" t="s">
        <v>3</v>
      </c>
    </row>
    <row r="676" ht="22.5" customHeight="1">
      <c r="A676" s="15"/>
      <c r="B676" s="16"/>
      <c r="C676" s="8" t="s">
        <v>3</v>
      </c>
      <c r="D676" s="17"/>
      <c r="E676" s="8" t="s">
        <v>3</v>
      </c>
    </row>
    <row r="677" ht="22.5" customHeight="1">
      <c r="A677" s="15"/>
      <c r="B677" s="16"/>
      <c r="C677" s="8" t="s">
        <v>3</v>
      </c>
      <c r="D677" s="17"/>
      <c r="E677" s="8" t="s">
        <v>3</v>
      </c>
    </row>
    <row r="678" ht="22.5" customHeight="1">
      <c r="A678" s="15"/>
      <c r="B678" s="16"/>
      <c r="C678" s="8" t="s">
        <v>3</v>
      </c>
      <c r="D678" s="17"/>
      <c r="E678" s="8" t="s">
        <v>3</v>
      </c>
    </row>
    <row r="679" ht="22.5" customHeight="1">
      <c r="A679" s="15"/>
      <c r="B679" s="16"/>
      <c r="C679" s="8" t="s">
        <v>3</v>
      </c>
      <c r="D679" s="17"/>
      <c r="E679" s="8" t="s">
        <v>3</v>
      </c>
    </row>
    <row r="680" ht="22.5" customHeight="1">
      <c r="A680" s="15"/>
      <c r="B680" s="16"/>
      <c r="C680" s="8" t="s">
        <v>3</v>
      </c>
      <c r="D680" s="17"/>
      <c r="E680" s="8" t="s">
        <v>3</v>
      </c>
    </row>
    <row r="681" ht="22.5" customHeight="1">
      <c r="A681" s="15"/>
      <c r="B681" s="16"/>
      <c r="C681" s="8" t="s">
        <v>3</v>
      </c>
      <c r="D681" s="17"/>
      <c r="E681" s="8" t="s">
        <v>3</v>
      </c>
    </row>
    <row r="682" ht="22.5" customHeight="1">
      <c r="A682" s="15"/>
      <c r="B682" s="16"/>
      <c r="C682" s="8" t="s">
        <v>3</v>
      </c>
      <c r="D682" s="17"/>
      <c r="E682" s="8" t="s">
        <v>3</v>
      </c>
    </row>
    <row r="683" ht="22.5" customHeight="1">
      <c r="A683" s="15"/>
      <c r="B683" s="16"/>
      <c r="C683" s="8" t="s">
        <v>3</v>
      </c>
      <c r="D683" s="17"/>
      <c r="E683" s="8" t="s">
        <v>3</v>
      </c>
    </row>
    <row r="684" ht="22.5" customHeight="1">
      <c r="A684" s="15"/>
      <c r="B684" s="16"/>
      <c r="C684" s="8" t="s">
        <v>3</v>
      </c>
      <c r="D684" s="17"/>
      <c r="E684" s="8" t="s">
        <v>3</v>
      </c>
    </row>
    <row r="685" ht="22.5" customHeight="1">
      <c r="A685" s="15"/>
      <c r="B685" s="16"/>
      <c r="C685" s="8" t="s">
        <v>3</v>
      </c>
      <c r="D685" s="17"/>
      <c r="E685" s="8" t="s">
        <v>3</v>
      </c>
    </row>
    <row r="686" ht="22.5" customHeight="1">
      <c r="A686" s="15"/>
      <c r="B686" s="16"/>
      <c r="C686" s="8" t="s">
        <v>3</v>
      </c>
      <c r="D686" s="17"/>
      <c r="E686" s="8" t="s">
        <v>3</v>
      </c>
    </row>
    <row r="687" ht="22.5" customHeight="1">
      <c r="A687" s="15"/>
      <c r="B687" s="16"/>
      <c r="C687" s="8" t="s">
        <v>3</v>
      </c>
      <c r="D687" s="17"/>
      <c r="E687" s="8" t="s">
        <v>3</v>
      </c>
    </row>
    <row r="688" ht="22.5" customHeight="1">
      <c r="A688" s="15"/>
      <c r="B688" s="16"/>
      <c r="C688" s="8" t="s">
        <v>3</v>
      </c>
      <c r="D688" s="17"/>
      <c r="E688" s="8" t="s">
        <v>3</v>
      </c>
    </row>
    <row r="689" ht="22.5" customHeight="1">
      <c r="A689" s="15"/>
      <c r="B689" s="16"/>
      <c r="C689" s="8" t="s">
        <v>3</v>
      </c>
      <c r="D689" s="17"/>
      <c r="E689" s="8" t="s">
        <v>3</v>
      </c>
    </row>
    <row r="690" ht="22.5" customHeight="1">
      <c r="A690" s="15"/>
      <c r="B690" s="16"/>
      <c r="C690" s="8" t="s">
        <v>3</v>
      </c>
      <c r="D690" s="17"/>
      <c r="E690" s="8" t="s">
        <v>3</v>
      </c>
    </row>
    <row r="691" ht="22.5" customHeight="1">
      <c r="A691" s="15"/>
      <c r="B691" s="16"/>
      <c r="C691" s="8" t="s">
        <v>3</v>
      </c>
      <c r="D691" s="17"/>
      <c r="E691" s="8" t="s">
        <v>3</v>
      </c>
    </row>
    <row r="692" ht="22.5" customHeight="1">
      <c r="A692" s="15"/>
      <c r="B692" s="16"/>
      <c r="C692" s="8" t="s">
        <v>3</v>
      </c>
      <c r="D692" s="17"/>
      <c r="E692" s="8" t="s">
        <v>3</v>
      </c>
    </row>
    <row r="693" ht="22.5" customHeight="1">
      <c r="A693" s="15"/>
      <c r="B693" s="16"/>
      <c r="C693" s="8" t="s">
        <v>3</v>
      </c>
      <c r="D693" s="17"/>
      <c r="E693" s="8" t="s">
        <v>3</v>
      </c>
    </row>
    <row r="694" ht="22.5" customHeight="1">
      <c r="A694" s="15"/>
      <c r="B694" s="16"/>
      <c r="C694" s="8" t="s">
        <v>3</v>
      </c>
      <c r="D694" s="17"/>
      <c r="E694" s="8" t="s">
        <v>3</v>
      </c>
    </row>
    <row r="695" ht="22.5" customHeight="1">
      <c r="A695" s="15"/>
      <c r="B695" s="16"/>
      <c r="C695" s="8" t="s">
        <v>3</v>
      </c>
      <c r="D695" s="17"/>
      <c r="E695" s="8" t="s">
        <v>3</v>
      </c>
    </row>
    <row r="696" ht="22.5" customHeight="1">
      <c r="A696" s="15"/>
      <c r="B696" s="16"/>
      <c r="C696" s="8" t="s">
        <v>3</v>
      </c>
      <c r="D696" s="17"/>
      <c r="E696" s="8" t="s">
        <v>3</v>
      </c>
    </row>
    <row r="697" ht="22.5" customHeight="1">
      <c r="A697" s="15"/>
      <c r="B697" s="16"/>
      <c r="C697" s="8" t="s">
        <v>3</v>
      </c>
      <c r="D697" s="17"/>
      <c r="E697" s="8" t="s">
        <v>3</v>
      </c>
    </row>
    <row r="698" ht="22.5" customHeight="1">
      <c r="A698" s="15"/>
      <c r="B698" s="16"/>
      <c r="C698" s="8" t="s">
        <v>3</v>
      </c>
      <c r="D698" s="17"/>
      <c r="E698" s="8" t="s">
        <v>3</v>
      </c>
    </row>
    <row r="699" ht="22.5" customHeight="1">
      <c r="A699" s="15"/>
      <c r="B699" s="16"/>
      <c r="C699" s="8" t="s">
        <v>3</v>
      </c>
      <c r="D699" s="17"/>
      <c r="E699" s="8" t="s">
        <v>3</v>
      </c>
    </row>
    <row r="700" ht="22.5" customHeight="1">
      <c r="A700" s="15"/>
      <c r="B700" s="16"/>
      <c r="C700" s="8" t="s">
        <v>3</v>
      </c>
      <c r="D700" s="17"/>
      <c r="E700" s="8" t="s">
        <v>3</v>
      </c>
    </row>
    <row r="701" ht="22.5" customHeight="1">
      <c r="A701" s="15"/>
      <c r="B701" s="16"/>
      <c r="C701" s="8" t="s">
        <v>3</v>
      </c>
      <c r="D701" s="17"/>
      <c r="E701" s="8" t="s">
        <v>3</v>
      </c>
    </row>
    <row r="702" ht="22.5" customHeight="1">
      <c r="A702" s="15"/>
      <c r="B702" s="16"/>
      <c r="C702" s="8" t="s">
        <v>3</v>
      </c>
      <c r="D702" s="17"/>
      <c r="E702" s="8" t="s">
        <v>3</v>
      </c>
    </row>
    <row r="703" ht="22.5" customHeight="1">
      <c r="A703" s="15"/>
      <c r="B703" s="16"/>
      <c r="C703" s="8" t="s">
        <v>3</v>
      </c>
      <c r="D703" s="17"/>
      <c r="E703" s="8" t="s">
        <v>3</v>
      </c>
    </row>
    <row r="704" ht="22.5" customHeight="1">
      <c r="A704" s="15"/>
      <c r="B704" s="16"/>
      <c r="C704" s="8" t="s">
        <v>3</v>
      </c>
      <c r="D704" s="17"/>
      <c r="E704" s="8" t="s">
        <v>3</v>
      </c>
    </row>
    <row r="705" ht="22.5" customHeight="1">
      <c r="A705" s="15"/>
      <c r="B705" s="16"/>
      <c r="C705" s="8" t="s">
        <v>3</v>
      </c>
      <c r="D705" s="17"/>
      <c r="E705" s="8" t="s">
        <v>3</v>
      </c>
    </row>
    <row r="706" ht="22.5" customHeight="1">
      <c r="A706" s="15"/>
      <c r="B706" s="16"/>
      <c r="C706" s="8" t="s">
        <v>3</v>
      </c>
      <c r="D706" s="17"/>
      <c r="E706" s="8" t="s">
        <v>3</v>
      </c>
    </row>
    <row r="707" ht="22.5" customHeight="1">
      <c r="A707" s="15"/>
      <c r="B707" s="16"/>
      <c r="C707" s="8" t="s">
        <v>3</v>
      </c>
      <c r="D707" s="17"/>
      <c r="E707" s="8" t="s">
        <v>3</v>
      </c>
    </row>
    <row r="708" ht="22.5" customHeight="1">
      <c r="A708" s="15"/>
      <c r="B708" s="16"/>
      <c r="C708" s="8" t="s">
        <v>3</v>
      </c>
      <c r="D708" s="17"/>
      <c r="E708" s="8" t="s">
        <v>3</v>
      </c>
    </row>
    <row r="709" ht="22.5" customHeight="1">
      <c r="A709" s="15"/>
      <c r="B709" s="16"/>
      <c r="C709" s="8" t="s">
        <v>3</v>
      </c>
      <c r="D709" s="17"/>
      <c r="E709" s="8" t="s">
        <v>3</v>
      </c>
    </row>
    <row r="710" ht="22.5" customHeight="1">
      <c r="A710" s="15"/>
      <c r="B710" s="16"/>
      <c r="C710" s="8" t="s">
        <v>3</v>
      </c>
      <c r="D710" s="17"/>
      <c r="E710" s="8" t="s">
        <v>3</v>
      </c>
    </row>
    <row r="711" ht="22.5" customHeight="1">
      <c r="A711" s="15"/>
      <c r="B711" s="16"/>
      <c r="C711" s="8" t="s">
        <v>3</v>
      </c>
      <c r="D711" s="17"/>
      <c r="E711" s="8" t="s">
        <v>3</v>
      </c>
    </row>
    <row r="712" ht="22.5" customHeight="1">
      <c r="A712" s="15"/>
      <c r="B712" s="16"/>
      <c r="C712" s="8" t="s">
        <v>3</v>
      </c>
      <c r="D712" s="17"/>
      <c r="E712" s="8" t="s">
        <v>3</v>
      </c>
    </row>
    <row r="713" ht="22.5" customHeight="1">
      <c r="A713" s="15"/>
      <c r="B713" s="16"/>
      <c r="C713" s="8" t="s">
        <v>3</v>
      </c>
      <c r="D713" s="17"/>
      <c r="E713" s="8" t="s">
        <v>3</v>
      </c>
    </row>
    <row r="714" ht="22.5" customHeight="1">
      <c r="A714" s="15"/>
      <c r="B714" s="16"/>
      <c r="C714" s="8" t="s">
        <v>3</v>
      </c>
      <c r="D714" s="17"/>
      <c r="E714" s="8" t="s">
        <v>3</v>
      </c>
    </row>
    <row r="715" ht="22.5" customHeight="1">
      <c r="A715" s="15"/>
      <c r="B715" s="16"/>
      <c r="C715" s="8" t="s">
        <v>3</v>
      </c>
      <c r="D715" s="17"/>
      <c r="E715" s="8" t="s">
        <v>3</v>
      </c>
    </row>
    <row r="716" ht="22.5" customHeight="1">
      <c r="A716" s="15"/>
      <c r="B716" s="16"/>
      <c r="C716" s="8" t="s">
        <v>3</v>
      </c>
      <c r="D716" s="17"/>
      <c r="E716" s="8" t="s">
        <v>3</v>
      </c>
    </row>
    <row r="717" ht="22.5" customHeight="1">
      <c r="A717" s="15"/>
      <c r="B717" s="16"/>
      <c r="C717" s="8" t="s">
        <v>3</v>
      </c>
      <c r="D717" s="17"/>
      <c r="E717" s="8" t="s">
        <v>3</v>
      </c>
    </row>
    <row r="718" ht="22.5" customHeight="1">
      <c r="A718" s="15"/>
      <c r="B718" s="16"/>
      <c r="C718" s="8" t="s">
        <v>3</v>
      </c>
      <c r="D718" s="17"/>
      <c r="E718" s="8" t="s">
        <v>3</v>
      </c>
    </row>
    <row r="719" ht="22.5" customHeight="1">
      <c r="A719" s="15"/>
      <c r="B719" s="16"/>
      <c r="C719" s="8" t="s">
        <v>3</v>
      </c>
      <c r="D719" s="17"/>
      <c r="E719" s="8" t="s">
        <v>3</v>
      </c>
    </row>
    <row r="720" ht="22.5" customHeight="1">
      <c r="A720" s="15"/>
      <c r="B720" s="16"/>
      <c r="C720" s="8" t="s">
        <v>3</v>
      </c>
      <c r="D720" s="17"/>
      <c r="E720" s="8" t="s">
        <v>3</v>
      </c>
    </row>
    <row r="721" ht="22.5" customHeight="1">
      <c r="A721" s="15"/>
      <c r="B721" s="16"/>
      <c r="C721" s="8" t="s">
        <v>3</v>
      </c>
      <c r="D721" s="17"/>
      <c r="E721" s="8" t="s">
        <v>3</v>
      </c>
    </row>
    <row r="722" ht="22.5" customHeight="1">
      <c r="A722" s="15"/>
      <c r="B722" s="16"/>
      <c r="C722" s="8" t="s">
        <v>3</v>
      </c>
      <c r="D722" s="17"/>
      <c r="E722" s="8" t="s">
        <v>3</v>
      </c>
    </row>
    <row r="723" ht="22.5" customHeight="1">
      <c r="A723" s="15"/>
      <c r="B723" s="16"/>
      <c r="C723" s="8" t="s">
        <v>3</v>
      </c>
      <c r="D723" s="17"/>
      <c r="E723" s="8" t="s">
        <v>3</v>
      </c>
    </row>
    <row r="724" ht="22.5" customHeight="1">
      <c r="A724" s="15"/>
      <c r="B724" s="16"/>
      <c r="C724" s="8" t="s">
        <v>3</v>
      </c>
      <c r="D724" s="17"/>
      <c r="E724" s="8" t="s">
        <v>3</v>
      </c>
    </row>
    <row r="725" ht="22.5" customHeight="1">
      <c r="A725" s="15"/>
      <c r="B725" s="16"/>
      <c r="C725" s="8" t="s">
        <v>3</v>
      </c>
      <c r="D725" s="17"/>
      <c r="E725" s="8" t="s">
        <v>3</v>
      </c>
    </row>
    <row r="726" ht="22.5" customHeight="1">
      <c r="A726" s="15"/>
      <c r="B726" s="16"/>
      <c r="C726" s="8" t="s">
        <v>3</v>
      </c>
      <c r="D726" s="17"/>
      <c r="E726" s="8" t="s">
        <v>3</v>
      </c>
    </row>
    <row r="727" ht="22.5" customHeight="1">
      <c r="A727" s="15"/>
      <c r="B727" s="16"/>
      <c r="C727" s="8" t="s">
        <v>3</v>
      </c>
      <c r="D727" s="17"/>
      <c r="E727" s="8" t="s">
        <v>3</v>
      </c>
    </row>
    <row r="728" ht="22.5" customHeight="1">
      <c r="A728" s="15"/>
      <c r="B728" s="16"/>
      <c r="C728" s="8" t="s">
        <v>3</v>
      </c>
      <c r="D728" s="17"/>
      <c r="E728" s="8" t="s">
        <v>3</v>
      </c>
    </row>
    <row r="729" ht="22.5" customHeight="1">
      <c r="A729" s="15"/>
      <c r="B729" s="16"/>
      <c r="C729" s="8" t="s">
        <v>3</v>
      </c>
      <c r="D729" s="17"/>
      <c r="E729" s="8" t="s">
        <v>3</v>
      </c>
    </row>
    <row r="730" ht="22.5" customHeight="1">
      <c r="A730" s="15"/>
      <c r="B730" s="16"/>
      <c r="C730" s="8" t="s">
        <v>3</v>
      </c>
      <c r="D730" s="17"/>
      <c r="E730" s="8" t="s">
        <v>3</v>
      </c>
    </row>
    <row r="731" ht="22.5" customHeight="1">
      <c r="A731" s="15"/>
      <c r="B731" s="16"/>
      <c r="C731" s="8" t="s">
        <v>3</v>
      </c>
      <c r="D731" s="17"/>
      <c r="E731" s="8" t="s">
        <v>3</v>
      </c>
    </row>
    <row r="732" ht="22.5" customHeight="1">
      <c r="A732" s="15"/>
      <c r="B732" s="16"/>
      <c r="C732" s="8" t="s">
        <v>3</v>
      </c>
      <c r="D732" s="17"/>
      <c r="E732" s="8" t="s">
        <v>3</v>
      </c>
    </row>
    <row r="733" ht="22.5" customHeight="1">
      <c r="A733" s="15"/>
      <c r="B733" s="16"/>
      <c r="C733" s="8" t="s">
        <v>3</v>
      </c>
      <c r="D733" s="17"/>
      <c r="E733" s="8" t="s">
        <v>3</v>
      </c>
    </row>
    <row r="734" ht="22.5" customHeight="1">
      <c r="A734" s="15"/>
      <c r="B734" s="16"/>
      <c r="C734" s="8" t="s">
        <v>3</v>
      </c>
      <c r="D734" s="17"/>
      <c r="E734" s="8" t="s">
        <v>3</v>
      </c>
    </row>
    <row r="735" ht="22.5" customHeight="1">
      <c r="A735" s="15"/>
      <c r="B735" s="16"/>
      <c r="C735" s="8" t="s">
        <v>3</v>
      </c>
      <c r="D735" s="17"/>
      <c r="E735" s="8" t="s">
        <v>3</v>
      </c>
    </row>
    <row r="736" ht="22.5" customHeight="1">
      <c r="A736" s="15"/>
      <c r="B736" s="16"/>
      <c r="C736" s="8" t="s">
        <v>3</v>
      </c>
      <c r="D736" s="17"/>
      <c r="E736" s="8" t="s">
        <v>3</v>
      </c>
    </row>
    <row r="737" ht="22.5" customHeight="1">
      <c r="A737" s="15"/>
      <c r="B737" s="16"/>
      <c r="C737" s="8" t="s">
        <v>3</v>
      </c>
      <c r="D737" s="17"/>
      <c r="E737" s="8" t="s">
        <v>3</v>
      </c>
    </row>
    <row r="738" ht="22.5" customHeight="1">
      <c r="A738" s="15"/>
      <c r="B738" s="16"/>
      <c r="C738" s="8" t="s">
        <v>3</v>
      </c>
      <c r="D738" s="17"/>
      <c r="E738" s="8" t="s">
        <v>3</v>
      </c>
    </row>
    <row r="739" ht="22.5" customHeight="1">
      <c r="A739" s="15"/>
      <c r="B739" s="16"/>
      <c r="C739" s="8" t="s">
        <v>3</v>
      </c>
      <c r="D739" s="17"/>
      <c r="E739" s="8" t="s">
        <v>3</v>
      </c>
    </row>
    <row r="740" ht="22.5" customHeight="1">
      <c r="A740" s="15"/>
      <c r="B740" s="16"/>
      <c r="C740" s="8" t="s">
        <v>3</v>
      </c>
      <c r="D740" s="17"/>
      <c r="E740" s="8" t="s">
        <v>3</v>
      </c>
    </row>
    <row r="741" ht="22.5" customHeight="1">
      <c r="A741" s="15"/>
      <c r="B741" s="16"/>
      <c r="C741" s="8" t="s">
        <v>3</v>
      </c>
      <c r="D741" s="17"/>
      <c r="E741" s="8" t="s">
        <v>3</v>
      </c>
    </row>
    <row r="742" ht="22.5" customHeight="1">
      <c r="A742" s="15"/>
      <c r="B742" s="16"/>
      <c r="C742" s="8" t="s">
        <v>3</v>
      </c>
      <c r="D742" s="17"/>
      <c r="E742" s="8" t="s">
        <v>3</v>
      </c>
    </row>
    <row r="743" ht="22.5" customHeight="1">
      <c r="A743" s="15"/>
      <c r="B743" s="16"/>
      <c r="C743" s="8" t="s">
        <v>3</v>
      </c>
      <c r="D743" s="17"/>
      <c r="E743" s="8" t="s">
        <v>3</v>
      </c>
    </row>
    <row r="744" ht="22.5" customHeight="1">
      <c r="A744" s="15"/>
      <c r="B744" s="16"/>
      <c r="C744" s="8" t="s">
        <v>3</v>
      </c>
      <c r="D744" s="17"/>
      <c r="E744" s="8" t="s">
        <v>3</v>
      </c>
    </row>
    <row r="745" ht="22.5" customHeight="1">
      <c r="A745" s="15"/>
      <c r="B745" s="16"/>
      <c r="C745" s="8" t="s">
        <v>3</v>
      </c>
      <c r="D745" s="17"/>
      <c r="E745" s="8" t="s">
        <v>3</v>
      </c>
    </row>
    <row r="746" ht="22.5" customHeight="1">
      <c r="A746" s="15"/>
      <c r="B746" s="16"/>
      <c r="C746" s="8" t="s">
        <v>3</v>
      </c>
      <c r="D746" s="17"/>
      <c r="E746" s="8" t="s">
        <v>3</v>
      </c>
    </row>
    <row r="747" ht="22.5" customHeight="1">
      <c r="A747" s="15"/>
      <c r="B747" s="16"/>
      <c r="C747" s="8" t="s">
        <v>3</v>
      </c>
      <c r="D747" s="17"/>
      <c r="E747" s="8" t="s">
        <v>3</v>
      </c>
    </row>
    <row r="748" ht="22.5" customHeight="1">
      <c r="A748" s="15"/>
      <c r="B748" s="16"/>
      <c r="C748" s="8" t="s">
        <v>3</v>
      </c>
      <c r="D748" s="17"/>
      <c r="E748" s="8" t="s">
        <v>3</v>
      </c>
    </row>
    <row r="749" ht="22.5" customHeight="1">
      <c r="A749" s="15"/>
      <c r="B749" s="16"/>
      <c r="C749" s="8" t="s">
        <v>3</v>
      </c>
      <c r="D749" s="17"/>
      <c r="E749" s="8" t="s">
        <v>3</v>
      </c>
    </row>
    <row r="750" ht="22.5" customHeight="1">
      <c r="A750" s="15"/>
      <c r="B750" s="16"/>
      <c r="C750" s="8" t="s">
        <v>3</v>
      </c>
      <c r="D750" s="17"/>
      <c r="E750" s="8" t="s">
        <v>3</v>
      </c>
    </row>
    <row r="751" ht="22.5" customHeight="1">
      <c r="A751" s="15"/>
      <c r="B751" s="16"/>
      <c r="C751" s="8" t="s">
        <v>3</v>
      </c>
      <c r="D751" s="17"/>
      <c r="E751" s="8" t="s">
        <v>3</v>
      </c>
    </row>
    <row r="752" ht="22.5" customHeight="1">
      <c r="A752" s="15"/>
      <c r="B752" s="16"/>
      <c r="C752" s="8" t="s">
        <v>3</v>
      </c>
      <c r="D752" s="17"/>
      <c r="E752" s="8" t="s">
        <v>3</v>
      </c>
    </row>
    <row r="753" ht="22.5" customHeight="1">
      <c r="A753" s="15"/>
      <c r="B753" s="16"/>
      <c r="C753" s="8" t="s">
        <v>3</v>
      </c>
      <c r="D753" s="17"/>
      <c r="E753" s="8" t="s">
        <v>3</v>
      </c>
    </row>
    <row r="754" ht="22.5" customHeight="1">
      <c r="A754" s="15"/>
      <c r="B754" s="16"/>
      <c r="C754" s="8" t="s">
        <v>3</v>
      </c>
      <c r="D754" s="17"/>
      <c r="E754" s="8" t="s">
        <v>3</v>
      </c>
    </row>
    <row r="755" ht="22.5" customHeight="1">
      <c r="A755" s="15"/>
      <c r="B755" s="16"/>
      <c r="C755" s="8" t="s">
        <v>3</v>
      </c>
      <c r="D755" s="17"/>
      <c r="E755" s="8" t="s">
        <v>3</v>
      </c>
    </row>
    <row r="756" ht="22.5" customHeight="1">
      <c r="A756" s="15"/>
      <c r="B756" s="16"/>
      <c r="C756" s="8" t="s">
        <v>3</v>
      </c>
      <c r="D756" s="17"/>
      <c r="E756" s="8" t="s">
        <v>3</v>
      </c>
    </row>
    <row r="757" ht="22.5" customHeight="1">
      <c r="A757" s="15"/>
      <c r="B757" s="16"/>
      <c r="C757" s="8" t="s">
        <v>3</v>
      </c>
      <c r="D757" s="17"/>
      <c r="E757" s="8" t="s">
        <v>3</v>
      </c>
    </row>
    <row r="758" ht="22.5" customHeight="1">
      <c r="A758" s="15"/>
      <c r="B758" s="16"/>
      <c r="C758" s="8" t="s">
        <v>3</v>
      </c>
      <c r="D758" s="17"/>
      <c r="E758" s="8" t="s">
        <v>3</v>
      </c>
    </row>
    <row r="759" ht="22.5" customHeight="1">
      <c r="A759" s="15"/>
      <c r="B759" s="16"/>
      <c r="C759" s="8" t="s">
        <v>3</v>
      </c>
      <c r="D759" s="17"/>
      <c r="E759" s="8" t="s">
        <v>3</v>
      </c>
    </row>
    <row r="760" ht="22.5" customHeight="1">
      <c r="A760" s="15"/>
      <c r="B760" s="16"/>
      <c r="C760" s="8" t="s">
        <v>3</v>
      </c>
      <c r="D760" s="17"/>
      <c r="E760" s="8" t="s">
        <v>3</v>
      </c>
    </row>
    <row r="761" ht="22.5" customHeight="1">
      <c r="A761" s="15"/>
      <c r="B761" s="16"/>
      <c r="C761" s="8" t="s">
        <v>3</v>
      </c>
      <c r="D761" s="17"/>
      <c r="E761" s="8" t="s">
        <v>3</v>
      </c>
    </row>
    <row r="762" ht="22.5" customHeight="1">
      <c r="A762" s="15"/>
      <c r="B762" s="16"/>
      <c r="C762" s="8" t="s">
        <v>3</v>
      </c>
      <c r="D762" s="17"/>
      <c r="E762" s="8" t="s">
        <v>3</v>
      </c>
    </row>
    <row r="763" ht="22.5" customHeight="1">
      <c r="A763" s="15"/>
      <c r="B763" s="16"/>
      <c r="C763" s="8" t="s">
        <v>3</v>
      </c>
      <c r="D763" s="17"/>
      <c r="E763" s="8" t="s">
        <v>3</v>
      </c>
    </row>
    <row r="764" ht="22.5" customHeight="1">
      <c r="A764" s="15"/>
      <c r="B764" s="16"/>
      <c r="C764" s="8" t="s">
        <v>3</v>
      </c>
      <c r="D764" s="17"/>
      <c r="E764" s="8" t="s">
        <v>3</v>
      </c>
    </row>
    <row r="765" ht="22.5" customHeight="1">
      <c r="A765" s="15"/>
      <c r="B765" s="16"/>
      <c r="C765" s="8" t="s">
        <v>3</v>
      </c>
      <c r="D765" s="17"/>
      <c r="E765" s="8" t="s">
        <v>3</v>
      </c>
    </row>
    <row r="766" ht="22.5" customHeight="1">
      <c r="A766" s="15"/>
      <c r="B766" s="16"/>
      <c r="C766" s="8" t="s">
        <v>3</v>
      </c>
      <c r="D766" s="17"/>
      <c r="E766" s="8" t="s">
        <v>3</v>
      </c>
    </row>
    <row r="767" ht="22.5" customHeight="1">
      <c r="A767" s="15"/>
      <c r="B767" s="16"/>
      <c r="C767" s="8" t="s">
        <v>3</v>
      </c>
      <c r="D767" s="17"/>
      <c r="E767" s="8" t="s">
        <v>3</v>
      </c>
    </row>
    <row r="768" ht="22.5" customHeight="1">
      <c r="A768" s="15"/>
      <c r="B768" s="16"/>
      <c r="C768" s="8" t="s">
        <v>3</v>
      </c>
      <c r="D768" s="17"/>
      <c r="E768" s="8" t="s">
        <v>3</v>
      </c>
    </row>
    <row r="769" ht="22.5" customHeight="1">
      <c r="A769" s="15"/>
      <c r="B769" s="16"/>
      <c r="C769" s="8" t="s">
        <v>3</v>
      </c>
      <c r="D769" s="17"/>
      <c r="E769" s="8" t="s">
        <v>3</v>
      </c>
    </row>
    <row r="770" ht="22.5" customHeight="1">
      <c r="A770" s="15"/>
      <c r="B770" s="16"/>
      <c r="C770" s="8" t="s">
        <v>3</v>
      </c>
      <c r="D770" s="17"/>
      <c r="E770" s="8" t="s">
        <v>3</v>
      </c>
    </row>
    <row r="771" ht="22.5" customHeight="1">
      <c r="A771" s="15"/>
      <c r="B771" s="16"/>
      <c r="C771" s="8" t="s">
        <v>3</v>
      </c>
      <c r="D771" s="17"/>
      <c r="E771" s="8" t="s">
        <v>3</v>
      </c>
    </row>
    <row r="772" ht="22.5" customHeight="1">
      <c r="A772" s="15"/>
      <c r="B772" s="16"/>
      <c r="C772" s="8" t="s">
        <v>3</v>
      </c>
      <c r="D772" s="17"/>
      <c r="E772" s="8" t="s">
        <v>3</v>
      </c>
    </row>
    <row r="773" ht="22.5" customHeight="1">
      <c r="A773" s="15"/>
      <c r="B773" s="16"/>
      <c r="C773" s="8" t="s">
        <v>3</v>
      </c>
      <c r="D773" s="17"/>
      <c r="E773" s="8" t="s">
        <v>3</v>
      </c>
    </row>
    <row r="774" ht="22.5" customHeight="1">
      <c r="A774" s="15"/>
      <c r="B774" s="16"/>
      <c r="C774" s="8" t="s">
        <v>3</v>
      </c>
      <c r="D774" s="17"/>
      <c r="E774" s="8" t="s">
        <v>3</v>
      </c>
    </row>
    <row r="775" ht="22.5" customHeight="1">
      <c r="A775" s="15"/>
      <c r="B775" s="16"/>
      <c r="C775" s="8" t="s">
        <v>3</v>
      </c>
      <c r="D775" s="17"/>
      <c r="E775" s="8" t="s">
        <v>3</v>
      </c>
    </row>
    <row r="776" ht="22.5" customHeight="1">
      <c r="A776" s="15"/>
      <c r="B776" s="16"/>
      <c r="C776" s="8" t="s">
        <v>3</v>
      </c>
      <c r="D776" s="17"/>
      <c r="E776" s="8" t="s">
        <v>3</v>
      </c>
    </row>
    <row r="777" ht="22.5" customHeight="1">
      <c r="A777" s="15"/>
      <c r="B777" s="16"/>
      <c r="C777" s="8" t="s">
        <v>3</v>
      </c>
      <c r="D777" s="17"/>
      <c r="E777" s="8" t="s">
        <v>3</v>
      </c>
    </row>
    <row r="778" ht="22.5" customHeight="1">
      <c r="A778" s="15"/>
      <c r="B778" s="16"/>
      <c r="C778" s="8" t="s">
        <v>3</v>
      </c>
      <c r="D778" s="17"/>
      <c r="E778" s="8" t="s">
        <v>3</v>
      </c>
    </row>
    <row r="779" ht="22.5" customHeight="1">
      <c r="A779" s="15"/>
      <c r="B779" s="16"/>
      <c r="C779" s="8" t="s">
        <v>3</v>
      </c>
      <c r="D779" s="17"/>
      <c r="E779" s="8" t="s">
        <v>3</v>
      </c>
    </row>
    <row r="780" ht="22.5" customHeight="1">
      <c r="A780" s="15"/>
      <c r="B780" s="16"/>
      <c r="C780" s="8" t="s">
        <v>3</v>
      </c>
      <c r="D780" s="17"/>
      <c r="E780" s="8" t="s">
        <v>3</v>
      </c>
    </row>
    <row r="781" ht="22.5" customHeight="1">
      <c r="A781" s="15"/>
      <c r="B781" s="16"/>
      <c r="C781" s="8" t="s">
        <v>3</v>
      </c>
      <c r="D781" s="17"/>
      <c r="E781" s="8" t="s">
        <v>3</v>
      </c>
    </row>
    <row r="782" ht="22.5" customHeight="1">
      <c r="A782" s="15"/>
      <c r="B782" s="16"/>
      <c r="C782" s="8" t="s">
        <v>3</v>
      </c>
      <c r="D782" s="17"/>
      <c r="E782" s="8" t="s">
        <v>3</v>
      </c>
    </row>
    <row r="783" ht="22.5" customHeight="1">
      <c r="A783" s="15"/>
      <c r="B783" s="16"/>
      <c r="C783" s="8" t="s">
        <v>3</v>
      </c>
      <c r="D783" s="17"/>
      <c r="E783" s="8" t="s">
        <v>3</v>
      </c>
    </row>
    <row r="784" ht="22.5" customHeight="1">
      <c r="A784" s="15"/>
      <c r="B784" s="16"/>
      <c r="C784" s="8" t="s">
        <v>3</v>
      </c>
      <c r="D784" s="17"/>
      <c r="E784" s="8" t="s">
        <v>3</v>
      </c>
    </row>
    <row r="785" ht="22.5" customHeight="1">
      <c r="A785" s="15"/>
      <c r="B785" s="16"/>
      <c r="C785" s="8" t="s">
        <v>3</v>
      </c>
      <c r="D785" s="17"/>
      <c r="E785" s="8" t="s">
        <v>3</v>
      </c>
    </row>
    <row r="786" ht="22.5" customHeight="1">
      <c r="A786" s="15"/>
      <c r="B786" s="16"/>
      <c r="C786" s="8" t="s">
        <v>3</v>
      </c>
      <c r="D786" s="17"/>
      <c r="E786" s="8" t="s">
        <v>3</v>
      </c>
    </row>
    <row r="787" ht="22.5" customHeight="1">
      <c r="A787" s="15"/>
      <c r="B787" s="16"/>
      <c r="C787" s="8" t="s">
        <v>3</v>
      </c>
      <c r="D787" s="17"/>
      <c r="E787" s="8" t="s">
        <v>3</v>
      </c>
    </row>
    <row r="788" ht="22.5" customHeight="1">
      <c r="A788" s="15"/>
      <c r="B788" s="16"/>
      <c r="C788" s="8" t="s">
        <v>3</v>
      </c>
      <c r="D788" s="17"/>
      <c r="E788" s="8" t="s">
        <v>3</v>
      </c>
    </row>
    <row r="789" ht="22.5" customHeight="1">
      <c r="A789" s="15"/>
      <c r="B789" s="16"/>
      <c r="C789" s="8" t="s">
        <v>3</v>
      </c>
      <c r="D789" s="17"/>
      <c r="E789" s="8" t="s">
        <v>3</v>
      </c>
    </row>
    <row r="790" ht="22.5" customHeight="1">
      <c r="A790" s="15"/>
      <c r="B790" s="16"/>
      <c r="C790" s="8" t="s">
        <v>3</v>
      </c>
      <c r="D790" s="17"/>
      <c r="E790" s="8" t="s">
        <v>3</v>
      </c>
    </row>
    <row r="791" ht="22.5" customHeight="1">
      <c r="A791" s="15"/>
      <c r="B791" s="16"/>
      <c r="C791" s="8" t="s">
        <v>3</v>
      </c>
      <c r="D791" s="17"/>
      <c r="E791" s="8" t="s">
        <v>3</v>
      </c>
    </row>
    <row r="792" ht="22.5" customHeight="1">
      <c r="A792" s="15"/>
      <c r="B792" s="16"/>
      <c r="C792" s="8" t="s">
        <v>3</v>
      </c>
      <c r="D792" s="17"/>
      <c r="E792" s="8" t="s">
        <v>3</v>
      </c>
    </row>
    <row r="793" ht="22.5" customHeight="1">
      <c r="A793" s="15"/>
      <c r="B793" s="16"/>
      <c r="C793" s="8" t="s">
        <v>3</v>
      </c>
      <c r="D793" s="17"/>
      <c r="E793" s="8" t="s">
        <v>3</v>
      </c>
    </row>
    <row r="794" ht="22.5" customHeight="1">
      <c r="A794" s="15"/>
      <c r="B794" s="16"/>
      <c r="C794" s="8" t="s">
        <v>3</v>
      </c>
      <c r="D794" s="17"/>
      <c r="E794" s="8" t="s">
        <v>3</v>
      </c>
    </row>
    <row r="795" ht="22.5" customHeight="1">
      <c r="A795" s="15"/>
      <c r="B795" s="16"/>
      <c r="C795" s="8" t="s">
        <v>3</v>
      </c>
      <c r="D795" s="17"/>
      <c r="E795" s="8" t="s">
        <v>3</v>
      </c>
    </row>
    <row r="796" ht="22.5" customHeight="1">
      <c r="A796" s="15"/>
      <c r="B796" s="16"/>
      <c r="C796" s="8" t="s">
        <v>3</v>
      </c>
      <c r="D796" s="17"/>
      <c r="E796" s="8" t="s">
        <v>3</v>
      </c>
    </row>
    <row r="797" ht="22.5" customHeight="1">
      <c r="A797" s="15"/>
      <c r="B797" s="16"/>
      <c r="C797" s="8" t="s">
        <v>3</v>
      </c>
      <c r="D797" s="17"/>
      <c r="E797" s="8" t="s">
        <v>3</v>
      </c>
    </row>
    <row r="798" ht="22.5" customHeight="1">
      <c r="A798" s="15"/>
      <c r="B798" s="16"/>
      <c r="C798" s="8" t="s">
        <v>3</v>
      </c>
      <c r="D798" s="17"/>
      <c r="E798" s="8" t="s">
        <v>3</v>
      </c>
    </row>
    <row r="799" ht="22.5" customHeight="1">
      <c r="A799" s="15"/>
      <c r="B799" s="16"/>
      <c r="C799" s="8" t="s">
        <v>3</v>
      </c>
      <c r="D799" s="17"/>
      <c r="E799" s="8" t="s">
        <v>3</v>
      </c>
    </row>
    <row r="800" ht="22.5" customHeight="1">
      <c r="A800" s="15"/>
      <c r="B800" s="16"/>
      <c r="C800" s="8" t="s">
        <v>3</v>
      </c>
      <c r="D800" s="17"/>
      <c r="E800" s="8" t="s">
        <v>3</v>
      </c>
    </row>
    <row r="801" ht="22.5" customHeight="1">
      <c r="A801" s="15"/>
      <c r="B801" s="16"/>
      <c r="C801" s="8" t="s">
        <v>3</v>
      </c>
      <c r="D801" s="17"/>
      <c r="E801" s="8" t="s">
        <v>3</v>
      </c>
    </row>
    <row r="802" ht="22.5" customHeight="1">
      <c r="A802" s="15"/>
      <c r="B802" s="16"/>
      <c r="C802" s="8" t="s">
        <v>3</v>
      </c>
      <c r="D802" s="17"/>
      <c r="E802" s="8" t="s">
        <v>3</v>
      </c>
    </row>
    <row r="803" ht="22.5" customHeight="1">
      <c r="A803" s="15"/>
      <c r="B803" s="16"/>
      <c r="C803" s="8" t="s">
        <v>3</v>
      </c>
      <c r="D803" s="17"/>
      <c r="E803" s="8" t="s">
        <v>3</v>
      </c>
    </row>
    <row r="804" ht="22.5" customHeight="1">
      <c r="A804" s="15"/>
      <c r="B804" s="16"/>
      <c r="C804" s="8" t="s">
        <v>3</v>
      </c>
      <c r="D804" s="17"/>
      <c r="E804" s="8" t="s">
        <v>3</v>
      </c>
    </row>
    <row r="805" ht="22.5" customHeight="1">
      <c r="A805" s="15"/>
      <c r="B805" s="16"/>
      <c r="C805" s="8" t="s">
        <v>3</v>
      </c>
      <c r="D805" s="17"/>
      <c r="E805" s="8" t="s">
        <v>3</v>
      </c>
    </row>
    <row r="806" ht="22.5" customHeight="1">
      <c r="A806" s="15"/>
      <c r="B806" s="16"/>
      <c r="C806" s="8" t="s">
        <v>3</v>
      </c>
      <c r="D806" s="17"/>
      <c r="E806" s="8" t="s">
        <v>3</v>
      </c>
    </row>
    <row r="807" ht="22.5" customHeight="1">
      <c r="A807" s="15"/>
      <c r="B807" s="16"/>
      <c r="C807" s="8" t="s">
        <v>3</v>
      </c>
      <c r="D807" s="17"/>
      <c r="E807" s="8" t="s">
        <v>3</v>
      </c>
    </row>
    <row r="808" ht="22.5" customHeight="1">
      <c r="A808" s="15"/>
      <c r="B808" s="16"/>
      <c r="C808" s="8" t="s">
        <v>3</v>
      </c>
      <c r="D808" s="17"/>
      <c r="E808" s="8" t="s">
        <v>3</v>
      </c>
    </row>
    <row r="809" ht="22.5" customHeight="1">
      <c r="A809" s="15"/>
      <c r="B809" s="16"/>
      <c r="C809" s="8" t="s">
        <v>3</v>
      </c>
      <c r="D809" s="17"/>
      <c r="E809" s="8" t="s">
        <v>3</v>
      </c>
    </row>
    <row r="810" ht="22.5" customHeight="1">
      <c r="A810" s="15"/>
      <c r="B810" s="16"/>
      <c r="C810" s="8" t="s">
        <v>3</v>
      </c>
      <c r="D810" s="17"/>
      <c r="E810" s="8" t="s">
        <v>3</v>
      </c>
    </row>
    <row r="811" ht="22.5" customHeight="1">
      <c r="A811" s="15"/>
      <c r="B811" s="16"/>
      <c r="C811" s="8" t="s">
        <v>3</v>
      </c>
      <c r="D811" s="17"/>
      <c r="E811" s="8" t="s">
        <v>3</v>
      </c>
    </row>
    <row r="812" ht="22.5" customHeight="1">
      <c r="A812" s="15"/>
      <c r="B812" s="16"/>
      <c r="C812" s="8" t="s">
        <v>3</v>
      </c>
      <c r="D812" s="17"/>
      <c r="E812" s="8" t="s">
        <v>3</v>
      </c>
    </row>
    <row r="813" ht="22.5" customHeight="1">
      <c r="A813" s="15"/>
      <c r="B813" s="16"/>
      <c r="C813" s="8" t="s">
        <v>3</v>
      </c>
      <c r="D813" s="17"/>
      <c r="E813" s="8" t="s">
        <v>3</v>
      </c>
    </row>
    <row r="814" ht="22.5" customHeight="1">
      <c r="A814" s="15"/>
      <c r="B814" s="16"/>
      <c r="C814" s="8" t="s">
        <v>3</v>
      </c>
      <c r="D814" s="17"/>
      <c r="E814" s="8" t="s">
        <v>3</v>
      </c>
    </row>
    <row r="815" ht="22.5" customHeight="1">
      <c r="A815" s="15"/>
      <c r="B815" s="16"/>
      <c r="C815" s="8" t="s">
        <v>3</v>
      </c>
      <c r="D815" s="17"/>
      <c r="E815" s="8" t="s">
        <v>3</v>
      </c>
    </row>
    <row r="816" ht="22.5" customHeight="1">
      <c r="A816" s="15"/>
      <c r="B816" s="16"/>
      <c r="C816" s="8" t="s">
        <v>3</v>
      </c>
      <c r="D816" s="17"/>
      <c r="E816" s="8" t="s">
        <v>3</v>
      </c>
    </row>
    <row r="817" ht="22.5" customHeight="1">
      <c r="A817" s="15"/>
      <c r="B817" s="16"/>
      <c r="C817" s="8" t="s">
        <v>3</v>
      </c>
      <c r="D817" s="17"/>
      <c r="E817" s="8" t="s">
        <v>3</v>
      </c>
    </row>
    <row r="818" ht="22.5" customHeight="1">
      <c r="A818" s="15"/>
      <c r="B818" s="16"/>
      <c r="C818" s="8" t="s">
        <v>3</v>
      </c>
      <c r="D818" s="17"/>
      <c r="E818" s="8" t="s">
        <v>3</v>
      </c>
    </row>
    <row r="819" ht="22.5" customHeight="1">
      <c r="A819" s="15"/>
      <c r="B819" s="16"/>
      <c r="C819" s="8" t="s">
        <v>3</v>
      </c>
      <c r="D819" s="17"/>
      <c r="E819" s="8" t="s">
        <v>3</v>
      </c>
    </row>
    <row r="820" ht="22.5" customHeight="1">
      <c r="A820" s="15"/>
      <c r="B820" s="16"/>
      <c r="C820" s="8" t="s">
        <v>3</v>
      </c>
      <c r="D820" s="17"/>
      <c r="E820" s="8" t="s">
        <v>3</v>
      </c>
    </row>
    <row r="821" ht="22.5" customHeight="1">
      <c r="A821" s="15"/>
      <c r="B821" s="16"/>
      <c r="C821" s="8" t="s">
        <v>3</v>
      </c>
      <c r="D821" s="17"/>
      <c r="E821" s="8" t="s">
        <v>3</v>
      </c>
    </row>
    <row r="822" ht="22.5" customHeight="1">
      <c r="A822" s="15"/>
      <c r="B822" s="16"/>
      <c r="C822" s="8" t="s">
        <v>3</v>
      </c>
      <c r="D822" s="17"/>
      <c r="E822" s="8" t="s">
        <v>3</v>
      </c>
    </row>
    <row r="823" ht="22.5" customHeight="1">
      <c r="A823" s="15"/>
      <c r="B823" s="16"/>
      <c r="C823" s="8" t="s">
        <v>3</v>
      </c>
      <c r="D823" s="17"/>
      <c r="E823" s="8" t="s">
        <v>3</v>
      </c>
    </row>
    <row r="824" ht="22.5" customHeight="1">
      <c r="A824" s="15"/>
      <c r="B824" s="16"/>
      <c r="C824" s="8" t="s">
        <v>3</v>
      </c>
      <c r="D824" s="17"/>
      <c r="E824" s="8" t="s">
        <v>3</v>
      </c>
    </row>
    <row r="825" ht="22.5" customHeight="1">
      <c r="A825" s="15"/>
      <c r="B825" s="16"/>
      <c r="C825" s="8" t="s">
        <v>3</v>
      </c>
      <c r="D825" s="17"/>
      <c r="E825" s="8" t="s">
        <v>3</v>
      </c>
    </row>
    <row r="826" ht="22.5" customHeight="1">
      <c r="A826" s="15"/>
      <c r="B826" s="16"/>
      <c r="C826" s="8" t="s">
        <v>3</v>
      </c>
      <c r="D826" s="17"/>
      <c r="E826" s="8" t="s">
        <v>3</v>
      </c>
    </row>
    <row r="827" ht="22.5" customHeight="1">
      <c r="A827" s="15"/>
      <c r="B827" s="16"/>
      <c r="C827" s="8" t="s">
        <v>3</v>
      </c>
      <c r="D827" s="17"/>
      <c r="E827" s="8" t="s">
        <v>3</v>
      </c>
    </row>
    <row r="828" ht="22.5" customHeight="1">
      <c r="A828" s="15"/>
      <c r="B828" s="16"/>
      <c r="C828" s="8" t="s">
        <v>3</v>
      </c>
      <c r="D828" s="17"/>
      <c r="E828" s="8" t="s">
        <v>3</v>
      </c>
    </row>
    <row r="829" ht="22.5" customHeight="1">
      <c r="A829" s="15"/>
      <c r="B829" s="16"/>
      <c r="C829" s="8" t="s">
        <v>3</v>
      </c>
      <c r="D829" s="17"/>
      <c r="E829" s="8" t="s">
        <v>3</v>
      </c>
    </row>
    <row r="830" ht="22.5" customHeight="1">
      <c r="A830" s="15"/>
      <c r="B830" s="16"/>
      <c r="C830" s="8" t="s">
        <v>3</v>
      </c>
      <c r="D830" s="17"/>
      <c r="E830" s="8" t="s">
        <v>3</v>
      </c>
    </row>
    <row r="831" ht="22.5" customHeight="1">
      <c r="A831" s="15"/>
      <c r="B831" s="16"/>
      <c r="C831" s="8" t="s">
        <v>3</v>
      </c>
      <c r="D831" s="17"/>
      <c r="E831" s="8" t="s">
        <v>3</v>
      </c>
    </row>
    <row r="832" ht="22.5" customHeight="1">
      <c r="A832" s="15"/>
      <c r="B832" s="16"/>
      <c r="C832" s="8" t="s">
        <v>3</v>
      </c>
      <c r="D832" s="17"/>
      <c r="E832" s="8" t="s">
        <v>3</v>
      </c>
    </row>
    <row r="833" ht="22.5" customHeight="1">
      <c r="A833" s="15"/>
      <c r="B833" s="16"/>
      <c r="C833" s="8" t="s">
        <v>3</v>
      </c>
      <c r="D833" s="17"/>
      <c r="E833" s="8" t="s">
        <v>3</v>
      </c>
    </row>
    <row r="834" ht="22.5" customHeight="1">
      <c r="A834" s="15"/>
      <c r="B834" s="16"/>
      <c r="C834" s="8" t="s">
        <v>3</v>
      </c>
      <c r="D834" s="17"/>
      <c r="E834" s="8" t="s">
        <v>3</v>
      </c>
    </row>
    <row r="835" ht="22.5" customHeight="1">
      <c r="A835" s="15"/>
      <c r="B835" s="16"/>
      <c r="C835" s="8" t="s">
        <v>3</v>
      </c>
      <c r="D835" s="17"/>
      <c r="E835" s="8" t="s">
        <v>3</v>
      </c>
    </row>
    <row r="836" ht="22.5" customHeight="1">
      <c r="A836" s="15"/>
      <c r="B836" s="16"/>
      <c r="C836" s="8" t="s">
        <v>3</v>
      </c>
      <c r="D836" s="17"/>
      <c r="E836" s="8" t="s">
        <v>3</v>
      </c>
    </row>
    <row r="837" ht="22.5" customHeight="1">
      <c r="A837" s="15"/>
      <c r="B837" s="16"/>
      <c r="C837" s="8" t="s">
        <v>3</v>
      </c>
      <c r="D837" s="17"/>
      <c r="E837" s="8" t="s">
        <v>3</v>
      </c>
    </row>
    <row r="838" ht="22.5" customHeight="1">
      <c r="A838" s="15"/>
      <c r="B838" s="16"/>
      <c r="C838" s="8" t="s">
        <v>3</v>
      </c>
      <c r="D838" s="17"/>
      <c r="E838" s="8" t="s">
        <v>3</v>
      </c>
    </row>
    <row r="839" ht="22.5" customHeight="1">
      <c r="A839" s="15"/>
      <c r="B839" s="16"/>
      <c r="C839" s="8" t="s">
        <v>3</v>
      </c>
      <c r="D839" s="17"/>
      <c r="E839" s="8" t="s">
        <v>3</v>
      </c>
    </row>
    <row r="840" ht="22.5" customHeight="1">
      <c r="A840" s="15"/>
      <c r="B840" s="16"/>
      <c r="C840" s="8" t="s">
        <v>3</v>
      </c>
      <c r="D840" s="17"/>
      <c r="E840" s="8" t="s">
        <v>3</v>
      </c>
    </row>
    <row r="841" ht="22.5" customHeight="1">
      <c r="A841" s="15"/>
      <c r="B841" s="16"/>
      <c r="C841" s="8" t="s">
        <v>3</v>
      </c>
      <c r="D841" s="17"/>
      <c r="E841" s="8" t="s">
        <v>3</v>
      </c>
    </row>
    <row r="842" ht="22.5" customHeight="1">
      <c r="A842" s="15"/>
      <c r="B842" s="16"/>
      <c r="C842" s="8" t="s">
        <v>3</v>
      </c>
      <c r="D842" s="17"/>
      <c r="E842" s="8" t="s">
        <v>3</v>
      </c>
    </row>
    <row r="843" ht="22.5" customHeight="1">
      <c r="A843" s="15"/>
      <c r="B843" s="16"/>
      <c r="C843" s="8" t="s">
        <v>3</v>
      </c>
      <c r="D843" s="17"/>
      <c r="E843" s="8" t="s">
        <v>3</v>
      </c>
    </row>
    <row r="844" ht="22.5" customHeight="1">
      <c r="A844" s="15"/>
      <c r="B844" s="16"/>
      <c r="C844" s="8" t="s">
        <v>3</v>
      </c>
      <c r="D844" s="17"/>
      <c r="E844" s="8" t="s">
        <v>3</v>
      </c>
    </row>
    <row r="845" ht="22.5" customHeight="1">
      <c r="A845" s="15"/>
      <c r="B845" s="16"/>
      <c r="C845" s="8" t="s">
        <v>3</v>
      </c>
      <c r="D845" s="17"/>
      <c r="E845" s="8" t="s">
        <v>3</v>
      </c>
    </row>
    <row r="846" ht="22.5" customHeight="1">
      <c r="A846" s="15"/>
      <c r="B846" s="16"/>
      <c r="C846" s="8" t="s">
        <v>3</v>
      </c>
      <c r="D846" s="17"/>
      <c r="E846" s="8" t="s">
        <v>3</v>
      </c>
    </row>
    <row r="847" ht="22.5" customHeight="1">
      <c r="A847" s="15"/>
      <c r="B847" s="16"/>
      <c r="C847" s="8" t="s">
        <v>3</v>
      </c>
      <c r="D847" s="17"/>
      <c r="E847" s="8" t="s">
        <v>3</v>
      </c>
    </row>
    <row r="848" ht="22.5" customHeight="1">
      <c r="A848" s="15"/>
      <c r="B848" s="16"/>
      <c r="C848" s="8" t="s">
        <v>3</v>
      </c>
      <c r="D848" s="17"/>
      <c r="E848" s="8" t="s">
        <v>3</v>
      </c>
    </row>
    <row r="849" ht="22.5" customHeight="1">
      <c r="A849" s="15"/>
      <c r="B849" s="16"/>
      <c r="C849" s="8" t="s">
        <v>3</v>
      </c>
      <c r="D849" s="17"/>
      <c r="E849" s="8" t="s">
        <v>3</v>
      </c>
    </row>
    <row r="850" ht="22.5" customHeight="1">
      <c r="A850" s="15"/>
      <c r="B850" s="16"/>
      <c r="C850" s="8" t="s">
        <v>3</v>
      </c>
      <c r="D850" s="17"/>
      <c r="E850" s="8" t="s">
        <v>3</v>
      </c>
    </row>
    <row r="851" ht="22.5" customHeight="1">
      <c r="A851" s="15"/>
      <c r="B851" s="16"/>
      <c r="C851" s="8" t="s">
        <v>3</v>
      </c>
      <c r="D851" s="17"/>
      <c r="E851" s="8" t="s">
        <v>3</v>
      </c>
    </row>
    <row r="852" ht="22.5" customHeight="1">
      <c r="A852" s="15"/>
      <c r="B852" s="16"/>
      <c r="C852" s="8" t="s">
        <v>3</v>
      </c>
      <c r="D852" s="17"/>
      <c r="E852" s="8" t="s">
        <v>3</v>
      </c>
    </row>
    <row r="853" ht="22.5" customHeight="1">
      <c r="A853" s="15"/>
      <c r="B853" s="16"/>
      <c r="C853" s="8" t="s">
        <v>3</v>
      </c>
      <c r="D853" s="17"/>
      <c r="E853" s="8" t="s">
        <v>3</v>
      </c>
    </row>
    <row r="854" ht="22.5" customHeight="1">
      <c r="A854" s="15"/>
      <c r="B854" s="16"/>
      <c r="C854" s="8" t="s">
        <v>3</v>
      </c>
      <c r="D854" s="17"/>
      <c r="E854" s="8" t="s">
        <v>3</v>
      </c>
    </row>
    <row r="855" ht="22.5" customHeight="1">
      <c r="A855" s="15"/>
      <c r="B855" s="16"/>
      <c r="C855" s="8" t="s">
        <v>3</v>
      </c>
      <c r="D855" s="17"/>
      <c r="E855" s="8" t="s">
        <v>3</v>
      </c>
    </row>
    <row r="856" ht="22.5" customHeight="1">
      <c r="A856" s="15"/>
      <c r="B856" s="16"/>
      <c r="C856" s="8" t="s">
        <v>3</v>
      </c>
      <c r="D856" s="17"/>
      <c r="E856" s="8" t="s">
        <v>3</v>
      </c>
    </row>
    <row r="857" ht="22.5" customHeight="1">
      <c r="A857" s="15"/>
      <c r="B857" s="16"/>
      <c r="C857" s="8" t="s">
        <v>3</v>
      </c>
      <c r="D857" s="17"/>
      <c r="E857" s="8" t="s">
        <v>3</v>
      </c>
    </row>
    <row r="858" ht="22.5" customHeight="1">
      <c r="A858" s="15"/>
      <c r="B858" s="16"/>
      <c r="C858" s="8" t="s">
        <v>3</v>
      </c>
      <c r="D858" s="17"/>
      <c r="E858" s="8" t="s">
        <v>3</v>
      </c>
    </row>
    <row r="859" ht="22.5" customHeight="1">
      <c r="A859" s="15"/>
      <c r="B859" s="16"/>
      <c r="C859" s="8" t="s">
        <v>3</v>
      </c>
      <c r="D859" s="17"/>
      <c r="E859" s="8" t="s">
        <v>3</v>
      </c>
    </row>
    <row r="860" ht="22.5" customHeight="1">
      <c r="A860" s="15"/>
      <c r="B860" s="16"/>
      <c r="C860" s="8" t="s">
        <v>3</v>
      </c>
      <c r="D860" s="17"/>
      <c r="E860" s="8" t="s">
        <v>3</v>
      </c>
    </row>
    <row r="861" ht="22.5" customHeight="1">
      <c r="A861" s="15"/>
      <c r="B861" s="16"/>
      <c r="C861" s="8" t="s">
        <v>3</v>
      </c>
      <c r="D861" s="17"/>
      <c r="E861" s="8" t="s">
        <v>3</v>
      </c>
    </row>
    <row r="862" ht="22.5" customHeight="1">
      <c r="A862" s="15"/>
      <c r="B862" s="16"/>
      <c r="C862" s="8" t="s">
        <v>3</v>
      </c>
      <c r="D862" s="17"/>
      <c r="E862" s="8" t="s">
        <v>3</v>
      </c>
    </row>
    <row r="863" ht="22.5" customHeight="1">
      <c r="A863" s="15"/>
      <c r="B863" s="16"/>
      <c r="C863" s="8" t="s">
        <v>3</v>
      </c>
      <c r="D863" s="17"/>
      <c r="E863" s="8" t="s">
        <v>3</v>
      </c>
    </row>
    <row r="864" ht="22.5" customHeight="1">
      <c r="A864" s="15"/>
      <c r="B864" s="16"/>
      <c r="C864" s="8" t="s">
        <v>3</v>
      </c>
      <c r="D864" s="17"/>
      <c r="E864" s="8" t="s">
        <v>3</v>
      </c>
    </row>
    <row r="865" ht="22.5" customHeight="1">
      <c r="A865" s="15"/>
      <c r="B865" s="16"/>
      <c r="C865" s="8" t="s">
        <v>3</v>
      </c>
      <c r="D865" s="17"/>
      <c r="E865" s="8" t="s">
        <v>3</v>
      </c>
    </row>
    <row r="866" ht="22.5" customHeight="1">
      <c r="A866" s="15"/>
      <c r="B866" s="16"/>
      <c r="C866" s="8" t="s">
        <v>3</v>
      </c>
      <c r="D866" s="17"/>
      <c r="E866" s="8" t="s">
        <v>3</v>
      </c>
    </row>
    <row r="867" ht="22.5" customHeight="1">
      <c r="A867" s="15"/>
      <c r="B867" s="16"/>
      <c r="C867" s="8" t="s">
        <v>3</v>
      </c>
      <c r="D867" s="17"/>
      <c r="E867" s="8" t="s">
        <v>3</v>
      </c>
    </row>
    <row r="868" ht="22.5" customHeight="1">
      <c r="A868" s="15"/>
      <c r="B868" s="16"/>
      <c r="C868" s="8" t="s">
        <v>3</v>
      </c>
      <c r="D868" s="17"/>
      <c r="E868" s="8" t="s">
        <v>3</v>
      </c>
    </row>
    <row r="869" ht="22.5" customHeight="1">
      <c r="A869" s="15"/>
      <c r="B869" s="16"/>
      <c r="C869" s="8" t="s">
        <v>3</v>
      </c>
      <c r="D869" s="17"/>
      <c r="E869" s="8" t="s">
        <v>3</v>
      </c>
    </row>
    <row r="870" ht="22.5" customHeight="1">
      <c r="A870" s="15"/>
      <c r="B870" s="16"/>
      <c r="C870" s="8" t="s">
        <v>3</v>
      </c>
      <c r="D870" s="17"/>
      <c r="E870" s="8" t="s">
        <v>3</v>
      </c>
    </row>
    <row r="871" ht="22.5" customHeight="1">
      <c r="A871" s="15"/>
      <c r="B871" s="16"/>
      <c r="C871" s="8" t="s">
        <v>3</v>
      </c>
      <c r="D871" s="17"/>
      <c r="E871" s="8" t="s">
        <v>3</v>
      </c>
    </row>
    <row r="872" ht="22.5" customHeight="1">
      <c r="A872" s="15"/>
      <c r="B872" s="16"/>
      <c r="C872" s="8" t="s">
        <v>3</v>
      </c>
      <c r="D872" s="17"/>
      <c r="E872" s="8" t="s">
        <v>3</v>
      </c>
    </row>
    <row r="873" ht="22.5" customHeight="1">
      <c r="A873" s="15"/>
      <c r="B873" s="16"/>
      <c r="C873" s="8" t="s">
        <v>3</v>
      </c>
      <c r="D873" s="17"/>
      <c r="E873" s="8" t="s">
        <v>3</v>
      </c>
    </row>
    <row r="874" ht="22.5" customHeight="1">
      <c r="A874" s="15"/>
      <c r="B874" s="16"/>
      <c r="C874" s="8" t="s">
        <v>3</v>
      </c>
      <c r="D874" s="17"/>
      <c r="E874" s="8" t="s">
        <v>3</v>
      </c>
    </row>
    <row r="875" ht="22.5" customHeight="1">
      <c r="A875" s="15"/>
      <c r="B875" s="16"/>
      <c r="C875" s="8" t="s">
        <v>3</v>
      </c>
      <c r="D875" s="17"/>
      <c r="E875" s="8" t="s">
        <v>3</v>
      </c>
    </row>
    <row r="876" ht="22.5" customHeight="1">
      <c r="A876" s="15"/>
      <c r="B876" s="16"/>
      <c r="C876" s="8" t="s">
        <v>3</v>
      </c>
      <c r="D876" s="17"/>
      <c r="E876" s="8" t="s">
        <v>3</v>
      </c>
    </row>
    <row r="877" ht="22.5" customHeight="1">
      <c r="A877" s="15"/>
      <c r="B877" s="16"/>
      <c r="C877" s="8" t="s">
        <v>3</v>
      </c>
      <c r="D877" s="17"/>
      <c r="E877" s="8" t="s">
        <v>3</v>
      </c>
    </row>
    <row r="878" ht="22.5" customHeight="1">
      <c r="A878" s="15"/>
      <c r="B878" s="16"/>
      <c r="C878" s="8" t="s">
        <v>3</v>
      </c>
      <c r="D878" s="17"/>
      <c r="E878" s="8" t="s">
        <v>3</v>
      </c>
    </row>
    <row r="879" ht="22.5" customHeight="1">
      <c r="A879" s="15"/>
      <c r="B879" s="16"/>
      <c r="C879" s="8" t="s">
        <v>3</v>
      </c>
      <c r="D879" s="17"/>
      <c r="E879" s="8" t="s">
        <v>3</v>
      </c>
    </row>
    <row r="880" ht="22.5" customHeight="1">
      <c r="A880" s="15"/>
      <c r="B880" s="16"/>
      <c r="C880" s="8" t="s">
        <v>3</v>
      </c>
      <c r="D880" s="17"/>
      <c r="E880" s="8" t="s">
        <v>3</v>
      </c>
    </row>
    <row r="881" ht="22.5" customHeight="1">
      <c r="A881" s="15"/>
      <c r="B881" s="16"/>
      <c r="C881" s="8" t="s">
        <v>3</v>
      </c>
      <c r="D881" s="17"/>
      <c r="E881" s="8" t="s">
        <v>3</v>
      </c>
    </row>
    <row r="882" ht="22.5" customHeight="1">
      <c r="A882" s="15"/>
      <c r="B882" s="16"/>
      <c r="C882" s="8" t="s">
        <v>3</v>
      </c>
      <c r="D882" s="17"/>
      <c r="E882" s="8" t="s">
        <v>3</v>
      </c>
    </row>
    <row r="883" ht="22.5" customHeight="1">
      <c r="A883" s="15"/>
      <c r="B883" s="16"/>
      <c r="C883" s="8" t="s">
        <v>3</v>
      </c>
      <c r="D883" s="17"/>
      <c r="E883" s="8" t="s">
        <v>3</v>
      </c>
    </row>
    <row r="884" ht="22.5" customHeight="1">
      <c r="A884" s="15"/>
      <c r="B884" s="16"/>
      <c r="C884" s="8" t="s">
        <v>3</v>
      </c>
      <c r="D884" s="17"/>
      <c r="E884" s="8" t="s">
        <v>3</v>
      </c>
    </row>
    <row r="885" ht="22.5" customHeight="1">
      <c r="A885" s="15"/>
      <c r="B885" s="16"/>
      <c r="C885" s="8" t="s">
        <v>3</v>
      </c>
      <c r="D885" s="17"/>
      <c r="E885" s="8" t="s">
        <v>3</v>
      </c>
    </row>
    <row r="886" ht="22.5" customHeight="1">
      <c r="A886" s="15"/>
      <c r="B886" s="16"/>
      <c r="C886" s="8" t="s">
        <v>3</v>
      </c>
      <c r="D886" s="17"/>
      <c r="E886" s="8" t="s">
        <v>3</v>
      </c>
    </row>
    <row r="887" ht="22.5" customHeight="1">
      <c r="A887" s="15"/>
      <c r="B887" s="16"/>
      <c r="C887" s="8" t="s">
        <v>3</v>
      </c>
      <c r="D887" s="17"/>
      <c r="E887" s="8" t="s">
        <v>3</v>
      </c>
    </row>
    <row r="888" ht="22.5" customHeight="1">
      <c r="A888" s="15"/>
      <c r="B888" s="16"/>
      <c r="C888" s="8" t="s">
        <v>3</v>
      </c>
      <c r="D888" s="17"/>
      <c r="E888" s="8" t="s">
        <v>3</v>
      </c>
    </row>
    <row r="889" ht="22.5" customHeight="1">
      <c r="A889" s="15"/>
      <c r="B889" s="16"/>
      <c r="C889" s="8" t="s">
        <v>3</v>
      </c>
      <c r="D889" s="17"/>
      <c r="E889" s="8" t="s">
        <v>3</v>
      </c>
    </row>
    <row r="890" ht="22.5" customHeight="1">
      <c r="A890" s="15"/>
      <c r="B890" s="16"/>
      <c r="C890" s="8" t="s">
        <v>3</v>
      </c>
      <c r="D890" s="17"/>
      <c r="E890" s="8" t="s">
        <v>3</v>
      </c>
    </row>
    <row r="891" ht="22.5" customHeight="1">
      <c r="A891" s="15"/>
      <c r="B891" s="16"/>
      <c r="C891" s="8" t="s">
        <v>3</v>
      </c>
      <c r="D891" s="17"/>
      <c r="E891" s="8" t="s">
        <v>3</v>
      </c>
    </row>
    <row r="892" ht="22.5" customHeight="1">
      <c r="A892" s="15"/>
      <c r="B892" s="16"/>
      <c r="C892" s="8" t="s">
        <v>3</v>
      </c>
      <c r="D892" s="17"/>
      <c r="E892" s="8" t="s">
        <v>3</v>
      </c>
    </row>
    <row r="893" ht="22.5" customHeight="1">
      <c r="A893" s="15"/>
      <c r="B893" s="16"/>
      <c r="C893" s="8" t="s">
        <v>3</v>
      </c>
      <c r="D893" s="17"/>
      <c r="E893" s="8" t="s">
        <v>3</v>
      </c>
    </row>
    <row r="894" ht="22.5" customHeight="1">
      <c r="A894" s="15"/>
      <c r="B894" s="16"/>
      <c r="C894" s="8" t="s">
        <v>3</v>
      </c>
      <c r="D894" s="17"/>
      <c r="E894" s="8" t="s">
        <v>3</v>
      </c>
    </row>
    <row r="895" ht="22.5" customHeight="1">
      <c r="A895" s="15"/>
      <c r="B895" s="16"/>
      <c r="C895" s="8" t="s">
        <v>3</v>
      </c>
      <c r="D895" s="17"/>
      <c r="E895" s="8" t="s">
        <v>3</v>
      </c>
    </row>
    <row r="896" ht="22.5" customHeight="1">
      <c r="A896" s="15"/>
      <c r="B896" s="16"/>
      <c r="C896" s="8" t="s">
        <v>3</v>
      </c>
      <c r="D896" s="17"/>
      <c r="E896" s="8" t="s">
        <v>3</v>
      </c>
    </row>
    <row r="897" ht="22.5" customHeight="1">
      <c r="A897" s="15"/>
      <c r="B897" s="16"/>
      <c r="C897" s="8" t="s">
        <v>3</v>
      </c>
      <c r="D897" s="17"/>
      <c r="E897" s="8" t="s">
        <v>3</v>
      </c>
    </row>
    <row r="898" ht="22.5" customHeight="1">
      <c r="A898" s="15"/>
      <c r="B898" s="16"/>
      <c r="C898" s="8" t="s">
        <v>3</v>
      </c>
      <c r="D898" s="17"/>
      <c r="E898" s="8" t="s">
        <v>3</v>
      </c>
    </row>
    <row r="899" ht="22.5" customHeight="1">
      <c r="A899" s="15"/>
      <c r="B899" s="16"/>
      <c r="C899" s="8" t="s">
        <v>3</v>
      </c>
      <c r="D899" s="17"/>
      <c r="E899" s="8" t="s">
        <v>3</v>
      </c>
    </row>
    <row r="900" ht="22.5" customHeight="1">
      <c r="A900" s="15"/>
      <c r="B900" s="16"/>
      <c r="C900" s="8" t="s">
        <v>3</v>
      </c>
      <c r="D900" s="17"/>
      <c r="E900" s="8" t="s">
        <v>3</v>
      </c>
    </row>
    <row r="901" ht="22.5" customHeight="1">
      <c r="A901" s="15"/>
      <c r="B901" s="16"/>
      <c r="C901" s="8" t="s">
        <v>3</v>
      </c>
      <c r="D901" s="17"/>
      <c r="E901" s="8" t="s">
        <v>3</v>
      </c>
    </row>
    <row r="902" ht="22.5" customHeight="1">
      <c r="A902" s="15"/>
      <c r="B902" s="16"/>
      <c r="C902" s="8" t="s">
        <v>3</v>
      </c>
      <c r="D902" s="17"/>
      <c r="E902" s="8" t="s">
        <v>3</v>
      </c>
    </row>
    <row r="903" ht="22.5" customHeight="1">
      <c r="A903" s="15"/>
      <c r="B903" s="16"/>
      <c r="C903" s="8" t="s">
        <v>3</v>
      </c>
      <c r="D903" s="17"/>
      <c r="E903" s="8" t="s">
        <v>3</v>
      </c>
    </row>
    <row r="904" ht="22.5" customHeight="1">
      <c r="A904" s="15"/>
      <c r="B904" s="16"/>
      <c r="C904" s="8" t="s">
        <v>3</v>
      </c>
      <c r="D904" s="17"/>
      <c r="E904" s="8" t="s">
        <v>3</v>
      </c>
    </row>
    <row r="905" ht="22.5" customHeight="1">
      <c r="A905" s="15"/>
      <c r="B905" s="16"/>
      <c r="C905" s="8" t="s">
        <v>3</v>
      </c>
      <c r="D905" s="17"/>
      <c r="E905" s="8" t="s">
        <v>3</v>
      </c>
    </row>
    <row r="906" ht="22.5" customHeight="1">
      <c r="A906" s="15"/>
      <c r="B906" s="16"/>
      <c r="C906" s="8" t="s">
        <v>3</v>
      </c>
      <c r="D906" s="17"/>
      <c r="E906" s="8" t="s">
        <v>3</v>
      </c>
    </row>
    <row r="907" ht="22.5" customHeight="1">
      <c r="A907" s="15"/>
      <c r="B907" s="16"/>
      <c r="C907" s="8" t="s">
        <v>3</v>
      </c>
      <c r="D907" s="17"/>
      <c r="E907" s="8" t="s">
        <v>3</v>
      </c>
    </row>
    <row r="908" ht="22.5" customHeight="1">
      <c r="A908" s="15"/>
      <c r="B908" s="16"/>
      <c r="C908" s="8" t="s">
        <v>3</v>
      </c>
      <c r="D908" s="17"/>
      <c r="E908" s="8" t="s">
        <v>3</v>
      </c>
    </row>
    <row r="909" ht="22.5" customHeight="1">
      <c r="A909" s="15"/>
      <c r="B909" s="16"/>
      <c r="C909" s="8" t="s">
        <v>3</v>
      </c>
      <c r="D909" s="17"/>
      <c r="E909" s="8" t="s">
        <v>3</v>
      </c>
    </row>
    <row r="910" ht="22.5" customHeight="1">
      <c r="A910" s="15"/>
      <c r="B910" s="16"/>
      <c r="C910" s="8" t="s">
        <v>3</v>
      </c>
      <c r="D910" s="17"/>
      <c r="E910" s="8" t="s">
        <v>3</v>
      </c>
    </row>
    <row r="911" ht="22.5" customHeight="1">
      <c r="A911" s="15"/>
      <c r="B911" s="16"/>
      <c r="C911" s="8" t="s">
        <v>3</v>
      </c>
      <c r="D911" s="17"/>
      <c r="E911" s="8" t="s">
        <v>3</v>
      </c>
    </row>
    <row r="912" ht="22.5" customHeight="1">
      <c r="A912" s="15"/>
      <c r="B912" s="16"/>
      <c r="C912" s="8" t="s">
        <v>3</v>
      </c>
      <c r="D912" s="17"/>
      <c r="E912" s="8" t="s">
        <v>3</v>
      </c>
    </row>
    <row r="913" ht="22.5" customHeight="1">
      <c r="A913" s="15"/>
      <c r="B913" s="16"/>
      <c r="C913" s="8" t="s">
        <v>3</v>
      </c>
      <c r="D913" s="17"/>
      <c r="E913" s="8" t="s">
        <v>3</v>
      </c>
    </row>
    <row r="914" ht="22.5" customHeight="1">
      <c r="A914" s="15"/>
      <c r="B914" s="16"/>
      <c r="C914" s="8" t="s">
        <v>3</v>
      </c>
      <c r="D914" s="17"/>
      <c r="E914" s="8" t="s">
        <v>3</v>
      </c>
    </row>
    <row r="915" ht="22.5" customHeight="1">
      <c r="A915" s="15"/>
      <c r="B915" s="16"/>
      <c r="C915" s="8" t="s">
        <v>3</v>
      </c>
      <c r="D915" s="17"/>
      <c r="E915" s="8" t="s">
        <v>3</v>
      </c>
    </row>
    <row r="916" ht="22.5" customHeight="1">
      <c r="A916" s="15"/>
      <c r="B916" s="16"/>
      <c r="C916" s="8" t="s">
        <v>3</v>
      </c>
      <c r="D916" s="17"/>
      <c r="E916" s="8" t="s">
        <v>3</v>
      </c>
    </row>
    <row r="917" ht="22.5" customHeight="1">
      <c r="A917" s="15"/>
      <c r="B917" s="16"/>
      <c r="C917" s="8" t="s">
        <v>3</v>
      </c>
      <c r="D917" s="17"/>
      <c r="E917" s="8" t="s">
        <v>3</v>
      </c>
    </row>
    <row r="918" ht="22.5" customHeight="1">
      <c r="A918" s="15"/>
      <c r="B918" s="16"/>
      <c r="C918" s="8" t="s">
        <v>3</v>
      </c>
      <c r="D918" s="17"/>
      <c r="E918" s="8" t="s">
        <v>3</v>
      </c>
    </row>
    <row r="919" ht="22.5" customHeight="1">
      <c r="A919" s="15"/>
      <c r="B919" s="16"/>
      <c r="C919" s="8" t="s">
        <v>3</v>
      </c>
      <c r="D919" s="17"/>
      <c r="E919" s="8" t="s">
        <v>3</v>
      </c>
    </row>
    <row r="920" ht="22.5" customHeight="1">
      <c r="A920" s="15"/>
      <c r="B920" s="16"/>
      <c r="C920" s="8" t="s">
        <v>3</v>
      </c>
      <c r="D920" s="17"/>
      <c r="E920" s="8" t="s">
        <v>3</v>
      </c>
    </row>
    <row r="921" ht="22.5" customHeight="1">
      <c r="A921" s="15"/>
      <c r="B921" s="16"/>
      <c r="C921" s="8" t="s">
        <v>3</v>
      </c>
      <c r="D921" s="17"/>
      <c r="E921" s="8" t="s">
        <v>3</v>
      </c>
    </row>
    <row r="922" ht="22.5" customHeight="1">
      <c r="A922" s="15"/>
      <c r="B922" s="16"/>
      <c r="C922" s="8" t="s">
        <v>3</v>
      </c>
      <c r="D922" s="17"/>
      <c r="E922" s="8" t="s">
        <v>3</v>
      </c>
    </row>
    <row r="923" ht="22.5" customHeight="1">
      <c r="A923" s="15"/>
      <c r="B923" s="16"/>
      <c r="C923" s="8" t="s">
        <v>3</v>
      </c>
      <c r="D923" s="17"/>
      <c r="E923" s="8" t="s">
        <v>3</v>
      </c>
    </row>
    <row r="924" ht="22.5" customHeight="1">
      <c r="A924" s="15"/>
      <c r="B924" s="16"/>
      <c r="C924" s="8" t="s">
        <v>3</v>
      </c>
      <c r="D924" s="17"/>
      <c r="E924" s="8" t="s">
        <v>3</v>
      </c>
    </row>
    <row r="925" ht="22.5" customHeight="1">
      <c r="A925" s="15"/>
      <c r="B925" s="16"/>
      <c r="C925" s="8" t="s">
        <v>3</v>
      </c>
      <c r="D925" s="17"/>
      <c r="E925" s="8" t="s">
        <v>3</v>
      </c>
    </row>
    <row r="926" ht="22.5" customHeight="1">
      <c r="A926" s="15"/>
      <c r="B926" s="16"/>
      <c r="C926" s="8" t="s">
        <v>3</v>
      </c>
      <c r="D926" s="17"/>
      <c r="E926" s="8" t="s">
        <v>3</v>
      </c>
    </row>
    <row r="927" ht="22.5" customHeight="1">
      <c r="A927" s="15"/>
      <c r="B927" s="16"/>
      <c r="C927" s="8" t="s">
        <v>3</v>
      </c>
      <c r="D927" s="17"/>
      <c r="E927" s="8" t="s">
        <v>3</v>
      </c>
    </row>
    <row r="928" ht="22.5" customHeight="1">
      <c r="A928" s="15"/>
      <c r="B928" s="16"/>
      <c r="C928" s="8" t="s">
        <v>3</v>
      </c>
      <c r="D928" s="17"/>
      <c r="E928" s="8" t="s">
        <v>3</v>
      </c>
    </row>
    <row r="929" ht="22.5" customHeight="1">
      <c r="A929" s="15"/>
      <c r="B929" s="16"/>
      <c r="C929" s="8" t="s">
        <v>3</v>
      </c>
      <c r="D929" s="17"/>
      <c r="E929" s="8" t="s">
        <v>3</v>
      </c>
    </row>
    <row r="930" ht="22.5" customHeight="1">
      <c r="A930" s="15"/>
      <c r="B930" s="16"/>
      <c r="C930" s="8" t="s">
        <v>3</v>
      </c>
      <c r="D930" s="17"/>
      <c r="E930" s="8" t="s">
        <v>3</v>
      </c>
    </row>
    <row r="931" ht="22.5" customHeight="1">
      <c r="A931" s="15"/>
      <c r="B931" s="16"/>
      <c r="C931" s="8" t="s">
        <v>3</v>
      </c>
      <c r="D931" s="17"/>
      <c r="E931" s="8" t="s">
        <v>3</v>
      </c>
    </row>
    <row r="932" ht="22.5" customHeight="1">
      <c r="A932" s="15"/>
      <c r="B932" s="16"/>
      <c r="C932" s="8" t="s">
        <v>3</v>
      </c>
      <c r="D932" s="17"/>
      <c r="E932" s="8" t="s">
        <v>3</v>
      </c>
    </row>
    <row r="933" ht="22.5" customHeight="1">
      <c r="A933" s="15"/>
      <c r="B933" s="16"/>
      <c r="C933" s="8" t="s">
        <v>3</v>
      </c>
      <c r="D933" s="17"/>
      <c r="E933" s="8" t="s">
        <v>3</v>
      </c>
    </row>
    <row r="934" ht="22.5" customHeight="1">
      <c r="A934" s="15"/>
      <c r="B934" s="16"/>
      <c r="C934" s="8" t="s">
        <v>3</v>
      </c>
      <c r="D934" s="17"/>
      <c r="E934" s="8" t="s">
        <v>3</v>
      </c>
    </row>
    <row r="935" ht="22.5" customHeight="1">
      <c r="A935" s="15"/>
      <c r="B935" s="16"/>
      <c r="C935" s="8" t="s">
        <v>3</v>
      </c>
      <c r="D935" s="17"/>
      <c r="E935" s="8" t="s">
        <v>3</v>
      </c>
    </row>
    <row r="936" ht="22.5" customHeight="1">
      <c r="A936" s="15"/>
      <c r="B936" s="16"/>
      <c r="C936" s="8" t="s">
        <v>3</v>
      </c>
      <c r="D936" s="17"/>
      <c r="E936" s="8" t="s">
        <v>3</v>
      </c>
    </row>
    <row r="937" ht="22.5" customHeight="1">
      <c r="A937" s="15"/>
      <c r="B937" s="16"/>
      <c r="C937" s="8" t="s">
        <v>3</v>
      </c>
      <c r="D937" s="17"/>
      <c r="E937" s="8" t="s">
        <v>3</v>
      </c>
    </row>
    <row r="938" ht="22.5" customHeight="1">
      <c r="A938" s="15"/>
      <c r="B938" s="16"/>
      <c r="C938" s="8" t="s">
        <v>3</v>
      </c>
      <c r="D938" s="17"/>
      <c r="E938" s="8" t="s">
        <v>3</v>
      </c>
    </row>
    <row r="939" ht="22.5" customHeight="1">
      <c r="A939" s="15"/>
      <c r="B939" s="16"/>
      <c r="C939" s="8" t="s">
        <v>3</v>
      </c>
      <c r="D939" s="17"/>
      <c r="E939" s="8" t="s">
        <v>3</v>
      </c>
    </row>
    <row r="940" ht="22.5" customHeight="1">
      <c r="A940" s="15"/>
      <c r="B940" s="16"/>
      <c r="C940" s="8" t="s">
        <v>3</v>
      </c>
      <c r="D940" s="17"/>
      <c r="E940" s="8" t="s">
        <v>3</v>
      </c>
    </row>
    <row r="941" ht="22.5" customHeight="1">
      <c r="A941" s="15"/>
      <c r="B941" s="16"/>
      <c r="C941" s="8" t="s">
        <v>3</v>
      </c>
      <c r="D941" s="17"/>
      <c r="E941" s="8" t="s">
        <v>3</v>
      </c>
    </row>
    <row r="942" ht="22.5" customHeight="1">
      <c r="A942" s="15"/>
      <c r="B942" s="16"/>
      <c r="C942" s="8" t="s">
        <v>3</v>
      </c>
      <c r="D942" s="17"/>
      <c r="E942" s="8" t="s">
        <v>3</v>
      </c>
    </row>
    <row r="943" ht="22.5" customHeight="1">
      <c r="A943" s="15"/>
      <c r="B943" s="16"/>
      <c r="C943" s="8" t="s">
        <v>3</v>
      </c>
      <c r="D943" s="17"/>
      <c r="E943" s="8" t="s">
        <v>3</v>
      </c>
    </row>
    <row r="944" ht="22.5" customHeight="1">
      <c r="A944" s="15"/>
      <c r="B944" s="16"/>
      <c r="C944" s="8" t="s">
        <v>3</v>
      </c>
      <c r="D944" s="17"/>
      <c r="E944" s="8" t="s">
        <v>3</v>
      </c>
    </row>
    <row r="945" ht="22.5" customHeight="1">
      <c r="A945" s="15"/>
      <c r="B945" s="16"/>
      <c r="C945" s="8" t="s">
        <v>3</v>
      </c>
      <c r="D945" s="17"/>
      <c r="E945" s="8" t="s">
        <v>3</v>
      </c>
    </row>
    <row r="946" ht="22.5" customHeight="1">
      <c r="A946" s="15"/>
      <c r="B946" s="16"/>
      <c r="C946" s="8" t="s">
        <v>3</v>
      </c>
      <c r="D946" s="17"/>
      <c r="E946" s="8" t="s">
        <v>3</v>
      </c>
    </row>
    <row r="947" ht="22.5" customHeight="1">
      <c r="A947" s="15"/>
      <c r="B947" s="16"/>
      <c r="C947" s="8" t="s">
        <v>3</v>
      </c>
      <c r="D947" s="17"/>
      <c r="E947" s="8" t="s">
        <v>3</v>
      </c>
    </row>
    <row r="948" ht="22.5" customHeight="1">
      <c r="A948" s="15"/>
      <c r="B948" s="16"/>
      <c r="C948" s="8" t="s">
        <v>3</v>
      </c>
      <c r="D948" s="17"/>
      <c r="E948" s="8" t="s">
        <v>3</v>
      </c>
    </row>
    <row r="949" ht="22.5" customHeight="1">
      <c r="A949" s="15"/>
      <c r="B949" s="16"/>
      <c r="C949" s="8" t="s">
        <v>3</v>
      </c>
      <c r="D949" s="17"/>
      <c r="E949" s="8" t="s">
        <v>3</v>
      </c>
    </row>
    <row r="950" ht="22.5" customHeight="1">
      <c r="A950" s="15"/>
      <c r="B950" s="16"/>
      <c r="C950" s="8" t="s">
        <v>3</v>
      </c>
      <c r="D950" s="17"/>
      <c r="E950" s="8" t="s">
        <v>3</v>
      </c>
    </row>
    <row r="951" ht="22.5" customHeight="1">
      <c r="A951" s="15"/>
      <c r="B951" s="16"/>
      <c r="C951" s="8" t="s">
        <v>3</v>
      </c>
      <c r="D951" s="17"/>
      <c r="E951" s="8" t="s">
        <v>3</v>
      </c>
    </row>
    <row r="952" ht="22.5" customHeight="1">
      <c r="A952" s="15"/>
      <c r="B952" s="16"/>
      <c r="C952" s="8" t="s">
        <v>3</v>
      </c>
      <c r="D952" s="17"/>
      <c r="E952" s="8" t="s">
        <v>3</v>
      </c>
    </row>
    <row r="953" ht="22.5" customHeight="1">
      <c r="A953" s="15"/>
      <c r="B953" s="16"/>
      <c r="C953" s="8" t="s">
        <v>3</v>
      </c>
      <c r="D953" s="17"/>
      <c r="E953" s="8" t="s">
        <v>3</v>
      </c>
    </row>
    <row r="954" ht="22.5" customHeight="1">
      <c r="A954" s="15"/>
      <c r="B954" s="16"/>
      <c r="C954" s="8" t="s">
        <v>3</v>
      </c>
      <c r="D954" s="17"/>
      <c r="E954" s="8" t="s">
        <v>3</v>
      </c>
    </row>
    <row r="955" ht="22.5" customHeight="1">
      <c r="A955" s="15"/>
      <c r="B955" s="16"/>
      <c r="C955" s="8" t="s">
        <v>3</v>
      </c>
      <c r="D955" s="17"/>
      <c r="E955" s="8" t="s">
        <v>3</v>
      </c>
    </row>
    <row r="956" ht="22.5" customHeight="1">
      <c r="A956" s="15"/>
      <c r="B956" s="16"/>
      <c r="C956" s="8" t="s">
        <v>3</v>
      </c>
      <c r="D956" s="17"/>
      <c r="E956" s="8" t="s">
        <v>3</v>
      </c>
    </row>
    <row r="957" ht="22.5" customHeight="1">
      <c r="A957" s="15"/>
      <c r="B957" s="16"/>
      <c r="C957" s="8" t="s">
        <v>3</v>
      </c>
      <c r="D957" s="17"/>
      <c r="E957" s="8" t="s">
        <v>3</v>
      </c>
    </row>
    <row r="958" ht="22.5" customHeight="1">
      <c r="A958" s="15"/>
      <c r="B958" s="16"/>
      <c r="C958" s="8" t="s">
        <v>3</v>
      </c>
      <c r="D958" s="17"/>
      <c r="E958" s="8" t="s">
        <v>3</v>
      </c>
    </row>
    <row r="959" ht="22.5" customHeight="1">
      <c r="A959" s="15"/>
      <c r="B959" s="16"/>
      <c r="C959" s="8" t="s">
        <v>3</v>
      </c>
      <c r="D959" s="17"/>
      <c r="E959" s="8" t="s">
        <v>3</v>
      </c>
    </row>
    <row r="960" ht="22.5" customHeight="1">
      <c r="A960" s="15"/>
      <c r="B960" s="16"/>
      <c r="C960" s="8" t="s">
        <v>3</v>
      </c>
      <c r="D960" s="17"/>
      <c r="E960" s="8" t="s">
        <v>3</v>
      </c>
    </row>
    <row r="961" ht="22.5" customHeight="1">
      <c r="A961" s="15"/>
      <c r="B961" s="16"/>
      <c r="C961" s="8" t="s">
        <v>3</v>
      </c>
      <c r="D961" s="17"/>
      <c r="E961" s="8" t="s">
        <v>3</v>
      </c>
    </row>
    <row r="962" ht="22.5" customHeight="1">
      <c r="A962" s="15"/>
      <c r="B962" s="16"/>
      <c r="C962" s="8" t="s">
        <v>3</v>
      </c>
      <c r="D962" s="17"/>
      <c r="E962" s="8" t="s">
        <v>3</v>
      </c>
    </row>
    <row r="963" ht="22.5" customHeight="1">
      <c r="A963" s="15"/>
      <c r="B963" s="16"/>
      <c r="C963" s="8" t="s">
        <v>3</v>
      </c>
      <c r="D963" s="17"/>
      <c r="E963" s="8" t="s">
        <v>3</v>
      </c>
    </row>
    <row r="964" ht="22.5" customHeight="1">
      <c r="A964" s="15"/>
      <c r="B964" s="16"/>
      <c r="C964" s="8" t="s">
        <v>3</v>
      </c>
      <c r="D964" s="17"/>
      <c r="E964" s="8" t="s">
        <v>3</v>
      </c>
    </row>
    <row r="965" ht="22.5" customHeight="1">
      <c r="A965" s="15"/>
      <c r="B965" s="16"/>
      <c r="C965" s="8" t="s">
        <v>3</v>
      </c>
      <c r="D965" s="17"/>
      <c r="E965" s="8" t="s">
        <v>3</v>
      </c>
    </row>
    <row r="966" ht="22.5" customHeight="1">
      <c r="A966" s="15"/>
      <c r="B966" s="16"/>
      <c r="C966" s="8" t="s">
        <v>3</v>
      </c>
      <c r="D966" s="17"/>
      <c r="E966" s="8" t="s">
        <v>3</v>
      </c>
    </row>
    <row r="967" ht="22.5" customHeight="1">
      <c r="A967" s="15"/>
      <c r="B967" s="16"/>
      <c r="C967" s="8" t="s">
        <v>3</v>
      </c>
      <c r="D967" s="17"/>
      <c r="E967" s="8" t="s">
        <v>3</v>
      </c>
    </row>
    <row r="968" ht="22.5" customHeight="1">
      <c r="A968" s="15"/>
      <c r="B968" s="16"/>
      <c r="C968" s="8" t="s">
        <v>3</v>
      </c>
      <c r="D968" s="17"/>
      <c r="E968" s="8" t="s">
        <v>3</v>
      </c>
    </row>
    <row r="969" ht="22.5" customHeight="1">
      <c r="A969" s="15"/>
      <c r="B969" s="16"/>
      <c r="C969" s="8" t="s">
        <v>3</v>
      </c>
      <c r="D969" s="17"/>
      <c r="E969" s="8" t="s">
        <v>3</v>
      </c>
    </row>
    <row r="970" ht="22.5" customHeight="1">
      <c r="A970" s="15"/>
      <c r="B970" s="16"/>
      <c r="C970" s="8" t="s">
        <v>3</v>
      </c>
      <c r="D970" s="17"/>
      <c r="E970" s="8" t="s">
        <v>3</v>
      </c>
    </row>
    <row r="971" ht="22.5" customHeight="1">
      <c r="A971" s="15"/>
      <c r="B971" s="16"/>
      <c r="C971" s="8" t="s">
        <v>3</v>
      </c>
      <c r="D971" s="17"/>
      <c r="E971" s="8" t="s">
        <v>3</v>
      </c>
    </row>
    <row r="972" ht="22.5" customHeight="1">
      <c r="A972" s="15"/>
      <c r="B972" s="16"/>
      <c r="C972" s="8" t="s">
        <v>3</v>
      </c>
      <c r="D972" s="17"/>
      <c r="E972" s="8" t="s">
        <v>3</v>
      </c>
    </row>
    <row r="973" ht="22.5" customHeight="1">
      <c r="A973" s="15"/>
      <c r="B973" s="16"/>
      <c r="C973" s="8" t="s">
        <v>3</v>
      </c>
      <c r="D973" s="17"/>
      <c r="E973" s="8" t="s">
        <v>3</v>
      </c>
    </row>
    <row r="974" ht="22.5" customHeight="1">
      <c r="A974" s="15"/>
      <c r="B974" s="16"/>
      <c r="C974" s="8" t="s">
        <v>3</v>
      </c>
      <c r="D974" s="17"/>
      <c r="E974" s="8" t="s">
        <v>3</v>
      </c>
    </row>
    <row r="975" ht="22.5" customHeight="1">
      <c r="A975" s="15"/>
      <c r="B975" s="16"/>
      <c r="C975" s="8" t="s">
        <v>3</v>
      </c>
      <c r="D975" s="17"/>
      <c r="E975" s="8" t="s">
        <v>3</v>
      </c>
    </row>
    <row r="976" ht="22.5" customHeight="1">
      <c r="A976" s="15"/>
      <c r="B976" s="16"/>
      <c r="C976" s="8" t="s">
        <v>3</v>
      </c>
      <c r="D976" s="17"/>
      <c r="E976" s="8" t="s">
        <v>3</v>
      </c>
    </row>
    <row r="977" ht="22.5" customHeight="1">
      <c r="A977" s="15"/>
      <c r="B977" s="16"/>
      <c r="C977" s="8" t="s">
        <v>3</v>
      </c>
      <c r="D977" s="17"/>
      <c r="E977" s="8" t="s">
        <v>3</v>
      </c>
    </row>
    <row r="978" ht="22.5" customHeight="1">
      <c r="A978" s="15"/>
      <c r="B978" s="16"/>
      <c r="C978" s="8" t="s">
        <v>3</v>
      </c>
      <c r="D978" s="17"/>
      <c r="E978" s="8" t="s">
        <v>3</v>
      </c>
    </row>
    <row r="979" ht="22.5" customHeight="1">
      <c r="A979" s="15"/>
      <c r="B979" s="16"/>
      <c r="C979" s="8" t="s">
        <v>3</v>
      </c>
      <c r="D979" s="17"/>
      <c r="E979" s="8" t="s">
        <v>3</v>
      </c>
    </row>
    <row r="980" ht="22.5" customHeight="1">
      <c r="A980" s="15"/>
      <c r="B980" s="16"/>
      <c r="C980" s="8" t="s">
        <v>3</v>
      </c>
      <c r="D980" s="17"/>
      <c r="E980" s="8" t="s">
        <v>3</v>
      </c>
    </row>
    <row r="981" ht="22.5" customHeight="1">
      <c r="A981" s="15"/>
      <c r="B981" s="16"/>
      <c r="C981" s="8" t="s">
        <v>3</v>
      </c>
      <c r="D981" s="17"/>
      <c r="E981" s="8" t="s">
        <v>3</v>
      </c>
    </row>
    <row r="982" ht="22.5" customHeight="1">
      <c r="A982" s="15"/>
      <c r="B982" s="16"/>
      <c r="C982" s="8" t="s">
        <v>3</v>
      </c>
      <c r="D982" s="17"/>
      <c r="E982" s="8" t="s">
        <v>3</v>
      </c>
    </row>
    <row r="983" ht="22.5" customHeight="1">
      <c r="A983" s="15"/>
      <c r="B983" s="16"/>
      <c r="C983" s="8" t="s">
        <v>3</v>
      </c>
      <c r="D983" s="17"/>
      <c r="E983" s="8" t="s">
        <v>3</v>
      </c>
    </row>
    <row r="984" ht="22.5" customHeight="1">
      <c r="A984" s="15"/>
      <c r="B984" s="16"/>
      <c r="C984" s="8" t="s">
        <v>3</v>
      </c>
      <c r="D984" s="17"/>
      <c r="E984" s="8" t="s">
        <v>3</v>
      </c>
    </row>
    <row r="985" ht="22.5" customHeight="1">
      <c r="A985" s="15"/>
      <c r="B985" s="16"/>
      <c r="C985" s="8" t="s">
        <v>3</v>
      </c>
      <c r="D985" s="17"/>
      <c r="E985" s="8" t="s">
        <v>3</v>
      </c>
    </row>
    <row r="986" ht="22.5" customHeight="1">
      <c r="A986" s="15"/>
      <c r="B986" s="16"/>
      <c r="C986" s="8" t="s">
        <v>3</v>
      </c>
      <c r="D986" s="17"/>
      <c r="E986" s="8" t="s">
        <v>3</v>
      </c>
    </row>
    <row r="987" ht="22.5" customHeight="1">
      <c r="A987" s="15"/>
      <c r="B987" s="16"/>
      <c r="C987" s="8" t="s">
        <v>3</v>
      </c>
      <c r="D987" s="17"/>
      <c r="E987" s="8" t="s">
        <v>3</v>
      </c>
    </row>
    <row r="988" ht="22.5" customHeight="1">
      <c r="A988" s="15"/>
      <c r="B988" s="16"/>
      <c r="C988" s="8" t="s">
        <v>3</v>
      </c>
      <c r="D988" s="17"/>
      <c r="E988" s="8" t="s">
        <v>3</v>
      </c>
    </row>
    <row r="989" ht="22.5" customHeight="1">
      <c r="A989" s="15"/>
      <c r="B989" s="16"/>
      <c r="C989" s="8" t="s">
        <v>3</v>
      </c>
      <c r="D989" s="17"/>
      <c r="E989" s="8" t="s">
        <v>3</v>
      </c>
    </row>
    <row r="990" ht="22.5" customHeight="1">
      <c r="A990" s="15"/>
      <c r="B990" s="16"/>
      <c r="C990" s="8" t="s">
        <v>3</v>
      </c>
      <c r="D990" s="17"/>
      <c r="E990" s="8" t="s">
        <v>3</v>
      </c>
    </row>
    <row r="991" ht="22.5" customHeight="1">
      <c r="A991" s="15"/>
      <c r="B991" s="16"/>
      <c r="C991" s="8" t="s">
        <v>3</v>
      </c>
      <c r="D991" s="17"/>
      <c r="E991" s="8" t="s">
        <v>3</v>
      </c>
    </row>
    <row r="992" ht="22.5" customHeight="1">
      <c r="A992" s="15"/>
      <c r="B992" s="16"/>
      <c r="C992" s="8" t="s">
        <v>3</v>
      </c>
      <c r="D992" s="17"/>
      <c r="E992" s="8" t="s">
        <v>3</v>
      </c>
    </row>
    <row r="993" ht="22.5" customHeight="1">
      <c r="A993" s="15"/>
      <c r="B993" s="16"/>
      <c r="C993" s="8" t="s">
        <v>3</v>
      </c>
      <c r="D993" s="17"/>
      <c r="E993" s="8" t="s">
        <v>3</v>
      </c>
    </row>
    <row r="994" ht="22.5" customHeight="1">
      <c r="A994" s="15"/>
      <c r="B994" s="16"/>
      <c r="C994" s="8" t="s">
        <v>3</v>
      </c>
      <c r="D994" s="17"/>
      <c r="E994" s="8" t="s">
        <v>3</v>
      </c>
    </row>
    <row r="995" ht="22.5" customHeight="1">
      <c r="A995" s="15"/>
      <c r="B995" s="16"/>
      <c r="C995" s="8" t="s">
        <v>3</v>
      </c>
      <c r="D995" s="17"/>
      <c r="E995" s="8" t="s">
        <v>3</v>
      </c>
    </row>
    <row r="996" ht="22.5" customHeight="1">
      <c r="A996" s="15"/>
      <c r="B996" s="16"/>
      <c r="C996" s="8" t="s">
        <v>3</v>
      </c>
      <c r="D996" s="17"/>
      <c r="E996" s="8" t="s">
        <v>3</v>
      </c>
    </row>
    <row r="997" ht="22.5" customHeight="1">
      <c r="A997" s="15"/>
      <c r="B997" s="16"/>
      <c r="C997" s="8" t="s">
        <v>3</v>
      </c>
      <c r="D997" s="17"/>
      <c r="E997" s="8" t="s">
        <v>3</v>
      </c>
    </row>
    <row r="998" ht="22.5" customHeight="1">
      <c r="A998" s="18"/>
      <c r="B998" s="19"/>
      <c r="C998" s="20" t="s">
        <v>3</v>
      </c>
      <c r="D998" s="21"/>
      <c r="E998" s="20" t="s">
        <v>3</v>
      </c>
    </row>
  </sheetData>
  <dataValidations>
    <dataValidation type="decimal" operator="greaterThan" allowBlank="1" showDropDown="1" showErrorMessage="1" sqref="D2:D998">
      <formula1>0.0</formula1>
    </dataValidation>
    <dataValidation type="list" allowBlank="1" showErrorMessage="1" sqref="B2:B998">
      <formula1>'Check-in'!$B$2:$B998</formula1>
    </dataValidation>
    <dataValidation type="custom" allowBlank="1" showDropDown="1" showErrorMessage="1" sqref="A2:A344 A346:A998">
      <formula1>OR(NOT(ISERROR(DATEVALUE(A2))), AND(ISNUMBER(A2), LEFT(CELL("format", A2))="D"))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50.13"/>
    <col customWidth="1" min="4" max="5" width="15.13"/>
  </cols>
  <sheetData>
    <row r="1" ht="35.25" customHeight="1">
      <c r="A1" s="22" t="s">
        <v>7</v>
      </c>
      <c r="B1" s="22" t="s">
        <v>1</v>
      </c>
      <c r="C1" s="23" t="s">
        <v>8</v>
      </c>
      <c r="D1" s="22" t="s">
        <v>2</v>
      </c>
      <c r="E1" s="22" t="s">
        <v>9</v>
      </c>
    </row>
    <row r="2" ht="22.5" customHeight="1">
      <c r="A2" s="24">
        <v>45008.0</v>
      </c>
      <c r="B2" s="25" t="s">
        <v>10</v>
      </c>
      <c r="C2" s="26" t="s">
        <v>11</v>
      </c>
      <c r="D2" s="27">
        <v>2.0</v>
      </c>
      <c r="E2" s="27" t="s">
        <v>6</v>
      </c>
    </row>
    <row r="3" ht="22.5" customHeight="1">
      <c r="A3" s="24">
        <v>45008.0</v>
      </c>
      <c r="B3" s="28" t="s">
        <v>12</v>
      </c>
      <c r="C3" s="29" t="s">
        <v>13</v>
      </c>
      <c r="D3" s="30">
        <v>7.0</v>
      </c>
      <c r="E3" s="30" t="s">
        <v>6</v>
      </c>
    </row>
    <row r="4" ht="22.5" customHeight="1">
      <c r="A4" s="24">
        <v>45008.0</v>
      </c>
      <c r="B4" s="31" t="s">
        <v>14</v>
      </c>
      <c r="C4" s="32" t="s">
        <v>15</v>
      </c>
      <c r="D4" s="30">
        <v>20.0</v>
      </c>
      <c r="E4" s="30" t="s">
        <v>6</v>
      </c>
    </row>
    <row r="5" ht="22.5" customHeight="1">
      <c r="A5" s="24">
        <v>45008.0</v>
      </c>
      <c r="B5" s="28" t="s">
        <v>16</v>
      </c>
      <c r="C5" s="29" t="s">
        <v>17</v>
      </c>
      <c r="D5" s="30">
        <v>1.0</v>
      </c>
      <c r="E5" s="30" t="s">
        <v>6</v>
      </c>
    </row>
    <row r="6" ht="22.5" customHeight="1">
      <c r="A6" s="24">
        <v>45008.0</v>
      </c>
      <c r="B6" s="31" t="s">
        <v>18</v>
      </c>
      <c r="C6" s="32" t="s">
        <v>19</v>
      </c>
      <c r="D6" s="30">
        <v>2.0</v>
      </c>
      <c r="E6" s="30" t="s">
        <v>6</v>
      </c>
    </row>
    <row r="7" ht="22.5" customHeight="1">
      <c r="A7" s="24"/>
      <c r="B7" s="31" t="s">
        <v>20</v>
      </c>
      <c r="C7" s="32" t="s">
        <v>21</v>
      </c>
      <c r="D7" s="30"/>
      <c r="E7" s="30" t="s">
        <v>6</v>
      </c>
    </row>
    <row r="8" ht="22.5" customHeight="1">
      <c r="A8" s="24">
        <v>45008.0</v>
      </c>
      <c r="B8" s="28" t="s">
        <v>22</v>
      </c>
      <c r="C8" s="29" t="s">
        <v>23</v>
      </c>
      <c r="D8" s="30">
        <v>2.0</v>
      </c>
      <c r="E8" s="30" t="s">
        <v>6</v>
      </c>
    </row>
    <row r="9" ht="22.5" customHeight="1">
      <c r="A9" s="24">
        <v>45008.0</v>
      </c>
      <c r="B9" s="28" t="s">
        <v>24</v>
      </c>
      <c r="C9" s="29" t="s">
        <v>25</v>
      </c>
      <c r="D9" s="30">
        <v>6.0</v>
      </c>
      <c r="E9" s="30" t="s">
        <v>6</v>
      </c>
    </row>
    <row r="10" ht="22.5" customHeight="1">
      <c r="A10" s="24"/>
      <c r="B10" s="31" t="s">
        <v>26</v>
      </c>
      <c r="C10" s="32" t="s">
        <v>27</v>
      </c>
      <c r="D10" s="30"/>
      <c r="E10" s="30" t="s">
        <v>6</v>
      </c>
    </row>
    <row r="11" ht="22.5" customHeight="1">
      <c r="A11" s="24"/>
      <c r="B11" s="28" t="s">
        <v>28</v>
      </c>
      <c r="C11" s="29" t="s">
        <v>29</v>
      </c>
      <c r="D11" s="30"/>
      <c r="E11" s="30" t="s">
        <v>6</v>
      </c>
    </row>
    <row r="12" ht="22.5" customHeight="1">
      <c r="A12" s="24"/>
      <c r="B12" s="28" t="s">
        <v>30</v>
      </c>
      <c r="C12" s="29" t="s">
        <v>31</v>
      </c>
      <c r="D12" s="33"/>
      <c r="E12" s="30" t="s">
        <v>6</v>
      </c>
    </row>
    <row r="13" ht="22.5" customHeight="1">
      <c r="A13" s="24">
        <v>45008.0</v>
      </c>
      <c r="B13" s="28" t="s">
        <v>32</v>
      </c>
      <c r="C13" s="29" t="s">
        <v>33</v>
      </c>
      <c r="D13" s="30">
        <v>9.0</v>
      </c>
      <c r="E13" s="30" t="s">
        <v>6</v>
      </c>
    </row>
    <row r="14" ht="22.5" customHeight="1">
      <c r="A14" s="24"/>
      <c r="B14" s="28" t="s">
        <v>34</v>
      </c>
      <c r="C14" s="29" t="s">
        <v>35</v>
      </c>
      <c r="D14" s="34"/>
      <c r="E14" s="30" t="s">
        <v>6</v>
      </c>
    </row>
    <row r="15" ht="22.5" customHeight="1">
      <c r="A15" s="24">
        <v>45008.0</v>
      </c>
      <c r="B15" s="28" t="s">
        <v>36</v>
      </c>
      <c r="C15" s="29" t="s">
        <v>37</v>
      </c>
      <c r="D15" s="30">
        <v>76.0</v>
      </c>
      <c r="E15" s="30" t="s">
        <v>6</v>
      </c>
    </row>
    <row r="16" ht="22.5" customHeight="1">
      <c r="A16" s="24"/>
      <c r="B16" s="28" t="s">
        <v>38</v>
      </c>
      <c r="C16" s="29" t="s">
        <v>39</v>
      </c>
      <c r="D16" s="30"/>
      <c r="E16" s="30" t="s">
        <v>6</v>
      </c>
    </row>
    <row r="17" ht="22.5" customHeight="1">
      <c r="A17" s="24"/>
      <c r="B17" s="28" t="s">
        <v>40</v>
      </c>
      <c r="C17" s="29" t="s">
        <v>41</v>
      </c>
      <c r="D17" s="30"/>
      <c r="E17" s="30" t="s">
        <v>6</v>
      </c>
    </row>
    <row r="18" ht="22.5" customHeight="1">
      <c r="A18" s="24">
        <v>45008.0</v>
      </c>
      <c r="B18" s="31" t="s">
        <v>42</v>
      </c>
      <c r="C18" s="32" t="s">
        <v>43</v>
      </c>
      <c r="D18" s="30">
        <v>13.0</v>
      </c>
      <c r="E18" s="30" t="s">
        <v>6</v>
      </c>
    </row>
    <row r="19" ht="22.5" customHeight="1">
      <c r="A19" s="24"/>
      <c r="B19" s="28" t="s">
        <v>44</v>
      </c>
      <c r="C19" s="29" t="s">
        <v>45</v>
      </c>
      <c r="D19" s="30"/>
      <c r="E19" s="30" t="s">
        <v>6</v>
      </c>
    </row>
    <row r="20" ht="22.5" customHeight="1">
      <c r="A20" s="24">
        <v>45008.0</v>
      </c>
      <c r="B20" s="28" t="s">
        <v>46</v>
      </c>
      <c r="C20" s="29" t="s">
        <v>47</v>
      </c>
      <c r="D20" s="30">
        <v>734.0</v>
      </c>
      <c r="E20" s="30" t="s">
        <v>6</v>
      </c>
    </row>
    <row r="21" ht="22.5" customHeight="1">
      <c r="A21" s="24">
        <v>45008.0</v>
      </c>
      <c r="B21" s="28" t="s">
        <v>48</v>
      </c>
      <c r="C21" s="29" t="s">
        <v>49</v>
      </c>
      <c r="D21" s="30">
        <v>28.0</v>
      </c>
      <c r="E21" s="30" t="s">
        <v>6</v>
      </c>
    </row>
    <row r="22" ht="22.5" customHeight="1">
      <c r="A22" s="24">
        <v>45008.0</v>
      </c>
      <c r="B22" s="31" t="s">
        <v>50</v>
      </c>
      <c r="C22" s="32" t="s">
        <v>51</v>
      </c>
      <c r="D22" s="30">
        <v>2.0</v>
      </c>
      <c r="E22" s="30" t="s">
        <v>6</v>
      </c>
    </row>
    <row r="23" ht="22.5" customHeight="1">
      <c r="A23" s="24">
        <v>45008.0</v>
      </c>
      <c r="B23" s="28" t="s">
        <v>52</v>
      </c>
      <c r="C23" s="29" t="s">
        <v>53</v>
      </c>
      <c r="D23" s="30">
        <v>11.0</v>
      </c>
      <c r="E23" s="30" t="s">
        <v>6</v>
      </c>
    </row>
    <row r="24" ht="22.5" customHeight="1">
      <c r="A24" s="24"/>
      <c r="B24" s="28" t="s">
        <v>54</v>
      </c>
      <c r="C24" s="29" t="s">
        <v>55</v>
      </c>
      <c r="D24" s="30"/>
      <c r="E24" s="30" t="s">
        <v>6</v>
      </c>
    </row>
    <row r="25" ht="22.5" customHeight="1">
      <c r="A25" s="24">
        <v>45008.0</v>
      </c>
      <c r="B25" s="28" t="s">
        <v>56</v>
      </c>
      <c r="C25" s="29" t="s">
        <v>57</v>
      </c>
      <c r="D25" s="30">
        <v>1.0</v>
      </c>
      <c r="E25" s="30" t="s">
        <v>6</v>
      </c>
    </row>
    <row r="26" ht="22.5" customHeight="1">
      <c r="A26" s="24">
        <v>45008.0</v>
      </c>
      <c r="B26" s="28" t="s">
        <v>58</v>
      </c>
      <c r="C26" s="29" t="s">
        <v>59</v>
      </c>
      <c r="D26" s="30">
        <v>7.0</v>
      </c>
      <c r="E26" s="30" t="s">
        <v>6</v>
      </c>
    </row>
    <row r="27" ht="22.5" customHeight="1">
      <c r="A27" s="24">
        <v>45008.0</v>
      </c>
      <c r="B27" s="31" t="s">
        <v>60</v>
      </c>
      <c r="C27" s="32" t="s">
        <v>61</v>
      </c>
      <c r="D27" s="30">
        <v>2.0</v>
      </c>
      <c r="E27" s="30" t="s">
        <v>6</v>
      </c>
    </row>
    <row r="28" ht="22.5" customHeight="1">
      <c r="A28" s="24"/>
      <c r="B28" s="28" t="s">
        <v>62</v>
      </c>
      <c r="C28" s="29" t="s">
        <v>63</v>
      </c>
      <c r="D28" s="33"/>
      <c r="E28" s="30" t="s">
        <v>6</v>
      </c>
    </row>
    <row r="29" ht="22.5" customHeight="1">
      <c r="A29" s="24">
        <v>45008.0</v>
      </c>
      <c r="B29" s="28" t="s">
        <v>64</v>
      </c>
      <c r="C29" s="29" t="s">
        <v>65</v>
      </c>
      <c r="D29" s="30">
        <v>73.0</v>
      </c>
      <c r="E29" s="30" t="s">
        <v>6</v>
      </c>
    </row>
    <row r="30" ht="22.5" customHeight="1">
      <c r="A30" s="24"/>
      <c r="B30" s="28" t="s">
        <v>66</v>
      </c>
      <c r="C30" s="29" t="s">
        <v>67</v>
      </c>
      <c r="D30" s="30"/>
      <c r="E30" s="30" t="s">
        <v>6</v>
      </c>
    </row>
    <row r="31" ht="22.5" customHeight="1">
      <c r="A31" s="24">
        <v>45008.0</v>
      </c>
      <c r="B31" s="31" t="s">
        <v>68</v>
      </c>
      <c r="C31" s="32" t="s">
        <v>69</v>
      </c>
      <c r="D31" s="30">
        <v>7.0</v>
      </c>
      <c r="E31" s="30" t="s">
        <v>6</v>
      </c>
    </row>
    <row r="32" ht="22.5" customHeight="1">
      <c r="A32" s="24"/>
      <c r="B32" s="28" t="s">
        <v>70</v>
      </c>
      <c r="C32" s="29" t="s">
        <v>71</v>
      </c>
      <c r="D32" s="30"/>
      <c r="E32" s="30" t="s">
        <v>6</v>
      </c>
    </row>
    <row r="33" ht="22.5" customHeight="1">
      <c r="A33" s="24">
        <v>45008.0</v>
      </c>
      <c r="B33" s="28" t="s">
        <v>72</v>
      </c>
      <c r="C33" s="29" t="s">
        <v>73</v>
      </c>
      <c r="D33" s="30">
        <v>3.0</v>
      </c>
      <c r="E33" s="30" t="s">
        <v>6</v>
      </c>
    </row>
    <row r="34" ht="22.5" customHeight="1">
      <c r="A34" s="24">
        <v>45008.0</v>
      </c>
      <c r="B34" s="31" t="s">
        <v>74</v>
      </c>
      <c r="C34" s="32" t="s">
        <v>75</v>
      </c>
      <c r="D34" s="30">
        <v>1.0</v>
      </c>
      <c r="E34" s="30" t="s">
        <v>6</v>
      </c>
    </row>
    <row r="35" ht="22.5" customHeight="1">
      <c r="A35" s="24"/>
      <c r="B35" s="28" t="s">
        <v>76</v>
      </c>
      <c r="C35" s="29" t="s">
        <v>77</v>
      </c>
      <c r="D35" s="30"/>
      <c r="E35" s="30" t="s">
        <v>6</v>
      </c>
    </row>
    <row r="36" ht="22.5" customHeight="1">
      <c r="A36" s="24">
        <v>45008.0</v>
      </c>
      <c r="B36" s="28" t="s">
        <v>78</v>
      </c>
      <c r="C36" s="29" t="s">
        <v>79</v>
      </c>
      <c r="D36" s="30">
        <v>5.0</v>
      </c>
      <c r="E36" s="30" t="s">
        <v>6</v>
      </c>
    </row>
    <row r="37" ht="22.5" customHeight="1">
      <c r="A37" s="24">
        <v>45008.0</v>
      </c>
      <c r="B37" s="28" t="s">
        <v>80</v>
      </c>
      <c r="C37" s="29" t="s">
        <v>81</v>
      </c>
      <c r="D37" s="30">
        <v>2.0</v>
      </c>
      <c r="E37" s="30" t="s">
        <v>6</v>
      </c>
    </row>
    <row r="38" ht="22.5" customHeight="1">
      <c r="A38" s="24">
        <v>45008.0</v>
      </c>
      <c r="B38" s="31" t="s">
        <v>82</v>
      </c>
      <c r="C38" s="32" t="s">
        <v>83</v>
      </c>
      <c r="D38" s="30">
        <v>15.0</v>
      </c>
      <c r="E38" s="30" t="s">
        <v>6</v>
      </c>
    </row>
    <row r="39" ht="22.5" customHeight="1">
      <c r="A39" s="35">
        <v>45011.0</v>
      </c>
      <c r="B39" s="28" t="s">
        <v>84</v>
      </c>
      <c r="C39" s="29" t="s">
        <v>85</v>
      </c>
      <c r="D39" s="30">
        <v>8.0</v>
      </c>
      <c r="E39" s="30" t="s">
        <v>6</v>
      </c>
    </row>
    <row r="40" ht="22.5" customHeight="1">
      <c r="A40" s="24">
        <v>45011.0</v>
      </c>
      <c r="B40" s="28" t="s">
        <v>86</v>
      </c>
      <c r="C40" s="29" t="s">
        <v>87</v>
      </c>
      <c r="D40" s="30">
        <v>1.0</v>
      </c>
      <c r="E40" s="30" t="s">
        <v>6</v>
      </c>
    </row>
    <row r="41" ht="22.5" customHeight="1">
      <c r="A41" s="35">
        <v>45011.0</v>
      </c>
      <c r="B41" s="28" t="s">
        <v>88</v>
      </c>
      <c r="C41" s="29" t="s">
        <v>89</v>
      </c>
      <c r="D41" s="30">
        <v>6.0</v>
      </c>
      <c r="E41" s="30" t="s">
        <v>6</v>
      </c>
    </row>
    <row r="42" ht="22.5" customHeight="1">
      <c r="A42" s="35">
        <v>45011.0</v>
      </c>
      <c r="B42" s="28" t="s">
        <v>90</v>
      </c>
      <c r="C42" s="29" t="s">
        <v>91</v>
      </c>
      <c r="D42" s="30">
        <v>2.0</v>
      </c>
      <c r="E42" s="30" t="s">
        <v>6</v>
      </c>
    </row>
    <row r="43" ht="22.5" customHeight="1">
      <c r="A43" s="24"/>
      <c r="B43" s="31" t="s">
        <v>92</v>
      </c>
      <c r="C43" s="32" t="s">
        <v>93</v>
      </c>
      <c r="D43" s="30"/>
      <c r="E43" s="30" t="s">
        <v>6</v>
      </c>
    </row>
    <row r="44" ht="22.5" customHeight="1">
      <c r="A44" s="24"/>
      <c r="B44" s="28" t="s">
        <v>94</v>
      </c>
      <c r="C44" s="29" t="s">
        <v>95</v>
      </c>
      <c r="D44" s="30"/>
      <c r="E44" s="30" t="s">
        <v>6</v>
      </c>
    </row>
    <row r="45" ht="22.5" customHeight="1">
      <c r="A45" s="24"/>
      <c r="B45" s="31" t="s">
        <v>96</v>
      </c>
      <c r="C45" s="32" t="s">
        <v>97</v>
      </c>
      <c r="D45" s="30"/>
      <c r="E45" s="30" t="s">
        <v>6</v>
      </c>
    </row>
    <row r="46" ht="22.5" customHeight="1">
      <c r="A46" s="24"/>
      <c r="B46" s="31" t="s">
        <v>98</v>
      </c>
      <c r="C46" s="32" t="s">
        <v>99</v>
      </c>
      <c r="D46" s="30"/>
      <c r="E46" s="30" t="s">
        <v>6</v>
      </c>
    </row>
    <row r="47" ht="22.5" customHeight="1">
      <c r="A47" s="35">
        <v>45011.0</v>
      </c>
      <c r="B47" s="31" t="s">
        <v>100</v>
      </c>
      <c r="C47" s="32" t="s">
        <v>101</v>
      </c>
      <c r="D47" s="30">
        <v>30.0</v>
      </c>
      <c r="E47" s="30" t="s">
        <v>6</v>
      </c>
    </row>
    <row r="48" ht="22.5" customHeight="1">
      <c r="A48" s="24"/>
      <c r="B48" s="28" t="s">
        <v>102</v>
      </c>
      <c r="C48" s="29" t="s">
        <v>103</v>
      </c>
      <c r="D48" s="33"/>
      <c r="E48" s="30" t="s">
        <v>6</v>
      </c>
    </row>
    <row r="49" ht="22.5" customHeight="1">
      <c r="A49" s="35">
        <v>45011.0</v>
      </c>
      <c r="B49" s="28" t="s">
        <v>104</v>
      </c>
      <c r="C49" s="29" t="s">
        <v>105</v>
      </c>
      <c r="D49" s="30">
        <v>45.0</v>
      </c>
      <c r="E49" s="30" t="s">
        <v>6</v>
      </c>
    </row>
    <row r="50" ht="22.5" customHeight="1">
      <c r="A50" s="35">
        <v>45011.0</v>
      </c>
      <c r="B50" s="28" t="s">
        <v>106</v>
      </c>
      <c r="C50" s="29" t="s">
        <v>107</v>
      </c>
      <c r="D50" s="30">
        <v>20.0</v>
      </c>
      <c r="E50" s="30" t="s">
        <v>6</v>
      </c>
    </row>
    <row r="51" ht="22.5" customHeight="1">
      <c r="A51" s="24"/>
      <c r="B51" s="28" t="s">
        <v>108</v>
      </c>
      <c r="C51" s="29" t="s">
        <v>109</v>
      </c>
      <c r="D51" s="33"/>
      <c r="E51" s="30" t="s">
        <v>6</v>
      </c>
    </row>
    <row r="52" ht="22.5" customHeight="1">
      <c r="A52" s="35">
        <v>45011.0</v>
      </c>
      <c r="B52" s="28" t="s">
        <v>110</v>
      </c>
      <c r="C52" s="29" t="s">
        <v>111</v>
      </c>
      <c r="D52" s="30">
        <v>15.0</v>
      </c>
      <c r="E52" s="30" t="s">
        <v>6</v>
      </c>
    </row>
    <row r="53" ht="22.5" customHeight="1">
      <c r="A53" s="35"/>
      <c r="B53" s="28" t="s">
        <v>112</v>
      </c>
      <c r="C53" s="29" t="s">
        <v>113</v>
      </c>
      <c r="D53" s="30"/>
      <c r="E53" s="30" t="s">
        <v>6</v>
      </c>
    </row>
    <row r="54" ht="22.5" customHeight="1">
      <c r="A54" s="35">
        <v>45011.0</v>
      </c>
      <c r="B54" s="31" t="s">
        <v>114</v>
      </c>
      <c r="C54" s="32" t="s">
        <v>115</v>
      </c>
      <c r="D54" s="30">
        <v>2.0</v>
      </c>
      <c r="E54" s="30" t="s">
        <v>6</v>
      </c>
    </row>
    <row r="55" ht="22.5" customHeight="1">
      <c r="A55" s="35">
        <v>45011.0</v>
      </c>
      <c r="B55" s="28" t="s">
        <v>116</v>
      </c>
      <c r="C55" s="29" t="s">
        <v>117</v>
      </c>
      <c r="D55" s="30">
        <v>3.0</v>
      </c>
      <c r="E55" s="30" t="s">
        <v>6</v>
      </c>
    </row>
    <row r="56" ht="22.5" customHeight="1">
      <c r="A56" s="24"/>
      <c r="B56" s="28" t="s">
        <v>118</v>
      </c>
      <c r="C56" s="29" t="s">
        <v>119</v>
      </c>
      <c r="D56" s="30"/>
      <c r="E56" s="30" t="s">
        <v>6</v>
      </c>
    </row>
    <row r="57" ht="22.5" customHeight="1">
      <c r="A57" s="24">
        <v>45015.0</v>
      </c>
      <c r="B57" s="28" t="s">
        <v>120</v>
      </c>
      <c r="C57" s="29" t="s">
        <v>121</v>
      </c>
      <c r="D57" s="30"/>
      <c r="E57" s="30" t="s">
        <v>6</v>
      </c>
    </row>
    <row r="58" ht="22.5" customHeight="1">
      <c r="A58" s="24"/>
      <c r="B58" s="28" t="s">
        <v>122</v>
      </c>
      <c r="C58" s="29" t="s">
        <v>123</v>
      </c>
      <c r="D58" s="30"/>
      <c r="E58" s="30" t="s">
        <v>6</v>
      </c>
    </row>
    <row r="59" ht="22.5" customHeight="1">
      <c r="A59" s="24">
        <v>45015.0</v>
      </c>
      <c r="B59" s="28" t="s">
        <v>124</v>
      </c>
      <c r="C59" s="29" t="s">
        <v>125</v>
      </c>
      <c r="D59" s="30"/>
      <c r="E59" s="30" t="s">
        <v>6</v>
      </c>
    </row>
    <row r="60" ht="22.5" customHeight="1">
      <c r="A60" s="24">
        <v>45015.0</v>
      </c>
      <c r="B60" s="28" t="s">
        <v>126</v>
      </c>
      <c r="C60" s="29" t="s">
        <v>127</v>
      </c>
      <c r="D60" s="30">
        <v>5.0</v>
      </c>
      <c r="E60" s="30" t="s">
        <v>6</v>
      </c>
    </row>
    <row r="61" ht="22.5" customHeight="1">
      <c r="A61" s="24"/>
      <c r="B61" s="31" t="s">
        <v>128</v>
      </c>
      <c r="C61" s="32" t="s">
        <v>129</v>
      </c>
      <c r="D61" s="30"/>
      <c r="E61" s="30" t="s">
        <v>6</v>
      </c>
    </row>
    <row r="62" ht="22.5" customHeight="1">
      <c r="A62" s="24"/>
      <c r="B62" s="28" t="s">
        <v>130</v>
      </c>
      <c r="C62" s="29" t="s">
        <v>131</v>
      </c>
      <c r="D62" s="30"/>
      <c r="E62" s="30" t="s">
        <v>6</v>
      </c>
    </row>
    <row r="63" ht="22.5" customHeight="1">
      <c r="A63" s="24"/>
      <c r="B63" s="31" t="s">
        <v>132</v>
      </c>
      <c r="C63" s="32" t="s">
        <v>133</v>
      </c>
      <c r="D63" s="30"/>
      <c r="E63" s="30" t="s">
        <v>6</v>
      </c>
    </row>
    <row r="64" ht="22.5" customHeight="1">
      <c r="A64" s="24">
        <v>45015.0</v>
      </c>
      <c r="B64" s="28" t="s">
        <v>134</v>
      </c>
      <c r="C64" s="29" t="s">
        <v>135</v>
      </c>
      <c r="D64" s="30">
        <v>1.0</v>
      </c>
      <c r="E64" s="30" t="s">
        <v>6</v>
      </c>
    </row>
    <row r="65" ht="22.5" customHeight="1">
      <c r="A65" s="24"/>
      <c r="B65" s="28" t="s">
        <v>136</v>
      </c>
      <c r="C65" s="29" t="s">
        <v>137</v>
      </c>
      <c r="D65" s="30"/>
      <c r="E65" s="30" t="s">
        <v>6</v>
      </c>
    </row>
    <row r="66" ht="22.5" customHeight="1">
      <c r="A66" s="24"/>
      <c r="B66" s="28" t="s">
        <v>138</v>
      </c>
      <c r="C66" s="29" t="s">
        <v>139</v>
      </c>
      <c r="D66" s="30"/>
      <c r="E66" s="30" t="s">
        <v>6</v>
      </c>
    </row>
    <row r="67" ht="22.5" customHeight="1">
      <c r="A67" s="24"/>
      <c r="B67" s="28" t="s">
        <v>140</v>
      </c>
      <c r="C67" s="29" t="s">
        <v>141</v>
      </c>
      <c r="D67" s="34"/>
      <c r="E67" s="30" t="s">
        <v>6</v>
      </c>
    </row>
    <row r="68" ht="22.5" customHeight="1">
      <c r="A68" s="24">
        <v>45032.0</v>
      </c>
      <c r="B68" s="28" t="s">
        <v>142</v>
      </c>
      <c r="C68" s="29" t="s">
        <v>143</v>
      </c>
      <c r="D68" s="30">
        <v>2.0</v>
      </c>
      <c r="E68" s="30" t="s">
        <v>6</v>
      </c>
    </row>
    <row r="69" ht="22.5" customHeight="1">
      <c r="A69" s="24">
        <v>45032.0</v>
      </c>
      <c r="B69" s="28" t="s">
        <v>144</v>
      </c>
      <c r="C69" s="29" t="s">
        <v>145</v>
      </c>
      <c r="D69" s="30">
        <v>20.0</v>
      </c>
      <c r="E69" s="30" t="s">
        <v>6</v>
      </c>
    </row>
    <row r="70" ht="22.5" customHeight="1">
      <c r="A70" s="24"/>
      <c r="B70" s="28" t="s">
        <v>146</v>
      </c>
      <c r="C70" s="29" t="s">
        <v>147</v>
      </c>
      <c r="D70" s="30"/>
      <c r="E70" s="30" t="s">
        <v>6</v>
      </c>
    </row>
    <row r="71" ht="22.5" customHeight="1">
      <c r="A71" s="24">
        <v>45032.0</v>
      </c>
      <c r="B71" s="28" t="s">
        <v>148</v>
      </c>
      <c r="C71" s="29" t="s">
        <v>149</v>
      </c>
      <c r="D71" s="30">
        <v>17.0</v>
      </c>
      <c r="E71" s="30" t="s">
        <v>6</v>
      </c>
    </row>
    <row r="72" ht="22.5" customHeight="1">
      <c r="A72" s="24">
        <v>45032.0</v>
      </c>
      <c r="B72" s="28" t="s">
        <v>150</v>
      </c>
      <c r="C72" s="29" t="s">
        <v>151</v>
      </c>
      <c r="D72" s="30">
        <v>1.0</v>
      </c>
      <c r="E72" s="30" t="s">
        <v>6</v>
      </c>
    </row>
    <row r="73" ht="22.5" customHeight="1">
      <c r="A73" s="24"/>
      <c r="B73" s="28" t="s">
        <v>152</v>
      </c>
      <c r="C73" s="29" t="s">
        <v>153</v>
      </c>
      <c r="D73" s="33"/>
      <c r="E73" s="30" t="s">
        <v>6</v>
      </c>
    </row>
    <row r="74" ht="22.5" customHeight="1">
      <c r="A74" s="24"/>
      <c r="B74" s="31" t="s">
        <v>154</v>
      </c>
      <c r="C74" s="32" t="s">
        <v>155</v>
      </c>
      <c r="D74" s="34"/>
      <c r="E74" s="30" t="s">
        <v>6</v>
      </c>
    </row>
    <row r="75" ht="22.5" customHeight="1">
      <c r="A75" s="24"/>
      <c r="B75" s="31" t="s">
        <v>156</v>
      </c>
      <c r="C75" s="32" t="s">
        <v>157</v>
      </c>
      <c r="D75" s="30"/>
      <c r="E75" s="30" t="s">
        <v>6</v>
      </c>
    </row>
    <row r="76" ht="22.5" customHeight="1">
      <c r="A76" s="24"/>
      <c r="B76" s="28" t="s">
        <v>158</v>
      </c>
      <c r="C76" s="29" t="s">
        <v>159</v>
      </c>
      <c r="D76" s="30"/>
      <c r="E76" s="30" t="s">
        <v>6</v>
      </c>
    </row>
    <row r="77" ht="22.5" customHeight="1">
      <c r="A77" s="24"/>
      <c r="B77" s="28" t="s">
        <v>160</v>
      </c>
      <c r="C77" s="29" t="s">
        <v>161</v>
      </c>
      <c r="D77" s="30"/>
      <c r="E77" s="30" t="s">
        <v>6</v>
      </c>
    </row>
    <row r="78" ht="22.5" customHeight="1">
      <c r="A78" s="24">
        <v>45032.0</v>
      </c>
      <c r="B78" s="28" t="s">
        <v>162</v>
      </c>
      <c r="C78" s="29" t="s">
        <v>163</v>
      </c>
      <c r="D78" s="30">
        <v>3.0</v>
      </c>
      <c r="E78" s="30" t="s">
        <v>6</v>
      </c>
    </row>
    <row r="79" ht="22.5" customHeight="1">
      <c r="A79" s="24">
        <v>45032.0</v>
      </c>
      <c r="B79" s="28" t="s">
        <v>114</v>
      </c>
      <c r="C79" s="29" t="s">
        <v>164</v>
      </c>
      <c r="D79" s="30">
        <v>1.0</v>
      </c>
      <c r="E79" s="30" t="s">
        <v>6</v>
      </c>
    </row>
    <row r="80" ht="22.5" customHeight="1">
      <c r="A80" s="24"/>
      <c r="B80" s="28" t="s">
        <v>165</v>
      </c>
      <c r="C80" s="29" t="s">
        <v>166</v>
      </c>
      <c r="D80" s="30"/>
      <c r="E80" s="30" t="s">
        <v>6</v>
      </c>
    </row>
    <row r="81" ht="22.5" customHeight="1">
      <c r="A81" s="24"/>
      <c r="B81" s="28" t="s">
        <v>167</v>
      </c>
      <c r="C81" s="29" t="s">
        <v>168</v>
      </c>
      <c r="D81" s="30"/>
      <c r="E81" s="30" t="s">
        <v>6</v>
      </c>
    </row>
    <row r="82" ht="22.5" customHeight="1">
      <c r="A82" s="24">
        <v>45032.0</v>
      </c>
      <c r="B82" s="28" t="s">
        <v>169</v>
      </c>
      <c r="C82" s="29" t="s">
        <v>170</v>
      </c>
      <c r="D82" s="30">
        <v>1.0</v>
      </c>
      <c r="E82" s="30" t="s">
        <v>6</v>
      </c>
    </row>
    <row r="83" ht="22.5" customHeight="1">
      <c r="A83" s="24"/>
      <c r="B83" s="28" t="s">
        <v>171</v>
      </c>
      <c r="C83" s="29" t="s">
        <v>172</v>
      </c>
      <c r="D83" s="30"/>
      <c r="E83" s="30" t="s">
        <v>6</v>
      </c>
    </row>
    <row r="84" ht="22.5" customHeight="1">
      <c r="A84" s="24">
        <v>45032.0</v>
      </c>
      <c r="B84" s="28" t="s">
        <v>173</v>
      </c>
      <c r="C84" s="29" t="s">
        <v>174</v>
      </c>
      <c r="D84" s="30">
        <v>27.0</v>
      </c>
      <c r="E84" s="30" t="s">
        <v>6</v>
      </c>
    </row>
    <row r="85" ht="22.5" customHeight="1">
      <c r="A85" s="24"/>
      <c r="B85" s="28" t="s">
        <v>175</v>
      </c>
      <c r="C85" s="29" t="s">
        <v>176</v>
      </c>
      <c r="D85" s="33"/>
      <c r="E85" s="30" t="s">
        <v>6</v>
      </c>
    </row>
    <row r="86" ht="22.5" customHeight="1">
      <c r="A86" s="24"/>
      <c r="B86" s="28" t="s">
        <v>177</v>
      </c>
      <c r="C86" s="29" t="s">
        <v>178</v>
      </c>
      <c r="D86" s="30"/>
      <c r="E86" s="30" t="s">
        <v>6</v>
      </c>
    </row>
    <row r="87" ht="22.5" customHeight="1">
      <c r="A87" s="24">
        <v>45032.0</v>
      </c>
      <c r="B87" s="28" t="s">
        <v>179</v>
      </c>
      <c r="C87" s="29" t="s">
        <v>180</v>
      </c>
      <c r="D87" s="30"/>
      <c r="E87" s="30" t="s">
        <v>6</v>
      </c>
    </row>
    <row r="88" ht="22.5" customHeight="1">
      <c r="A88" s="24"/>
      <c r="B88" s="31" t="s">
        <v>181</v>
      </c>
      <c r="C88" s="32" t="s">
        <v>182</v>
      </c>
      <c r="D88" s="30"/>
      <c r="E88" s="30" t="s">
        <v>6</v>
      </c>
    </row>
    <row r="89" ht="22.5" customHeight="1">
      <c r="A89" s="24"/>
      <c r="B89" s="28" t="s">
        <v>183</v>
      </c>
      <c r="C89" s="29" t="s">
        <v>184</v>
      </c>
      <c r="D89" s="30"/>
      <c r="E89" s="30" t="s">
        <v>6</v>
      </c>
    </row>
    <row r="90" ht="22.5" customHeight="1">
      <c r="A90" s="24"/>
      <c r="B90" s="28" t="s">
        <v>185</v>
      </c>
      <c r="C90" s="29" t="s">
        <v>186</v>
      </c>
      <c r="D90" s="33"/>
      <c r="E90" s="30" t="s">
        <v>6</v>
      </c>
    </row>
    <row r="91" ht="22.5" customHeight="1">
      <c r="A91" s="24"/>
      <c r="B91" s="31" t="s">
        <v>187</v>
      </c>
      <c r="C91" s="32" t="s">
        <v>188</v>
      </c>
      <c r="D91" s="30"/>
      <c r="E91" s="30" t="s">
        <v>6</v>
      </c>
    </row>
    <row r="92" ht="22.5" customHeight="1">
      <c r="A92" s="24"/>
      <c r="B92" s="28" t="s">
        <v>189</v>
      </c>
      <c r="C92" s="29" t="s">
        <v>190</v>
      </c>
      <c r="D92" s="34"/>
      <c r="E92" s="30" t="s">
        <v>6</v>
      </c>
    </row>
    <row r="93" ht="22.5" customHeight="1">
      <c r="A93" s="24"/>
      <c r="B93" s="31" t="s">
        <v>191</v>
      </c>
      <c r="C93" s="32" t="s">
        <v>192</v>
      </c>
      <c r="D93" s="30"/>
      <c r="E93" s="30" t="s">
        <v>6</v>
      </c>
    </row>
    <row r="94" ht="22.5" customHeight="1">
      <c r="A94" s="24"/>
      <c r="B94" s="28" t="s">
        <v>193</v>
      </c>
      <c r="C94" s="29" t="s">
        <v>194</v>
      </c>
      <c r="D94" s="30"/>
      <c r="E94" s="30" t="s">
        <v>6</v>
      </c>
    </row>
    <row r="95" ht="22.5" customHeight="1">
      <c r="A95" s="24"/>
      <c r="B95" s="28" t="s">
        <v>195</v>
      </c>
      <c r="C95" s="29" t="s">
        <v>196</v>
      </c>
      <c r="D95" s="30"/>
      <c r="E95" s="30" t="s">
        <v>6</v>
      </c>
    </row>
    <row r="96" ht="22.5" customHeight="1">
      <c r="A96" s="24"/>
      <c r="B96" s="31" t="s">
        <v>197</v>
      </c>
      <c r="C96" s="32" t="s">
        <v>198</v>
      </c>
      <c r="D96" s="30"/>
      <c r="E96" s="30" t="s">
        <v>6</v>
      </c>
    </row>
    <row r="97" ht="22.5" customHeight="1">
      <c r="A97" s="24"/>
      <c r="B97" s="28" t="s">
        <v>199</v>
      </c>
      <c r="C97" s="29" t="s">
        <v>200</v>
      </c>
      <c r="D97" s="33"/>
      <c r="E97" s="30" t="s">
        <v>6</v>
      </c>
    </row>
    <row r="98" ht="22.5" customHeight="1">
      <c r="A98" s="24"/>
      <c r="B98" s="28" t="s">
        <v>201</v>
      </c>
      <c r="C98" s="29" t="s">
        <v>202</v>
      </c>
      <c r="D98" s="30"/>
      <c r="E98" s="30" t="s">
        <v>6</v>
      </c>
    </row>
    <row r="99" ht="22.5" customHeight="1">
      <c r="A99" s="24"/>
      <c r="B99" s="31" t="s">
        <v>203</v>
      </c>
      <c r="C99" s="32" t="s">
        <v>204</v>
      </c>
      <c r="D99" s="30"/>
      <c r="E99" s="30" t="s">
        <v>6</v>
      </c>
    </row>
    <row r="100" ht="22.5" customHeight="1">
      <c r="A100" s="24"/>
      <c r="B100" s="31" t="s">
        <v>205</v>
      </c>
      <c r="C100" s="32" t="s">
        <v>206</v>
      </c>
      <c r="D100" s="34"/>
      <c r="E100" s="30" t="s">
        <v>6</v>
      </c>
    </row>
    <row r="101" ht="22.5" customHeight="1">
      <c r="A101" s="24"/>
      <c r="B101" s="28" t="s">
        <v>207</v>
      </c>
      <c r="C101" s="29" t="s">
        <v>208</v>
      </c>
      <c r="D101" s="30">
        <v>8.0</v>
      </c>
      <c r="E101" s="30" t="s">
        <v>6</v>
      </c>
    </row>
    <row r="102" ht="22.5" customHeight="1">
      <c r="A102" s="24"/>
      <c r="B102" s="28" t="s">
        <v>209</v>
      </c>
      <c r="C102" s="29" t="s">
        <v>210</v>
      </c>
      <c r="D102" s="34"/>
      <c r="E102" s="30" t="s">
        <v>6</v>
      </c>
    </row>
    <row r="103" ht="22.5" customHeight="1">
      <c r="A103" s="24"/>
      <c r="B103" s="28" t="s">
        <v>211</v>
      </c>
      <c r="C103" s="29" t="s">
        <v>212</v>
      </c>
      <c r="D103" s="34"/>
      <c r="E103" s="30" t="s">
        <v>6</v>
      </c>
    </row>
    <row r="104" ht="22.5" customHeight="1">
      <c r="A104" s="24"/>
      <c r="B104" s="28" t="s">
        <v>213</v>
      </c>
      <c r="C104" s="29" t="s">
        <v>214</v>
      </c>
      <c r="D104" s="30"/>
      <c r="E104" s="30" t="s">
        <v>6</v>
      </c>
    </row>
    <row r="105" ht="22.5" customHeight="1">
      <c r="A105" s="24"/>
      <c r="B105" s="28" t="s">
        <v>215</v>
      </c>
      <c r="C105" s="29" t="s">
        <v>216</v>
      </c>
      <c r="D105" s="30"/>
      <c r="E105" s="30" t="s">
        <v>6</v>
      </c>
    </row>
    <row r="106" ht="22.5" customHeight="1">
      <c r="A106" s="24"/>
      <c r="B106" s="28" t="s">
        <v>217</v>
      </c>
      <c r="C106" s="29" t="s">
        <v>218</v>
      </c>
      <c r="D106" s="30"/>
      <c r="E106" s="30" t="s">
        <v>6</v>
      </c>
    </row>
    <row r="107" ht="22.5" customHeight="1">
      <c r="A107" s="24"/>
      <c r="B107" s="28" t="s">
        <v>219</v>
      </c>
      <c r="C107" s="29" t="s">
        <v>220</v>
      </c>
      <c r="D107" s="30"/>
      <c r="E107" s="30" t="s">
        <v>6</v>
      </c>
    </row>
    <row r="108" ht="22.5" customHeight="1">
      <c r="A108" s="24"/>
      <c r="B108" s="31" t="s">
        <v>221</v>
      </c>
      <c r="C108" s="32" t="s">
        <v>222</v>
      </c>
      <c r="D108" s="30"/>
      <c r="E108" s="30" t="s">
        <v>6</v>
      </c>
    </row>
    <row r="109" ht="22.5" customHeight="1">
      <c r="A109" s="24"/>
      <c r="B109" s="31" t="s">
        <v>223</v>
      </c>
      <c r="C109" s="32" t="s">
        <v>224</v>
      </c>
      <c r="D109" s="30"/>
      <c r="E109" s="30" t="s">
        <v>6</v>
      </c>
    </row>
    <row r="110" ht="22.5" customHeight="1">
      <c r="A110" s="24"/>
      <c r="B110" s="28" t="s">
        <v>225</v>
      </c>
      <c r="C110" s="29" t="s">
        <v>226</v>
      </c>
      <c r="D110" s="30"/>
      <c r="E110" s="30" t="s">
        <v>6</v>
      </c>
    </row>
    <row r="111" ht="22.5" customHeight="1">
      <c r="A111" s="24"/>
      <c r="B111" s="28" t="s">
        <v>227</v>
      </c>
      <c r="C111" s="29" t="s">
        <v>228</v>
      </c>
      <c r="D111" s="30"/>
      <c r="E111" s="30" t="s">
        <v>6</v>
      </c>
    </row>
    <row r="112" ht="22.5" customHeight="1">
      <c r="A112" s="24"/>
      <c r="B112" s="31" t="s">
        <v>229</v>
      </c>
      <c r="C112" s="32" t="s">
        <v>230</v>
      </c>
      <c r="D112" s="30"/>
      <c r="E112" s="30" t="s">
        <v>6</v>
      </c>
    </row>
    <row r="113" ht="22.5" customHeight="1">
      <c r="A113" s="24"/>
      <c r="B113" s="28" t="s">
        <v>231</v>
      </c>
      <c r="C113" s="29" t="s">
        <v>232</v>
      </c>
      <c r="D113" s="30"/>
      <c r="E113" s="30" t="s">
        <v>6</v>
      </c>
    </row>
    <row r="114" ht="22.5" customHeight="1">
      <c r="A114" s="24"/>
      <c r="B114" s="28" t="s">
        <v>233</v>
      </c>
      <c r="C114" s="29" t="s">
        <v>234</v>
      </c>
      <c r="D114" s="30"/>
      <c r="E114" s="30" t="s">
        <v>6</v>
      </c>
    </row>
    <row r="115" ht="22.5" customHeight="1">
      <c r="A115" s="24"/>
      <c r="B115" s="31" t="s">
        <v>235</v>
      </c>
      <c r="C115" s="32" t="s">
        <v>236</v>
      </c>
      <c r="D115" s="30"/>
      <c r="E115" s="30" t="s">
        <v>6</v>
      </c>
    </row>
    <row r="116" ht="22.5" customHeight="1">
      <c r="A116" s="24"/>
      <c r="B116" s="28" t="s">
        <v>237</v>
      </c>
      <c r="C116" s="29" t="s">
        <v>238</v>
      </c>
      <c r="D116" s="30"/>
      <c r="E116" s="30" t="s">
        <v>6</v>
      </c>
    </row>
    <row r="117" ht="22.5" customHeight="1">
      <c r="A117" s="24"/>
      <c r="B117" s="28" t="s">
        <v>239</v>
      </c>
      <c r="C117" s="29" t="s">
        <v>240</v>
      </c>
      <c r="D117" s="30"/>
      <c r="E117" s="30" t="s">
        <v>6</v>
      </c>
    </row>
    <row r="118" ht="22.5" customHeight="1">
      <c r="A118" s="24"/>
      <c r="B118" s="28" t="s">
        <v>241</v>
      </c>
      <c r="C118" s="29" t="s">
        <v>242</v>
      </c>
      <c r="D118" s="30"/>
      <c r="E118" s="30" t="s">
        <v>6</v>
      </c>
    </row>
    <row r="119" ht="22.5" customHeight="1">
      <c r="A119" s="24"/>
      <c r="B119" s="28" t="s">
        <v>243</v>
      </c>
      <c r="C119" s="29" t="s">
        <v>244</v>
      </c>
      <c r="D119" s="33"/>
      <c r="E119" s="30" t="s">
        <v>6</v>
      </c>
    </row>
    <row r="120" ht="22.5" customHeight="1">
      <c r="A120" s="24"/>
      <c r="B120" s="28" t="s">
        <v>245</v>
      </c>
      <c r="C120" s="29" t="s">
        <v>246</v>
      </c>
      <c r="D120" s="30"/>
      <c r="E120" s="30" t="s">
        <v>6</v>
      </c>
    </row>
    <row r="121" ht="22.5" customHeight="1">
      <c r="A121" s="24"/>
      <c r="B121" s="28" t="s">
        <v>247</v>
      </c>
      <c r="C121" s="29" t="s">
        <v>248</v>
      </c>
      <c r="D121" s="30"/>
      <c r="E121" s="30" t="s">
        <v>6</v>
      </c>
    </row>
    <row r="122" ht="22.5" customHeight="1">
      <c r="A122" s="24"/>
      <c r="B122" s="28" t="s">
        <v>249</v>
      </c>
      <c r="C122" s="29" t="s">
        <v>250</v>
      </c>
      <c r="D122" s="30"/>
      <c r="E122" s="30" t="s">
        <v>6</v>
      </c>
    </row>
    <row r="123" ht="22.5" customHeight="1">
      <c r="A123" s="24"/>
      <c r="B123" s="28" t="s">
        <v>251</v>
      </c>
      <c r="C123" s="29" t="s">
        <v>252</v>
      </c>
      <c r="D123" s="30"/>
      <c r="E123" s="30" t="s">
        <v>6</v>
      </c>
    </row>
    <row r="124" ht="22.5" customHeight="1">
      <c r="A124" s="24"/>
      <c r="B124" s="31" t="s">
        <v>253</v>
      </c>
      <c r="C124" s="32" t="s">
        <v>254</v>
      </c>
      <c r="D124" s="30"/>
      <c r="E124" s="30" t="s">
        <v>6</v>
      </c>
    </row>
    <row r="125" ht="22.5" customHeight="1">
      <c r="A125" s="24"/>
      <c r="B125" s="28" t="s">
        <v>255</v>
      </c>
      <c r="C125" s="29" t="s">
        <v>256</v>
      </c>
      <c r="D125" s="33"/>
      <c r="E125" s="30" t="s">
        <v>6</v>
      </c>
    </row>
    <row r="126" ht="22.5" customHeight="1">
      <c r="A126" s="24"/>
      <c r="B126" s="28" t="s">
        <v>257</v>
      </c>
      <c r="C126" s="29" t="s">
        <v>258</v>
      </c>
      <c r="D126" s="30"/>
      <c r="E126" s="30" t="s">
        <v>6</v>
      </c>
    </row>
    <row r="127" ht="22.5" customHeight="1">
      <c r="A127" s="24"/>
      <c r="B127" s="31" t="s">
        <v>259</v>
      </c>
      <c r="C127" s="32" t="s">
        <v>260</v>
      </c>
      <c r="D127" s="30"/>
      <c r="E127" s="30" t="s">
        <v>6</v>
      </c>
    </row>
    <row r="128" ht="22.5" customHeight="1">
      <c r="A128" s="24"/>
      <c r="B128" s="31" t="s">
        <v>261</v>
      </c>
      <c r="C128" s="32" t="s">
        <v>262</v>
      </c>
      <c r="D128" s="30"/>
      <c r="E128" s="30" t="s">
        <v>6</v>
      </c>
    </row>
    <row r="129" ht="22.5" customHeight="1">
      <c r="A129" s="24"/>
      <c r="B129" s="28" t="s">
        <v>263</v>
      </c>
      <c r="C129" s="29" t="s">
        <v>264</v>
      </c>
      <c r="D129" s="30"/>
      <c r="E129" s="30" t="s">
        <v>6</v>
      </c>
    </row>
    <row r="130" ht="22.5" customHeight="1">
      <c r="A130" s="24"/>
      <c r="B130" s="31" t="s">
        <v>265</v>
      </c>
      <c r="C130" s="32" t="s">
        <v>266</v>
      </c>
      <c r="D130" s="30"/>
      <c r="E130" s="30" t="s">
        <v>6</v>
      </c>
    </row>
    <row r="131" ht="22.5" customHeight="1">
      <c r="A131" s="24"/>
      <c r="B131" s="28" t="s">
        <v>267</v>
      </c>
      <c r="C131" s="29" t="s">
        <v>268</v>
      </c>
      <c r="D131" s="30"/>
      <c r="E131" s="30" t="s">
        <v>6</v>
      </c>
    </row>
    <row r="132" ht="22.5" customHeight="1">
      <c r="A132" s="24"/>
      <c r="B132" s="31" t="s">
        <v>269</v>
      </c>
      <c r="C132" s="32" t="s">
        <v>270</v>
      </c>
      <c r="D132" s="30"/>
      <c r="E132" s="30" t="s">
        <v>6</v>
      </c>
    </row>
    <row r="133" ht="22.5" customHeight="1">
      <c r="A133" s="24"/>
      <c r="B133" s="28" t="s">
        <v>271</v>
      </c>
      <c r="C133" s="29" t="s">
        <v>272</v>
      </c>
      <c r="D133" s="30"/>
      <c r="E133" s="30" t="s">
        <v>6</v>
      </c>
    </row>
    <row r="134" ht="22.5" customHeight="1">
      <c r="A134" s="24"/>
      <c r="B134" s="28" t="s">
        <v>273</v>
      </c>
      <c r="C134" s="29" t="s">
        <v>274</v>
      </c>
      <c r="D134" s="30"/>
      <c r="E134" s="30" t="s">
        <v>6</v>
      </c>
    </row>
    <row r="135" ht="22.5" customHeight="1">
      <c r="A135" s="24"/>
      <c r="B135" s="28" t="s">
        <v>275</v>
      </c>
      <c r="C135" s="29" t="s">
        <v>276</v>
      </c>
      <c r="D135" s="30"/>
      <c r="E135" s="30" t="s">
        <v>6</v>
      </c>
    </row>
    <row r="136" ht="22.5" customHeight="1">
      <c r="A136" s="24"/>
      <c r="B136" s="28" t="s">
        <v>277</v>
      </c>
      <c r="C136" s="29" t="s">
        <v>278</v>
      </c>
      <c r="D136" s="30"/>
      <c r="E136" s="30" t="s">
        <v>6</v>
      </c>
    </row>
    <row r="137" ht="22.5" customHeight="1">
      <c r="A137" s="24"/>
      <c r="B137" s="28" t="s">
        <v>279</v>
      </c>
      <c r="C137" s="29" t="s">
        <v>280</v>
      </c>
      <c r="D137" s="30"/>
      <c r="E137" s="30" t="s">
        <v>6</v>
      </c>
    </row>
    <row r="138" ht="22.5" customHeight="1">
      <c r="A138" s="24"/>
      <c r="B138" s="28" t="s">
        <v>281</v>
      </c>
      <c r="C138" s="29" t="s">
        <v>282</v>
      </c>
      <c r="D138" s="30"/>
      <c r="E138" s="30" t="s">
        <v>6</v>
      </c>
    </row>
    <row r="139" ht="22.5" customHeight="1">
      <c r="A139" s="24"/>
      <c r="B139" s="28" t="s">
        <v>283</v>
      </c>
      <c r="C139" s="29" t="s">
        <v>282</v>
      </c>
      <c r="D139" s="30"/>
      <c r="E139" s="30" t="s">
        <v>6</v>
      </c>
    </row>
    <row r="140" ht="22.5" customHeight="1">
      <c r="A140" s="24"/>
      <c r="B140" s="28" t="s">
        <v>284</v>
      </c>
      <c r="C140" s="29" t="s">
        <v>285</v>
      </c>
      <c r="D140" s="34"/>
      <c r="E140" s="30" t="s">
        <v>6</v>
      </c>
    </row>
    <row r="141" ht="22.5" customHeight="1">
      <c r="A141" s="24"/>
      <c r="B141" s="31" t="s">
        <v>286</v>
      </c>
      <c r="C141" s="32" t="s">
        <v>287</v>
      </c>
      <c r="D141" s="30"/>
      <c r="E141" s="30" t="s">
        <v>6</v>
      </c>
    </row>
    <row r="142" ht="22.5" customHeight="1">
      <c r="A142" s="24"/>
      <c r="B142" s="28" t="s">
        <v>288</v>
      </c>
      <c r="C142" s="29" t="s">
        <v>289</v>
      </c>
      <c r="D142" s="33"/>
      <c r="E142" s="30" t="s">
        <v>6</v>
      </c>
    </row>
    <row r="143" ht="22.5" customHeight="1">
      <c r="A143" s="24"/>
      <c r="B143" s="31" t="s">
        <v>4</v>
      </c>
      <c r="C143" s="32" t="s">
        <v>5</v>
      </c>
      <c r="D143" s="30"/>
      <c r="E143" s="30" t="s">
        <v>6</v>
      </c>
    </row>
    <row r="144" ht="22.5" customHeight="1">
      <c r="A144" s="24"/>
      <c r="B144" s="28" t="s">
        <v>277</v>
      </c>
      <c r="C144" s="29" t="s">
        <v>290</v>
      </c>
      <c r="D144" s="33"/>
      <c r="E144" s="30" t="s">
        <v>6</v>
      </c>
    </row>
    <row r="145" ht="22.5" customHeight="1">
      <c r="A145" s="24"/>
      <c r="B145" s="28" t="s">
        <v>291</v>
      </c>
      <c r="C145" s="29" t="s">
        <v>292</v>
      </c>
      <c r="D145" s="30"/>
      <c r="E145" s="30" t="s">
        <v>6</v>
      </c>
    </row>
    <row r="146" ht="22.5" customHeight="1">
      <c r="A146" s="24"/>
      <c r="B146" s="28" t="s">
        <v>293</v>
      </c>
      <c r="C146" s="29" t="s">
        <v>294</v>
      </c>
      <c r="D146" s="34"/>
      <c r="E146" s="30" t="s">
        <v>6</v>
      </c>
    </row>
    <row r="147" ht="22.5" customHeight="1">
      <c r="A147" s="24"/>
      <c r="B147" s="28" t="s">
        <v>295</v>
      </c>
      <c r="C147" s="29" t="s">
        <v>296</v>
      </c>
      <c r="D147" s="30"/>
      <c r="E147" s="30" t="s">
        <v>6</v>
      </c>
    </row>
    <row r="148" ht="22.5" customHeight="1">
      <c r="A148" s="24"/>
      <c r="B148" s="31" t="s">
        <v>297</v>
      </c>
      <c r="C148" s="32" t="s">
        <v>298</v>
      </c>
      <c r="D148" s="30"/>
      <c r="E148" s="30" t="s">
        <v>6</v>
      </c>
    </row>
    <row r="149" ht="22.5" customHeight="1">
      <c r="A149" s="24"/>
      <c r="B149" s="31" t="s">
        <v>299</v>
      </c>
      <c r="C149" s="32" t="s">
        <v>300</v>
      </c>
      <c r="D149" s="30"/>
      <c r="E149" s="30" t="s">
        <v>6</v>
      </c>
    </row>
    <row r="150" ht="22.5" customHeight="1">
      <c r="A150" s="24"/>
      <c r="B150" s="31" t="s">
        <v>301</v>
      </c>
      <c r="C150" s="32" t="s">
        <v>302</v>
      </c>
      <c r="D150" s="30"/>
      <c r="E150" s="30" t="s">
        <v>6</v>
      </c>
    </row>
    <row r="151" ht="22.5" customHeight="1">
      <c r="A151" s="24"/>
      <c r="B151" s="31" t="s">
        <v>303</v>
      </c>
      <c r="C151" s="32" t="s">
        <v>304</v>
      </c>
      <c r="D151" s="30"/>
      <c r="E151" s="30" t="s">
        <v>6</v>
      </c>
    </row>
    <row r="152" ht="22.5" customHeight="1">
      <c r="A152" s="24"/>
      <c r="B152" s="28" t="s">
        <v>305</v>
      </c>
      <c r="C152" s="29" t="s">
        <v>306</v>
      </c>
      <c r="D152" s="30"/>
      <c r="E152" s="30" t="s">
        <v>6</v>
      </c>
    </row>
    <row r="153" ht="22.5" customHeight="1">
      <c r="A153" s="24"/>
      <c r="B153" s="28" t="s">
        <v>307</v>
      </c>
      <c r="C153" s="29" t="s">
        <v>308</v>
      </c>
      <c r="D153" s="30"/>
      <c r="E153" s="30" t="s">
        <v>6</v>
      </c>
    </row>
    <row r="154" ht="22.5" customHeight="1">
      <c r="A154" s="24"/>
      <c r="B154" s="28" t="s">
        <v>309</v>
      </c>
      <c r="C154" s="29" t="s">
        <v>310</v>
      </c>
      <c r="D154" s="30"/>
      <c r="E154" s="30" t="s">
        <v>6</v>
      </c>
    </row>
    <row r="155" ht="22.5" customHeight="1">
      <c r="A155" s="24"/>
      <c r="B155" s="28" t="s">
        <v>311</v>
      </c>
      <c r="C155" s="29" t="s">
        <v>312</v>
      </c>
      <c r="D155" s="30"/>
      <c r="E155" s="30" t="s">
        <v>6</v>
      </c>
    </row>
    <row r="156" ht="22.5" customHeight="1">
      <c r="A156" s="24"/>
      <c r="B156" s="28" t="s">
        <v>313</v>
      </c>
      <c r="C156" s="29" t="s">
        <v>314</v>
      </c>
      <c r="D156" s="30"/>
      <c r="E156" s="30" t="s">
        <v>6</v>
      </c>
    </row>
    <row r="157" ht="22.5" customHeight="1">
      <c r="A157" s="24"/>
      <c r="B157" s="28" t="s">
        <v>315</v>
      </c>
      <c r="C157" s="29" t="s">
        <v>316</v>
      </c>
      <c r="D157" s="33"/>
      <c r="E157" s="30" t="s">
        <v>6</v>
      </c>
    </row>
    <row r="158" ht="22.5" customHeight="1">
      <c r="A158" s="24"/>
      <c r="B158" s="28" t="s">
        <v>317</v>
      </c>
      <c r="C158" s="29" t="s">
        <v>318</v>
      </c>
      <c r="D158" s="30"/>
      <c r="E158" s="30" t="s">
        <v>6</v>
      </c>
    </row>
    <row r="159" ht="22.5" customHeight="1">
      <c r="A159" s="24"/>
      <c r="B159" s="28" t="s">
        <v>319</v>
      </c>
      <c r="C159" s="29" t="s">
        <v>320</v>
      </c>
      <c r="D159" s="30"/>
      <c r="E159" s="30" t="s">
        <v>6</v>
      </c>
    </row>
    <row r="160" ht="22.5" customHeight="1">
      <c r="A160" s="24"/>
      <c r="B160" s="28" t="s">
        <v>321</v>
      </c>
      <c r="C160" s="29" t="s">
        <v>322</v>
      </c>
      <c r="D160" s="30"/>
      <c r="E160" s="30" t="s">
        <v>6</v>
      </c>
    </row>
    <row r="161" ht="22.5" customHeight="1">
      <c r="A161" s="24"/>
      <c r="B161" s="28" t="s">
        <v>323</v>
      </c>
      <c r="C161" s="29" t="s">
        <v>324</v>
      </c>
      <c r="D161" s="34"/>
      <c r="E161" s="30" t="s">
        <v>6</v>
      </c>
    </row>
    <row r="162" ht="22.5" customHeight="1">
      <c r="A162" s="24"/>
      <c r="B162" s="28" t="s">
        <v>325</v>
      </c>
      <c r="C162" s="29" t="s">
        <v>326</v>
      </c>
      <c r="D162" s="30"/>
      <c r="E162" s="30" t="s">
        <v>6</v>
      </c>
    </row>
    <row r="163" ht="22.5" customHeight="1">
      <c r="A163" s="24"/>
      <c r="B163" s="31" t="s">
        <v>327</v>
      </c>
      <c r="C163" s="32" t="s">
        <v>328</v>
      </c>
      <c r="D163" s="30"/>
      <c r="E163" s="30" t="s">
        <v>6</v>
      </c>
    </row>
    <row r="164" ht="22.5" customHeight="1">
      <c r="A164" s="36"/>
      <c r="B164" s="28" t="s">
        <v>329</v>
      </c>
      <c r="C164" s="29" t="s">
        <v>330</v>
      </c>
      <c r="D164" s="30"/>
      <c r="E164" s="30" t="s">
        <v>6</v>
      </c>
    </row>
    <row r="165" ht="22.5" customHeight="1">
      <c r="A165" s="36"/>
      <c r="B165" s="28" t="s">
        <v>331</v>
      </c>
      <c r="C165" s="29" t="s">
        <v>332</v>
      </c>
      <c r="D165" s="30"/>
      <c r="E165" s="30" t="s">
        <v>6</v>
      </c>
    </row>
    <row r="166" ht="22.5" customHeight="1">
      <c r="A166" s="36"/>
      <c r="B166" s="28" t="s">
        <v>333</v>
      </c>
      <c r="C166" s="29" t="s">
        <v>334</v>
      </c>
      <c r="D166" s="30"/>
      <c r="E166" s="30" t="s">
        <v>6</v>
      </c>
    </row>
    <row r="167" ht="22.5" customHeight="1">
      <c r="A167" s="36"/>
      <c r="B167" s="28" t="s">
        <v>335</v>
      </c>
      <c r="C167" s="29" t="s">
        <v>336</v>
      </c>
      <c r="D167" s="34"/>
      <c r="E167" s="30" t="s">
        <v>6</v>
      </c>
    </row>
    <row r="168" ht="22.5" customHeight="1">
      <c r="A168" s="36"/>
      <c r="B168" s="28" t="s">
        <v>337</v>
      </c>
      <c r="C168" s="29" t="s">
        <v>338</v>
      </c>
      <c r="D168" s="34"/>
      <c r="E168" s="30" t="s">
        <v>6</v>
      </c>
    </row>
    <row r="169" ht="22.5" customHeight="1">
      <c r="A169" s="36"/>
      <c r="B169" s="28" t="s">
        <v>339</v>
      </c>
      <c r="C169" s="29" t="s">
        <v>340</v>
      </c>
      <c r="D169" s="33"/>
      <c r="E169" s="30" t="s">
        <v>6</v>
      </c>
    </row>
    <row r="170" ht="22.5" customHeight="1">
      <c r="A170" s="36"/>
      <c r="B170" s="28" t="s">
        <v>341</v>
      </c>
      <c r="C170" s="29" t="s">
        <v>342</v>
      </c>
      <c r="D170" s="30"/>
      <c r="E170" s="30" t="s">
        <v>6</v>
      </c>
    </row>
    <row r="171" ht="22.5" customHeight="1">
      <c r="A171" s="36"/>
      <c r="B171" s="28" t="s">
        <v>343</v>
      </c>
      <c r="C171" s="29" t="s">
        <v>344</v>
      </c>
      <c r="D171" s="30"/>
      <c r="E171" s="30" t="s">
        <v>6</v>
      </c>
    </row>
    <row r="172" ht="22.5" customHeight="1">
      <c r="A172" s="36"/>
      <c r="B172" s="28" t="s">
        <v>345</v>
      </c>
      <c r="C172" s="29" t="s">
        <v>346</v>
      </c>
      <c r="D172" s="33"/>
      <c r="E172" s="30" t="s">
        <v>6</v>
      </c>
    </row>
    <row r="173" ht="22.5" customHeight="1">
      <c r="A173" s="36"/>
      <c r="B173" s="28" t="s">
        <v>347</v>
      </c>
      <c r="C173" s="29" t="s">
        <v>348</v>
      </c>
      <c r="D173" s="30"/>
      <c r="E173" s="30" t="s">
        <v>6</v>
      </c>
    </row>
    <row r="174" ht="22.5" customHeight="1">
      <c r="A174" s="36"/>
      <c r="B174" s="28" t="s">
        <v>349</v>
      </c>
      <c r="C174" s="29" t="s">
        <v>350</v>
      </c>
      <c r="D174" s="34"/>
      <c r="E174" s="30" t="s">
        <v>6</v>
      </c>
    </row>
    <row r="175" ht="22.5" customHeight="1">
      <c r="A175" s="36"/>
      <c r="B175" s="28" t="s">
        <v>339</v>
      </c>
      <c r="C175" s="29" t="s">
        <v>351</v>
      </c>
      <c r="D175" s="30"/>
      <c r="E175" s="30" t="s">
        <v>6</v>
      </c>
    </row>
    <row r="176" ht="22.5" customHeight="1">
      <c r="A176" s="36"/>
      <c r="B176" s="28" t="s">
        <v>352</v>
      </c>
      <c r="C176" s="29" t="s">
        <v>353</v>
      </c>
      <c r="D176" s="30"/>
      <c r="E176" s="30" t="s">
        <v>6</v>
      </c>
    </row>
    <row r="177" ht="22.5" customHeight="1">
      <c r="A177" s="36"/>
      <c r="B177" s="28" t="s">
        <v>354</v>
      </c>
      <c r="C177" s="29" t="s">
        <v>355</v>
      </c>
      <c r="D177" s="30"/>
      <c r="E177" s="30" t="s">
        <v>6</v>
      </c>
    </row>
    <row r="178" ht="22.5" customHeight="1">
      <c r="A178" s="36"/>
      <c r="B178" s="31" t="s">
        <v>356</v>
      </c>
      <c r="C178" s="32" t="s">
        <v>357</v>
      </c>
      <c r="D178" s="30"/>
      <c r="E178" s="30" t="s">
        <v>6</v>
      </c>
    </row>
    <row r="179" ht="22.5" customHeight="1">
      <c r="A179" s="36"/>
      <c r="B179" s="31" t="s">
        <v>358</v>
      </c>
      <c r="C179" s="32" t="s">
        <v>359</v>
      </c>
      <c r="D179" s="30"/>
      <c r="E179" s="30" t="s">
        <v>6</v>
      </c>
    </row>
    <row r="180" ht="22.5" customHeight="1">
      <c r="A180" s="36"/>
      <c r="B180" s="28" t="s">
        <v>360</v>
      </c>
      <c r="C180" s="29" t="s">
        <v>361</v>
      </c>
      <c r="D180" s="30"/>
      <c r="E180" s="30" t="s">
        <v>6</v>
      </c>
    </row>
    <row r="181" ht="22.5" customHeight="1">
      <c r="A181" s="36"/>
      <c r="B181" s="28" t="s">
        <v>362</v>
      </c>
      <c r="C181" s="29" t="s">
        <v>363</v>
      </c>
      <c r="D181" s="30"/>
      <c r="E181" s="30" t="s">
        <v>6</v>
      </c>
    </row>
    <row r="182" ht="22.5" customHeight="1">
      <c r="A182" s="36"/>
      <c r="B182" s="28" t="s">
        <v>364</v>
      </c>
      <c r="C182" s="29" t="s">
        <v>365</v>
      </c>
      <c r="D182" s="30"/>
      <c r="E182" s="30" t="s">
        <v>6</v>
      </c>
    </row>
    <row r="183" ht="22.5" customHeight="1">
      <c r="A183" s="36"/>
      <c r="B183" s="28" t="s">
        <v>366</v>
      </c>
      <c r="C183" s="29" t="s">
        <v>367</v>
      </c>
      <c r="D183" s="30"/>
      <c r="E183" s="30" t="s">
        <v>6</v>
      </c>
    </row>
    <row r="184" ht="22.5" customHeight="1">
      <c r="A184" s="36"/>
      <c r="B184" s="28" t="s">
        <v>368</v>
      </c>
      <c r="C184" s="29" t="s">
        <v>369</v>
      </c>
      <c r="D184" s="33"/>
      <c r="E184" s="30" t="s">
        <v>6</v>
      </c>
    </row>
    <row r="185" ht="22.5" customHeight="1">
      <c r="A185" s="36"/>
      <c r="B185" s="31" t="s">
        <v>370</v>
      </c>
      <c r="C185" s="32" t="s">
        <v>371</v>
      </c>
      <c r="D185" s="30"/>
      <c r="E185" s="30" t="s">
        <v>6</v>
      </c>
    </row>
    <row r="186" ht="22.5" customHeight="1">
      <c r="A186" s="37"/>
      <c r="B186" s="38" t="s">
        <v>370</v>
      </c>
      <c r="C186" s="39" t="s">
        <v>371</v>
      </c>
      <c r="D186" s="40"/>
      <c r="E186" s="40" t="s">
        <v>6</v>
      </c>
    </row>
    <row r="187" ht="22.5" customHeight="1">
      <c r="A187" s="37"/>
      <c r="B187" s="41" t="s">
        <v>372</v>
      </c>
      <c r="C187" s="42" t="s">
        <v>373</v>
      </c>
      <c r="D187" s="43"/>
      <c r="E187" s="44" t="s">
        <v>6</v>
      </c>
    </row>
    <row r="188" ht="22.5" customHeight="1">
      <c r="A188" s="37"/>
      <c r="B188" s="45" t="s">
        <v>374</v>
      </c>
      <c r="C188" s="46" t="s">
        <v>375</v>
      </c>
      <c r="D188" s="43"/>
      <c r="E188" s="44" t="s">
        <v>6</v>
      </c>
    </row>
    <row r="189" ht="22.5" customHeight="1">
      <c r="A189" s="37"/>
      <c r="B189" s="45" t="s">
        <v>376</v>
      </c>
      <c r="C189" s="46" t="s">
        <v>377</v>
      </c>
      <c r="D189" s="43"/>
      <c r="E189" s="44" t="s">
        <v>6</v>
      </c>
    </row>
    <row r="190" ht="22.5" customHeight="1">
      <c r="A190" s="37"/>
      <c r="B190" s="41" t="s">
        <v>378</v>
      </c>
      <c r="C190" s="42" t="s">
        <v>379</v>
      </c>
      <c r="D190" s="43"/>
      <c r="E190" s="44" t="s">
        <v>6</v>
      </c>
    </row>
    <row r="191" ht="22.5" customHeight="1">
      <c r="A191" s="47"/>
      <c r="B191" s="45" t="s">
        <v>380</v>
      </c>
      <c r="C191" s="46" t="s">
        <v>381</v>
      </c>
      <c r="D191" s="43"/>
      <c r="E191" s="44" t="s">
        <v>6</v>
      </c>
    </row>
    <row r="192" ht="22.5" customHeight="1">
      <c r="A192" s="47"/>
      <c r="B192" s="45" t="s">
        <v>382</v>
      </c>
      <c r="C192" s="46" t="s">
        <v>383</v>
      </c>
      <c r="D192" s="43"/>
      <c r="E192" s="44" t="s">
        <v>6</v>
      </c>
    </row>
    <row r="193" ht="22.5" customHeight="1">
      <c r="A193" s="47"/>
      <c r="B193" s="41" t="s">
        <v>343</v>
      </c>
      <c r="C193" s="42" t="s">
        <v>384</v>
      </c>
      <c r="D193" s="43"/>
      <c r="E193" s="44" t="s">
        <v>6</v>
      </c>
    </row>
    <row r="194" ht="22.5" customHeight="1">
      <c r="A194" s="47"/>
      <c r="B194" s="45" t="s">
        <v>385</v>
      </c>
      <c r="C194" s="46" t="s">
        <v>386</v>
      </c>
      <c r="D194" s="43"/>
      <c r="E194" s="44" t="s">
        <v>6</v>
      </c>
    </row>
    <row r="195" ht="22.5" customHeight="1">
      <c r="A195" s="47"/>
      <c r="B195" s="45" t="s">
        <v>387</v>
      </c>
      <c r="C195" s="46" t="s">
        <v>388</v>
      </c>
      <c r="D195" s="43"/>
      <c r="E195" s="44" t="s">
        <v>6</v>
      </c>
    </row>
    <row r="196" ht="22.5" customHeight="1">
      <c r="A196" s="47"/>
      <c r="B196" s="41" t="s">
        <v>389</v>
      </c>
      <c r="C196" s="42" t="s">
        <v>390</v>
      </c>
      <c r="D196" s="43"/>
      <c r="E196" s="44" t="s">
        <v>6</v>
      </c>
    </row>
    <row r="197" ht="22.5" customHeight="1">
      <c r="A197" s="47"/>
      <c r="B197" s="45" t="s">
        <v>391</v>
      </c>
      <c r="C197" s="46" t="s">
        <v>392</v>
      </c>
      <c r="D197" s="43"/>
      <c r="E197" s="44" t="s">
        <v>6</v>
      </c>
    </row>
    <row r="198" ht="22.5" customHeight="1">
      <c r="A198" s="47"/>
      <c r="B198" s="45" t="s">
        <v>393</v>
      </c>
      <c r="C198" s="46" t="s">
        <v>394</v>
      </c>
      <c r="D198" s="43"/>
      <c r="E198" s="44" t="s">
        <v>6</v>
      </c>
    </row>
    <row r="199" ht="22.5" customHeight="1">
      <c r="A199" s="47"/>
      <c r="B199" s="45" t="s">
        <v>395</v>
      </c>
      <c r="C199" s="46" t="s">
        <v>396</v>
      </c>
      <c r="D199" s="43"/>
      <c r="E199" s="44" t="s">
        <v>6</v>
      </c>
    </row>
    <row r="200" ht="22.5" customHeight="1">
      <c r="A200" s="47"/>
      <c r="B200" s="45" t="s">
        <v>397</v>
      </c>
      <c r="C200" s="46" t="s">
        <v>398</v>
      </c>
      <c r="D200" s="43"/>
      <c r="E200" s="44" t="s">
        <v>6</v>
      </c>
    </row>
    <row r="201" ht="22.5" customHeight="1">
      <c r="A201" s="47"/>
      <c r="B201" s="45" t="s">
        <v>399</v>
      </c>
      <c r="C201" s="46" t="s">
        <v>400</v>
      </c>
      <c r="D201" s="43"/>
      <c r="E201" s="44" t="s">
        <v>6</v>
      </c>
    </row>
    <row r="202" ht="22.5" customHeight="1">
      <c r="A202" s="47"/>
      <c r="B202" s="45" t="s">
        <v>401</v>
      </c>
      <c r="C202" s="46" t="s">
        <v>402</v>
      </c>
      <c r="D202" s="48"/>
      <c r="E202" s="44" t="s">
        <v>6</v>
      </c>
    </row>
    <row r="203" ht="22.5" customHeight="1">
      <c r="A203" s="47"/>
      <c r="B203" s="45" t="s">
        <v>403</v>
      </c>
      <c r="C203" s="46" t="s">
        <v>404</v>
      </c>
      <c r="D203" s="43"/>
      <c r="E203" s="44" t="s">
        <v>6</v>
      </c>
    </row>
    <row r="204" ht="22.5" customHeight="1">
      <c r="A204" s="47"/>
      <c r="B204" s="41" t="s">
        <v>405</v>
      </c>
      <c r="C204" s="42" t="s">
        <v>406</v>
      </c>
      <c r="D204" s="43"/>
      <c r="E204" s="44" t="s">
        <v>6</v>
      </c>
    </row>
    <row r="205" ht="22.5" customHeight="1">
      <c r="A205" s="47"/>
      <c r="B205" s="45" t="s">
        <v>407</v>
      </c>
      <c r="C205" s="46" t="s">
        <v>408</v>
      </c>
      <c r="D205" s="43"/>
      <c r="E205" s="44" t="s">
        <v>6</v>
      </c>
    </row>
    <row r="206" ht="22.5" customHeight="1">
      <c r="A206" s="47"/>
      <c r="B206" s="45" t="s">
        <v>409</v>
      </c>
      <c r="C206" s="46" t="s">
        <v>410</v>
      </c>
      <c r="D206" s="43"/>
      <c r="E206" s="44" t="s">
        <v>6</v>
      </c>
    </row>
    <row r="207" ht="22.5" customHeight="1">
      <c r="A207" s="47"/>
      <c r="B207" s="45" t="s">
        <v>411</v>
      </c>
      <c r="C207" s="46" t="s">
        <v>412</v>
      </c>
      <c r="D207" s="43"/>
      <c r="E207" s="44" t="s">
        <v>6</v>
      </c>
    </row>
    <row r="208" ht="22.5" customHeight="1">
      <c r="A208" s="47"/>
      <c r="B208" s="45" t="s">
        <v>413</v>
      </c>
      <c r="C208" s="46" t="s">
        <v>414</v>
      </c>
      <c r="D208" s="43"/>
      <c r="E208" s="44" t="s">
        <v>6</v>
      </c>
    </row>
    <row r="209" ht="22.5" customHeight="1">
      <c r="A209" s="47"/>
      <c r="B209" s="45" t="s">
        <v>415</v>
      </c>
      <c r="C209" s="46" t="s">
        <v>416</v>
      </c>
      <c r="D209" s="43"/>
      <c r="E209" s="44" t="s">
        <v>6</v>
      </c>
    </row>
    <row r="210" ht="22.5" customHeight="1">
      <c r="A210" s="47"/>
      <c r="B210" s="45" t="s">
        <v>417</v>
      </c>
      <c r="C210" s="46" t="s">
        <v>418</v>
      </c>
      <c r="D210" s="43"/>
      <c r="E210" s="44" t="s">
        <v>6</v>
      </c>
    </row>
    <row r="211" ht="22.5" customHeight="1">
      <c r="A211" s="47"/>
      <c r="B211" s="45" t="s">
        <v>419</v>
      </c>
      <c r="C211" s="46" t="s">
        <v>420</v>
      </c>
      <c r="D211" s="43"/>
      <c r="E211" s="44" t="s">
        <v>6</v>
      </c>
    </row>
    <row r="212" ht="22.5" customHeight="1">
      <c r="A212" s="47"/>
      <c r="B212" s="41" t="s">
        <v>421</v>
      </c>
      <c r="C212" s="42" t="s">
        <v>422</v>
      </c>
      <c r="D212" s="43"/>
      <c r="E212" s="44" t="s">
        <v>6</v>
      </c>
    </row>
    <row r="213" ht="22.5" customHeight="1">
      <c r="A213" s="47"/>
      <c r="B213" s="45" t="s">
        <v>423</v>
      </c>
      <c r="C213" s="46" t="s">
        <v>424</v>
      </c>
      <c r="D213" s="43"/>
      <c r="E213" s="44" t="s">
        <v>6</v>
      </c>
    </row>
    <row r="214" ht="22.5" customHeight="1">
      <c r="A214" s="47"/>
      <c r="B214" s="45" t="s">
        <v>425</v>
      </c>
      <c r="C214" s="46" t="s">
        <v>426</v>
      </c>
      <c r="D214" s="43"/>
      <c r="E214" s="44" t="s">
        <v>6</v>
      </c>
    </row>
    <row r="215" ht="22.5" customHeight="1">
      <c r="A215" s="47"/>
      <c r="B215" s="41" t="s">
        <v>427</v>
      </c>
      <c r="C215" s="42" t="s">
        <v>428</v>
      </c>
      <c r="D215" s="43"/>
      <c r="E215" s="44" t="s">
        <v>6</v>
      </c>
    </row>
    <row r="216" ht="22.5" customHeight="1">
      <c r="A216" s="47"/>
      <c r="B216" s="45" t="s">
        <v>429</v>
      </c>
      <c r="C216" s="46" t="s">
        <v>430</v>
      </c>
      <c r="D216" s="43"/>
      <c r="E216" s="44" t="s">
        <v>6</v>
      </c>
    </row>
    <row r="217" ht="22.5" customHeight="1">
      <c r="A217" s="47"/>
      <c r="B217" s="41" t="s">
        <v>431</v>
      </c>
      <c r="C217" s="42" t="s">
        <v>432</v>
      </c>
      <c r="D217" s="43"/>
      <c r="E217" s="44" t="s">
        <v>6</v>
      </c>
    </row>
    <row r="218" ht="22.5" customHeight="1">
      <c r="A218" s="47"/>
      <c r="B218" s="45" t="s">
        <v>433</v>
      </c>
      <c r="C218" s="46" t="s">
        <v>434</v>
      </c>
      <c r="D218" s="43"/>
      <c r="E218" s="44" t="s">
        <v>6</v>
      </c>
    </row>
    <row r="219" ht="22.5" customHeight="1">
      <c r="A219" s="47"/>
      <c r="B219" s="41" t="s">
        <v>435</v>
      </c>
      <c r="C219" s="42" t="s">
        <v>436</v>
      </c>
      <c r="D219" s="43"/>
      <c r="E219" s="44" t="s">
        <v>6</v>
      </c>
    </row>
    <row r="220" ht="22.5" customHeight="1">
      <c r="A220" s="47"/>
      <c r="B220" s="45" t="s">
        <v>437</v>
      </c>
      <c r="C220" s="46" t="s">
        <v>438</v>
      </c>
      <c r="D220" s="43"/>
      <c r="E220" s="44" t="s">
        <v>6</v>
      </c>
    </row>
    <row r="221" ht="22.5" customHeight="1">
      <c r="A221" s="47"/>
      <c r="B221" s="45" t="s">
        <v>439</v>
      </c>
      <c r="C221" s="46" t="s">
        <v>440</v>
      </c>
      <c r="D221" s="43"/>
      <c r="E221" s="44" t="s">
        <v>6</v>
      </c>
    </row>
    <row r="222" ht="22.5" customHeight="1">
      <c r="A222" s="47"/>
      <c r="B222" s="45" t="s">
        <v>441</v>
      </c>
      <c r="C222" s="46" t="s">
        <v>442</v>
      </c>
      <c r="D222" s="48"/>
      <c r="E222" s="44" t="s">
        <v>6</v>
      </c>
    </row>
    <row r="223" ht="22.5" customHeight="1">
      <c r="A223" s="47"/>
      <c r="B223" s="45" t="s">
        <v>443</v>
      </c>
      <c r="C223" s="46" t="s">
        <v>444</v>
      </c>
      <c r="D223" s="43"/>
      <c r="E223" s="44" t="s">
        <v>6</v>
      </c>
    </row>
    <row r="224" ht="22.5" customHeight="1">
      <c r="A224" s="47"/>
      <c r="B224" s="45" t="s">
        <v>445</v>
      </c>
      <c r="C224" s="46" t="s">
        <v>446</v>
      </c>
      <c r="D224" s="43"/>
      <c r="E224" s="44" t="s">
        <v>6</v>
      </c>
    </row>
    <row r="225" ht="22.5" customHeight="1">
      <c r="A225" s="47"/>
      <c r="B225" s="41" t="s">
        <v>447</v>
      </c>
      <c r="C225" s="42" t="s">
        <v>448</v>
      </c>
      <c r="D225" s="43"/>
      <c r="E225" s="44" t="s">
        <v>6</v>
      </c>
    </row>
    <row r="226" ht="22.5" customHeight="1">
      <c r="A226" s="47"/>
      <c r="B226" s="45" t="s">
        <v>449</v>
      </c>
      <c r="C226" s="46" t="s">
        <v>450</v>
      </c>
      <c r="D226" s="43"/>
      <c r="E226" s="44" t="s">
        <v>6</v>
      </c>
    </row>
    <row r="227" ht="22.5" customHeight="1">
      <c r="A227" s="47"/>
      <c r="B227" s="45" t="s">
        <v>451</v>
      </c>
      <c r="C227" s="46" t="s">
        <v>452</v>
      </c>
      <c r="D227" s="43"/>
      <c r="E227" s="44" t="s">
        <v>6</v>
      </c>
    </row>
    <row r="228" ht="22.5" customHeight="1">
      <c r="A228" s="47"/>
      <c r="B228" s="45" t="s">
        <v>453</v>
      </c>
      <c r="C228" s="46" t="s">
        <v>454</v>
      </c>
      <c r="D228" s="43"/>
      <c r="E228" s="44" t="s">
        <v>6</v>
      </c>
    </row>
    <row r="229" ht="22.5" customHeight="1">
      <c r="A229" s="47"/>
      <c r="B229" s="45" t="s">
        <v>455</v>
      </c>
      <c r="C229" s="46" t="s">
        <v>456</v>
      </c>
      <c r="D229" s="43"/>
      <c r="E229" s="44" t="s">
        <v>6</v>
      </c>
    </row>
    <row r="230" ht="22.5" customHeight="1">
      <c r="A230" s="47"/>
      <c r="B230" s="41" t="s">
        <v>457</v>
      </c>
      <c r="C230" s="42" t="s">
        <v>458</v>
      </c>
      <c r="D230" s="43"/>
      <c r="E230" s="44" t="s">
        <v>6</v>
      </c>
    </row>
    <row r="231" ht="22.5" customHeight="1">
      <c r="A231" s="47"/>
      <c r="B231" s="45" t="s">
        <v>459</v>
      </c>
      <c r="C231" s="46" t="s">
        <v>460</v>
      </c>
      <c r="D231" s="43"/>
      <c r="E231" s="44" t="s">
        <v>6</v>
      </c>
    </row>
    <row r="232" ht="22.5" customHeight="1">
      <c r="A232" s="47"/>
      <c r="B232" s="41" t="s">
        <v>461</v>
      </c>
      <c r="C232" s="42" t="s">
        <v>462</v>
      </c>
      <c r="D232" s="43"/>
      <c r="E232" s="44" t="s">
        <v>6</v>
      </c>
    </row>
    <row r="233" ht="22.5" customHeight="1">
      <c r="A233" s="47"/>
      <c r="B233" s="45" t="s">
        <v>463</v>
      </c>
      <c r="C233" s="46" t="s">
        <v>464</v>
      </c>
      <c r="D233" s="49"/>
      <c r="E233" s="44" t="s">
        <v>6</v>
      </c>
    </row>
    <row r="234" ht="22.5" customHeight="1">
      <c r="A234" s="47"/>
      <c r="B234" s="45" t="s">
        <v>465</v>
      </c>
      <c r="C234" s="46" t="s">
        <v>466</v>
      </c>
      <c r="D234" s="43"/>
      <c r="E234" s="44" t="s">
        <v>6</v>
      </c>
    </row>
    <row r="235" ht="22.5" customHeight="1">
      <c r="A235" s="47"/>
      <c r="B235" s="41" t="s">
        <v>467</v>
      </c>
      <c r="C235" s="42" t="s">
        <v>468</v>
      </c>
      <c r="D235" s="43"/>
      <c r="E235" s="44" t="s">
        <v>6</v>
      </c>
    </row>
    <row r="236" ht="22.5" customHeight="1">
      <c r="A236" s="47"/>
      <c r="B236" s="41" t="s">
        <v>469</v>
      </c>
      <c r="C236" s="42" t="s">
        <v>470</v>
      </c>
      <c r="D236" s="43"/>
      <c r="E236" s="44" t="s">
        <v>6</v>
      </c>
    </row>
    <row r="237" ht="22.5" customHeight="1">
      <c r="A237" s="24"/>
      <c r="B237" s="45" t="s">
        <v>471</v>
      </c>
      <c r="C237" s="46" t="s">
        <v>472</v>
      </c>
      <c r="D237" s="43"/>
      <c r="E237" s="44" t="s">
        <v>6</v>
      </c>
    </row>
    <row r="238" ht="22.5" customHeight="1">
      <c r="A238" s="24"/>
      <c r="B238" s="41" t="s">
        <v>38</v>
      </c>
      <c r="C238" s="42" t="s">
        <v>473</v>
      </c>
      <c r="D238" s="48"/>
      <c r="E238" s="44" t="s">
        <v>6</v>
      </c>
    </row>
    <row r="239" ht="22.5" customHeight="1">
      <c r="A239" s="24"/>
      <c r="B239" s="45" t="s">
        <v>474</v>
      </c>
      <c r="C239" s="46" t="s">
        <v>475</v>
      </c>
      <c r="D239" s="43"/>
      <c r="E239" s="44" t="s">
        <v>6</v>
      </c>
    </row>
    <row r="240" ht="22.5" customHeight="1">
      <c r="A240" s="24"/>
      <c r="B240" s="45" t="s">
        <v>476</v>
      </c>
      <c r="C240" s="46" t="s">
        <v>477</v>
      </c>
      <c r="D240" s="43"/>
      <c r="E240" s="44" t="s">
        <v>6</v>
      </c>
    </row>
    <row r="241" ht="22.5" customHeight="1">
      <c r="A241" s="24"/>
      <c r="B241" s="45" t="s">
        <v>478</v>
      </c>
      <c r="C241" s="46" t="s">
        <v>479</v>
      </c>
      <c r="D241" s="43"/>
      <c r="E241" s="44" t="s">
        <v>6</v>
      </c>
    </row>
    <row r="242" ht="22.5" customHeight="1">
      <c r="A242" s="24"/>
      <c r="B242" s="41" t="s">
        <v>480</v>
      </c>
      <c r="C242" s="42" t="s">
        <v>481</v>
      </c>
      <c r="D242" s="43"/>
      <c r="E242" s="44" t="s">
        <v>6</v>
      </c>
    </row>
    <row r="243" ht="22.5" customHeight="1">
      <c r="A243" s="24"/>
      <c r="B243" s="45" t="s">
        <v>482</v>
      </c>
      <c r="C243" s="46" t="s">
        <v>483</v>
      </c>
      <c r="D243" s="43"/>
      <c r="E243" s="44" t="s">
        <v>6</v>
      </c>
    </row>
    <row r="244" ht="22.5" customHeight="1">
      <c r="A244" s="24"/>
      <c r="B244" s="45" t="s">
        <v>484</v>
      </c>
      <c r="C244" s="46" t="s">
        <v>485</v>
      </c>
      <c r="D244" s="43"/>
      <c r="E244" s="44" t="s">
        <v>6</v>
      </c>
    </row>
    <row r="245" ht="22.5" customHeight="1">
      <c r="A245" s="47"/>
      <c r="B245" s="45" t="s">
        <v>486</v>
      </c>
      <c r="C245" s="46" t="s">
        <v>487</v>
      </c>
      <c r="D245" s="43"/>
      <c r="E245" s="44" t="s">
        <v>6</v>
      </c>
    </row>
    <row r="246" ht="22.5" customHeight="1">
      <c r="A246" s="47"/>
      <c r="B246" s="45" t="s">
        <v>488</v>
      </c>
      <c r="C246" s="46" t="s">
        <v>489</v>
      </c>
      <c r="D246" s="43"/>
      <c r="E246" s="44" t="s">
        <v>6</v>
      </c>
    </row>
    <row r="247" ht="22.5" customHeight="1">
      <c r="A247" s="50"/>
      <c r="B247" s="51"/>
      <c r="C247" s="52"/>
      <c r="D247" s="48"/>
      <c r="E247" s="44" t="s">
        <v>6</v>
      </c>
    </row>
    <row r="248" ht="22.5" customHeight="1">
      <c r="A248" s="50"/>
      <c r="B248" s="51"/>
      <c r="C248" s="52"/>
      <c r="D248" s="48"/>
      <c r="E248" s="44" t="s">
        <v>6</v>
      </c>
    </row>
    <row r="249" ht="22.5" customHeight="1">
      <c r="A249" s="50"/>
      <c r="B249" s="51"/>
      <c r="C249" s="52"/>
      <c r="D249" s="48"/>
      <c r="E249" s="44" t="s">
        <v>6</v>
      </c>
    </row>
    <row r="250" ht="22.5" customHeight="1">
      <c r="A250" s="50"/>
      <c r="B250" s="51"/>
      <c r="C250" s="52"/>
      <c r="D250" s="48"/>
      <c r="E250" s="44" t="s">
        <v>6</v>
      </c>
    </row>
    <row r="251" ht="22.5" customHeight="1">
      <c r="A251" s="50"/>
      <c r="B251" s="51"/>
      <c r="C251" s="52"/>
      <c r="D251" s="48"/>
      <c r="E251" s="44" t="s">
        <v>6</v>
      </c>
    </row>
    <row r="252" ht="22.5" customHeight="1">
      <c r="A252" s="50"/>
      <c r="B252" s="51"/>
      <c r="C252" s="52"/>
      <c r="D252" s="48"/>
      <c r="E252" s="44" t="s">
        <v>6</v>
      </c>
    </row>
    <row r="253" ht="22.5" customHeight="1">
      <c r="A253" s="50"/>
      <c r="B253" s="51"/>
      <c r="C253" s="52"/>
      <c r="D253" s="48"/>
      <c r="E253" s="44" t="s">
        <v>6</v>
      </c>
    </row>
    <row r="254" ht="22.5" customHeight="1">
      <c r="A254" s="50"/>
      <c r="B254" s="51"/>
      <c r="C254" s="52"/>
      <c r="D254" s="48"/>
      <c r="E254" s="44" t="s">
        <v>6</v>
      </c>
    </row>
    <row r="255" ht="22.5" customHeight="1">
      <c r="A255" s="50"/>
      <c r="B255" s="51"/>
      <c r="C255" s="52"/>
      <c r="D255" s="48"/>
      <c r="E255" s="44" t="s">
        <v>6</v>
      </c>
    </row>
    <row r="256" ht="22.5" customHeight="1">
      <c r="A256" s="50"/>
      <c r="B256" s="51"/>
      <c r="C256" s="52"/>
      <c r="D256" s="48"/>
      <c r="E256" s="44" t="s">
        <v>6</v>
      </c>
    </row>
    <row r="257" ht="22.5" customHeight="1">
      <c r="A257" s="50"/>
      <c r="B257" s="51"/>
      <c r="C257" s="52"/>
      <c r="D257" s="48"/>
      <c r="E257" s="44" t="s">
        <v>6</v>
      </c>
    </row>
    <row r="258" ht="22.5" customHeight="1">
      <c r="A258" s="50"/>
      <c r="B258" s="51"/>
      <c r="C258" s="52"/>
      <c r="D258" s="48"/>
      <c r="E258" s="44" t="s">
        <v>6</v>
      </c>
    </row>
    <row r="259" ht="22.5" customHeight="1">
      <c r="A259" s="50"/>
      <c r="B259" s="51"/>
      <c r="C259" s="52"/>
      <c r="D259" s="48"/>
      <c r="E259" s="44" t="s">
        <v>6</v>
      </c>
    </row>
    <row r="260" ht="22.5" customHeight="1">
      <c r="A260" s="50"/>
      <c r="B260" s="51"/>
      <c r="C260" s="52"/>
      <c r="D260" s="48"/>
      <c r="E260" s="44" t="s">
        <v>6</v>
      </c>
    </row>
    <row r="261" ht="22.5" customHeight="1">
      <c r="A261" s="50"/>
      <c r="B261" s="51"/>
      <c r="C261" s="52"/>
      <c r="D261" s="48"/>
      <c r="E261" s="44" t="s">
        <v>6</v>
      </c>
    </row>
    <row r="262" ht="22.5" customHeight="1">
      <c r="A262" s="50"/>
      <c r="B262" s="51"/>
      <c r="C262" s="52"/>
      <c r="D262" s="48"/>
      <c r="E262" s="44" t="s">
        <v>6</v>
      </c>
    </row>
    <row r="263" ht="22.5" customHeight="1">
      <c r="A263" s="50"/>
      <c r="B263" s="51"/>
      <c r="C263" s="52"/>
      <c r="D263" s="48"/>
      <c r="E263" s="44" t="s">
        <v>6</v>
      </c>
    </row>
    <row r="264" ht="22.5" customHeight="1">
      <c r="A264" s="50"/>
      <c r="B264" s="51"/>
      <c r="C264" s="52"/>
      <c r="D264" s="48"/>
      <c r="E264" s="44" t="s">
        <v>6</v>
      </c>
    </row>
    <row r="265" ht="22.5" customHeight="1">
      <c r="A265" s="50"/>
      <c r="B265" s="51"/>
      <c r="C265" s="52"/>
      <c r="D265" s="48"/>
      <c r="E265" s="44" t="s">
        <v>6</v>
      </c>
    </row>
    <row r="266" ht="22.5" customHeight="1">
      <c r="A266" s="50"/>
      <c r="B266" s="51"/>
      <c r="C266" s="52"/>
      <c r="D266" s="48"/>
      <c r="E266" s="44" t="s">
        <v>6</v>
      </c>
    </row>
    <row r="267" ht="22.5" customHeight="1">
      <c r="A267" s="50"/>
      <c r="B267" s="51"/>
      <c r="C267" s="52"/>
      <c r="D267" s="48"/>
      <c r="E267" s="44" t="s">
        <v>6</v>
      </c>
    </row>
    <row r="268" ht="22.5" customHeight="1">
      <c r="A268" s="50"/>
      <c r="B268" s="51"/>
      <c r="C268" s="52"/>
      <c r="D268" s="48"/>
      <c r="E268" s="44" t="s">
        <v>6</v>
      </c>
    </row>
    <row r="269" ht="22.5" customHeight="1">
      <c r="A269" s="50"/>
      <c r="B269" s="51"/>
      <c r="C269" s="52"/>
      <c r="D269" s="48"/>
      <c r="E269" s="44" t="s">
        <v>6</v>
      </c>
    </row>
    <row r="270" ht="22.5" customHeight="1">
      <c r="A270" s="50"/>
      <c r="B270" s="51"/>
      <c r="C270" s="52"/>
      <c r="D270" s="48"/>
      <c r="E270" s="44" t="s">
        <v>6</v>
      </c>
    </row>
    <row r="271" ht="22.5" customHeight="1">
      <c r="A271" s="50"/>
      <c r="B271" s="51"/>
      <c r="C271" s="52"/>
      <c r="D271" s="48"/>
      <c r="E271" s="44" t="s">
        <v>6</v>
      </c>
    </row>
    <row r="272" ht="22.5" customHeight="1">
      <c r="A272" s="50"/>
      <c r="B272" s="51"/>
      <c r="C272" s="52"/>
      <c r="D272" s="48"/>
      <c r="E272" s="44" t="s">
        <v>6</v>
      </c>
    </row>
    <row r="273" ht="22.5" customHeight="1">
      <c r="A273" s="50"/>
      <c r="B273" s="51"/>
      <c r="C273" s="52"/>
      <c r="D273" s="48"/>
      <c r="E273" s="44" t="s">
        <v>6</v>
      </c>
    </row>
    <row r="274" ht="22.5" customHeight="1">
      <c r="A274" s="50"/>
      <c r="B274" s="51"/>
      <c r="C274" s="52"/>
      <c r="D274" s="48"/>
      <c r="E274" s="44" t="s">
        <v>6</v>
      </c>
    </row>
    <row r="275" ht="22.5" customHeight="1">
      <c r="A275" s="50"/>
      <c r="B275" s="51"/>
      <c r="C275" s="52"/>
      <c r="D275" s="48"/>
      <c r="E275" s="44" t="s">
        <v>6</v>
      </c>
    </row>
    <row r="276" ht="22.5" customHeight="1">
      <c r="A276" s="50"/>
      <c r="B276" s="51"/>
      <c r="C276" s="52"/>
      <c r="D276" s="48"/>
      <c r="E276" s="44" t="s">
        <v>6</v>
      </c>
    </row>
    <row r="277" ht="22.5" customHeight="1">
      <c r="A277" s="50"/>
      <c r="B277" s="51"/>
      <c r="C277" s="52"/>
      <c r="D277" s="48"/>
      <c r="E277" s="44" t="s">
        <v>6</v>
      </c>
    </row>
    <row r="278" ht="22.5" customHeight="1">
      <c r="A278" s="50"/>
      <c r="B278" s="51"/>
      <c r="C278" s="52"/>
      <c r="D278" s="48"/>
      <c r="E278" s="44" t="s">
        <v>6</v>
      </c>
    </row>
    <row r="279" ht="22.5" customHeight="1">
      <c r="A279" s="50"/>
      <c r="B279" s="51"/>
      <c r="C279" s="52"/>
      <c r="D279" s="48"/>
      <c r="E279" s="44" t="s">
        <v>6</v>
      </c>
    </row>
    <row r="280" ht="22.5" customHeight="1">
      <c r="A280" s="50"/>
      <c r="B280" s="51"/>
      <c r="C280" s="52"/>
      <c r="D280" s="48"/>
      <c r="E280" s="44" t="s">
        <v>6</v>
      </c>
    </row>
    <row r="281" ht="22.5" customHeight="1">
      <c r="A281" s="50"/>
      <c r="B281" s="51"/>
      <c r="C281" s="52"/>
      <c r="D281" s="48"/>
      <c r="E281" s="44" t="s">
        <v>6</v>
      </c>
    </row>
    <row r="282" ht="22.5" customHeight="1">
      <c r="A282" s="50"/>
      <c r="B282" s="51"/>
      <c r="C282" s="52"/>
      <c r="D282" s="48"/>
      <c r="E282" s="44" t="s">
        <v>6</v>
      </c>
    </row>
    <row r="283" ht="22.5" customHeight="1">
      <c r="A283" s="50"/>
      <c r="B283" s="51"/>
      <c r="C283" s="52"/>
      <c r="D283" s="48"/>
      <c r="E283" s="44" t="s">
        <v>6</v>
      </c>
    </row>
    <row r="284" ht="22.5" customHeight="1">
      <c r="A284" s="50"/>
      <c r="B284" s="51"/>
      <c r="C284" s="52"/>
      <c r="D284" s="48"/>
      <c r="E284" s="44" t="s">
        <v>6</v>
      </c>
    </row>
    <row r="285" ht="22.5" customHeight="1">
      <c r="A285" s="50"/>
      <c r="B285" s="51"/>
      <c r="C285" s="52"/>
      <c r="D285" s="48"/>
      <c r="E285" s="44" t="s">
        <v>6</v>
      </c>
    </row>
    <row r="286" ht="22.5" customHeight="1">
      <c r="A286" s="50"/>
      <c r="B286" s="51"/>
      <c r="C286" s="52"/>
      <c r="D286" s="48"/>
      <c r="E286" s="44" t="s">
        <v>6</v>
      </c>
    </row>
    <row r="287" ht="22.5" customHeight="1">
      <c r="A287" s="50"/>
      <c r="B287" s="51"/>
      <c r="C287" s="52"/>
      <c r="D287" s="48"/>
      <c r="E287" s="44" t="s">
        <v>6</v>
      </c>
    </row>
    <row r="288" ht="22.5" customHeight="1">
      <c r="A288" s="50"/>
      <c r="B288" s="51"/>
      <c r="C288" s="52"/>
      <c r="D288" s="48"/>
      <c r="E288" s="44" t="s">
        <v>6</v>
      </c>
    </row>
    <row r="289" ht="22.5" customHeight="1">
      <c r="A289" s="50"/>
      <c r="B289" s="51"/>
      <c r="C289" s="52"/>
      <c r="D289" s="48"/>
      <c r="E289" s="44" t="s">
        <v>6</v>
      </c>
    </row>
    <row r="290" ht="22.5" customHeight="1">
      <c r="A290" s="50"/>
      <c r="B290" s="51"/>
      <c r="C290" s="52"/>
      <c r="D290" s="48"/>
      <c r="E290" s="44" t="s">
        <v>6</v>
      </c>
    </row>
    <row r="291" ht="22.5" customHeight="1">
      <c r="A291" s="50"/>
      <c r="B291" s="51"/>
      <c r="C291" s="52"/>
      <c r="D291" s="48"/>
      <c r="E291" s="44" t="s">
        <v>6</v>
      </c>
    </row>
    <row r="292" ht="22.5" customHeight="1">
      <c r="A292" s="50"/>
      <c r="B292" s="51"/>
      <c r="C292" s="52"/>
      <c r="D292" s="48"/>
      <c r="E292" s="44" t="s">
        <v>6</v>
      </c>
    </row>
    <row r="293" ht="22.5" customHeight="1">
      <c r="A293" s="50"/>
      <c r="B293" s="51"/>
      <c r="C293" s="52"/>
      <c r="D293" s="48"/>
      <c r="E293" s="44" t="s">
        <v>6</v>
      </c>
    </row>
    <row r="294" ht="22.5" customHeight="1">
      <c r="A294" s="50"/>
      <c r="B294" s="51"/>
      <c r="C294" s="52"/>
      <c r="D294" s="48"/>
      <c r="E294" s="44" t="s">
        <v>6</v>
      </c>
    </row>
    <row r="295" ht="22.5" customHeight="1">
      <c r="A295" s="50"/>
      <c r="B295" s="51"/>
      <c r="C295" s="52"/>
      <c r="D295" s="48"/>
      <c r="E295" s="44" t="s">
        <v>6</v>
      </c>
    </row>
    <row r="296" ht="22.5" customHeight="1">
      <c r="A296" s="50"/>
      <c r="B296" s="51"/>
      <c r="C296" s="52"/>
      <c r="D296" s="48"/>
      <c r="E296" s="44" t="s">
        <v>6</v>
      </c>
    </row>
    <row r="297" ht="22.5" customHeight="1">
      <c r="A297" s="50"/>
      <c r="B297" s="51"/>
      <c r="C297" s="52"/>
      <c r="D297" s="48"/>
      <c r="E297" s="44" t="s">
        <v>6</v>
      </c>
    </row>
    <row r="298" ht="22.5" customHeight="1">
      <c r="A298" s="50"/>
      <c r="B298" s="51"/>
      <c r="C298" s="52"/>
      <c r="D298" s="48"/>
      <c r="E298" s="44" t="s">
        <v>6</v>
      </c>
    </row>
    <row r="299" ht="22.5" customHeight="1">
      <c r="A299" s="50"/>
      <c r="B299" s="51"/>
      <c r="C299" s="52"/>
      <c r="D299" s="48"/>
      <c r="E299" s="44" t="s">
        <v>6</v>
      </c>
    </row>
    <row r="300" ht="22.5" customHeight="1">
      <c r="A300" s="50"/>
      <c r="B300" s="51"/>
      <c r="C300" s="52"/>
      <c r="D300" s="48"/>
      <c r="E300" s="44" t="s">
        <v>6</v>
      </c>
    </row>
    <row r="301" ht="22.5" customHeight="1">
      <c r="A301" s="50"/>
      <c r="B301" s="51"/>
      <c r="C301" s="52"/>
      <c r="D301" s="48"/>
      <c r="E301" s="44" t="s">
        <v>6</v>
      </c>
    </row>
    <row r="302" ht="22.5" customHeight="1">
      <c r="A302" s="50"/>
      <c r="B302" s="51"/>
      <c r="C302" s="52"/>
      <c r="D302" s="48"/>
      <c r="E302" s="44" t="s">
        <v>6</v>
      </c>
    </row>
    <row r="303" ht="22.5" customHeight="1">
      <c r="A303" s="50"/>
      <c r="B303" s="51"/>
      <c r="C303" s="52"/>
      <c r="D303" s="48"/>
      <c r="E303" s="44" t="s">
        <v>6</v>
      </c>
    </row>
    <row r="304" ht="22.5" customHeight="1">
      <c r="A304" s="50"/>
      <c r="B304" s="51"/>
      <c r="C304" s="52"/>
      <c r="D304" s="48"/>
      <c r="E304" s="44" t="s">
        <v>6</v>
      </c>
    </row>
    <row r="305" ht="22.5" customHeight="1">
      <c r="A305" s="50"/>
      <c r="B305" s="51"/>
      <c r="C305" s="52"/>
      <c r="D305" s="48"/>
      <c r="E305" s="44" t="s">
        <v>6</v>
      </c>
    </row>
    <row r="306" ht="22.5" customHeight="1">
      <c r="A306" s="50"/>
      <c r="B306" s="51"/>
      <c r="C306" s="52"/>
      <c r="D306" s="48"/>
      <c r="E306" s="44" t="s">
        <v>6</v>
      </c>
    </row>
    <row r="307" ht="22.5" customHeight="1">
      <c r="A307" s="50"/>
      <c r="B307" s="51"/>
      <c r="C307" s="52"/>
      <c r="D307" s="48"/>
      <c r="E307" s="44" t="s">
        <v>6</v>
      </c>
    </row>
    <row r="308" ht="22.5" customHeight="1">
      <c r="A308" s="50"/>
      <c r="B308" s="51"/>
      <c r="C308" s="52"/>
      <c r="D308" s="48"/>
      <c r="E308" s="44" t="s">
        <v>6</v>
      </c>
    </row>
    <row r="309" ht="22.5" customHeight="1">
      <c r="A309" s="50"/>
      <c r="B309" s="51"/>
      <c r="C309" s="52"/>
      <c r="D309" s="48"/>
      <c r="E309" s="44" t="s">
        <v>6</v>
      </c>
    </row>
    <row r="310" ht="22.5" customHeight="1">
      <c r="A310" s="50"/>
      <c r="B310" s="51"/>
      <c r="C310" s="52"/>
      <c r="D310" s="48"/>
      <c r="E310" s="44" t="s">
        <v>6</v>
      </c>
    </row>
    <row r="311" ht="22.5" customHeight="1">
      <c r="A311" s="50"/>
      <c r="B311" s="51"/>
      <c r="C311" s="52"/>
      <c r="D311" s="48"/>
      <c r="E311" s="44" t="s">
        <v>6</v>
      </c>
    </row>
    <row r="312" ht="22.5" customHeight="1">
      <c r="A312" s="50"/>
      <c r="B312" s="51"/>
      <c r="C312" s="52"/>
      <c r="D312" s="48"/>
      <c r="E312" s="44" t="s">
        <v>6</v>
      </c>
    </row>
    <row r="313" ht="22.5" customHeight="1">
      <c r="A313" s="50"/>
      <c r="B313" s="51"/>
      <c r="C313" s="52"/>
      <c r="D313" s="48"/>
      <c r="E313" s="44" t="s">
        <v>6</v>
      </c>
    </row>
    <row r="314" ht="22.5" customHeight="1">
      <c r="A314" s="50"/>
      <c r="B314" s="51"/>
      <c r="C314" s="52"/>
      <c r="D314" s="48"/>
      <c r="E314" s="44" t="s">
        <v>6</v>
      </c>
    </row>
    <row r="315" ht="22.5" customHeight="1">
      <c r="A315" s="50"/>
      <c r="B315" s="51"/>
      <c r="C315" s="52"/>
      <c r="D315" s="48"/>
      <c r="E315" s="44" t="s">
        <v>6</v>
      </c>
    </row>
    <row r="316" ht="22.5" customHeight="1">
      <c r="A316" s="50"/>
      <c r="B316" s="51"/>
      <c r="C316" s="52"/>
      <c r="D316" s="48"/>
      <c r="E316" s="44" t="s">
        <v>6</v>
      </c>
    </row>
    <row r="317" ht="22.5" customHeight="1">
      <c r="A317" s="50"/>
      <c r="B317" s="51"/>
      <c r="C317" s="52"/>
      <c r="D317" s="48"/>
      <c r="E317" s="44" t="s">
        <v>6</v>
      </c>
    </row>
    <row r="318" ht="22.5" customHeight="1">
      <c r="A318" s="50"/>
      <c r="B318" s="51"/>
      <c r="C318" s="52"/>
      <c r="D318" s="48"/>
      <c r="E318" s="44" t="s">
        <v>6</v>
      </c>
    </row>
    <row r="319" ht="22.5" customHeight="1">
      <c r="A319" s="50"/>
      <c r="B319" s="51"/>
      <c r="C319" s="52"/>
      <c r="D319" s="48"/>
      <c r="E319" s="44" t="s">
        <v>6</v>
      </c>
    </row>
    <row r="320" ht="22.5" customHeight="1">
      <c r="A320" s="50"/>
      <c r="B320" s="51"/>
      <c r="C320" s="52"/>
      <c r="D320" s="48"/>
      <c r="E320" s="44" t="s">
        <v>6</v>
      </c>
    </row>
    <row r="321" ht="22.5" customHeight="1">
      <c r="A321" s="50"/>
      <c r="B321" s="51"/>
      <c r="C321" s="52"/>
      <c r="D321" s="48"/>
      <c r="E321" s="44" t="s">
        <v>6</v>
      </c>
    </row>
    <row r="322" ht="22.5" customHeight="1">
      <c r="A322" s="50"/>
      <c r="B322" s="51"/>
      <c r="C322" s="52"/>
      <c r="D322" s="48"/>
      <c r="E322" s="44" t="s">
        <v>6</v>
      </c>
    </row>
    <row r="323" ht="22.5" customHeight="1">
      <c r="A323" s="50"/>
      <c r="B323" s="51"/>
      <c r="C323" s="52"/>
      <c r="D323" s="48"/>
      <c r="E323" s="44" t="s">
        <v>6</v>
      </c>
    </row>
    <row r="324" ht="22.5" customHeight="1">
      <c r="A324" s="50"/>
      <c r="B324" s="51"/>
      <c r="C324" s="52"/>
      <c r="D324" s="48"/>
      <c r="E324" s="44" t="s">
        <v>6</v>
      </c>
    </row>
    <row r="325" ht="22.5" customHeight="1">
      <c r="A325" s="50"/>
      <c r="B325" s="51"/>
      <c r="C325" s="52"/>
      <c r="D325" s="48"/>
      <c r="E325" s="44" t="s">
        <v>6</v>
      </c>
    </row>
    <row r="326" ht="22.5" customHeight="1">
      <c r="A326" s="50"/>
      <c r="B326" s="51"/>
      <c r="C326" s="52"/>
      <c r="D326" s="48"/>
      <c r="E326" s="44" t="s">
        <v>6</v>
      </c>
    </row>
    <row r="327" ht="22.5" customHeight="1">
      <c r="A327" s="50"/>
      <c r="B327" s="51"/>
      <c r="C327" s="52"/>
      <c r="D327" s="48"/>
      <c r="E327" s="44" t="s">
        <v>6</v>
      </c>
    </row>
    <row r="328" ht="22.5" customHeight="1">
      <c r="A328" s="50"/>
      <c r="B328" s="51"/>
      <c r="C328" s="52"/>
      <c r="D328" s="48"/>
      <c r="E328" s="44" t="s">
        <v>6</v>
      </c>
    </row>
    <row r="329" ht="22.5" customHeight="1">
      <c r="A329" s="50"/>
      <c r="B329" s="51"/>
      <c r="C329" s="52"/>
      <c r="D329" s="48"/>
      <c r="E329" s="44" t="s">
        <v>6</v>
      </c>
    </row>
    <row r="330" ht="22.5" customHeight="1">
      <c r="A330" s="50"/>
      <c r="B330" s="51"/>
      <c r="C330" s="52"/>
      <c r="D330" s="48"/>
      <c r="E330" s="44" t="s">
        <v>6</v>
      </c>
    </row>
    <row r="331" ht="22.5" customHeight="1">
      <c r="A331" s="50"/>
      <c r="B331" s="51"/>
      <c r="C331" s="52"/>
      <c r="D331" s="48"/>
      <c r="E331" s="44" t="s">
        <v>6</v>
      </c>
    </row>
    <row r="332" ht="22.5" customHeight="1">
      <c r="A332" s="50"/>
      <c r="B332" s="51"/>
      <c r="C332" s="52"/>
      <c r="D332" s="48"/>
      <c r="E332" s="44" t="s">
        <v>6</v>
      </c>
    </row>
    <row r="333" ht="22.5" customHeight="1">
      <c r="A333" s="50"/>
      <c r="B333" s="51"/>
      <c r="C333" s="52"/>
      <c r="D333" s="48"/>
      <c r="E333" s="44" t="s">
        <v>6</v>
      </c>
    </row>
    <row r="334" ht="22.5" customHeight="1">
      <c r="A334" s="50"/>
      <c r="B334" s="51"/>
      <c r="C334" s="52"/>
      <c r="D334" s="48"/>
      <c r="E334" s="44" t="s">
        <v>6</v>
      </c>
    </row>
    <row r="335" ht="22.5" customHeight="1">
      <c r="A335" s="50"/>
      <c r="B335" s="51"/>
      <c r="C335" s="52"/>
      <c r="D335" s="48"/>
      <c r="E335" s="44" t="s">
        <v>6</v>
      </c>
    </row>
    <row r="336" ht="22.5" customHeight="1">
      <c r="A336" s="50"/>
      <c r="B336" s="51"/>
      <c r="C336" s="52"/>
      <c r="D336" s="48"/>
      <c r="E336" s="44" t="s">
        <v>6</v>
      </c>
    </row>
    <row r="337" ht="22.5" customHeight="1">
      <c r="A337" s="50"/>
      <c r="B337" s="51"/>
      <c r="C337" s="52"/>
      <c r="D337" s="48"/>
      <c r="E337" s="44" t="s">
        <v>6</v>
      </c>
    </row>
    <row r="338" ht="22.5" customHeight="1">
      <c r="A338" s="50"/>
      <c r="B338" s="51"/>
      <c r="C338" s="52"/>
      <c r="D338" s="48"/>
      <c r="E338" s="44" t="s">
        <v>6</v>
      </c>
    </row>
    <row r="339" ht="22.5" customHeight="1">
      <c r="A339" s="50"/>
      <c r="B339" s="51"/>
      <c r="C339" s="52"/>
      <c r="D339" s="48"/>
      <c r="E339" s="44" t="s">
        <v>6</v>
      </c>
    </row>
    <row r="340" ht="22.5" customHeight="1">
      <c r="A340" s="50"/>
      <c r="B340" s="51"/>
      <c r="C340" s="52"/>
      <c r="D340" s="48"/>
      <c r="E340" s="44" t="s">
        <v>6</v>
      </c>
    </row>
    <row r="341" ht="22.5" customHeight="1">
      <c r="A341" s="50"/>
      <c r="B341" s="51"/>
      <c r="C341" s="52"/>
      <c r="D341" s="48"/>
      <c r="E341" s="44" t="s">
        <v>6</v>
      </c>
    </row>
    <row r="342" ht="22.5" customHeight="1">
      <c r="A342" s="50"/>
      <c r="B342" s="51"/>
      <c r="C342" s="52"/>
      <c r="D342" s="48"/>
      <c r="E342" s="44" t="s">
        <v>6</v>
      </c>
    </row>
    <row r="343" ht="22.5" customHeight="1">
      <c r="A343" s="50"/>
      <c r="B343" s="51"/>
      <c r="C343" s="52"/>
      <c r="D343" s="48"/>
      <c r="E343" s="44" t="s">
        <v>6</v>
      </c>
    </row>
    <row r="344" ht="22.5" customHeight="1">
      <c r="A344" s="50"/>
      <c r="B344" s="51"/>
      <c r="C344" s="52"/>
      <c r="D344" s="48"/>
      <c r="E344" s="44" t="s">
        <v>6</v>
      </c>
    </row>
    <row r="345" ht="22.5" customHeight="1">
      <c r="A345" s="50"/>
      <c r="B345" s="51"/>
      <c r="C345" s="52"/>
      <c r="D345" s="48"/>
      <c r="E345" s="44" t="s">
        <v>6</v>
      </c>
    </row>
    <row r="346" ht="22.5" customHeight="1">
      <c r="A346" s="50"/>
      <c r="B346" s="51"/>
      <c r="C346" s="52"/>
      <c r="D346" s="48"/>
      <c r="E346" s="44" t="s">
        <v>6</v>
      </c>
    </row>
    <row r="347" ht="22.5" customHeight="1">
      <c r="A347" s="50"/>
      <c r="B347" s="51"/>
      <c r="C347" s="52"/>
      <c r="D347" s="48"/>
      <c r="E347" s="44" t="s">
        <v>6</v>
      </c>
    </row>
    <row r="348" ht="22.5" customHeight="1">
      <c r="A348" s="50"/>
      <c r="B348" s="51"/>
      <c r="C348" s="52"/>
      <c r="D348" s="48"/>
      <c r="E348" s="44" t="s">
        <v>6</v>
      </c>
    </row>
    <row r="349" ht="22.5" customHeight="1">
      <c r="A349" s="50"/>
      <c r="B349" s="51"/>
      <c r="C349" s="52"/>
      <c r="D349" s="48"/>
      <c r="E349" s="44" t="s">
        <v>6</v>
      </c>
    </row>
    <row r="350" ht="22.5" customHeight="1">
      <c r="A350" s="50"/>
      <c r="B350" s="51"/>
      <c r="C350" s="52"/>
      <c r="D350" s="48"/>
      <c r="E350" s="44" t="s">
        <v>6</v>
      </c>
    </row>
    <row r="351" ht="22.5" customHeight="1">
      <c r="A351" s="50"/>
      <c r="B351" s="51"/>
      <c r="C351" s="52"/>
      <c r="D351" s="48"/>
      <c r="E351" s="44" t="s">
        <v>6</v>
      </c>
    </row>
    <row r="352" ht="22.5" customHeight="1">
      <c r="A352" s="50"/>
      <c r="B352" s="51"/>
      <c r="C352" s="52"/>
      <c r="D352" s="48"/>
      <c r="E352" s="44" t="s">
        <v>6</v>
      </c>
    </row>
    <row r="353" ht="22.5" customHeight="1">
      <c r="A353" s="50"/>
      <c r="B353" s="51"/>
      <c r="C353" s="52"/>
      <c r="D353" s="48"/>
      <c r="E353" s="44" t="s">
        <v>6</v>
      </c>
    </row>
    <row r="354" ht="22.5" customHeight="1">
      <c r="A354" s="50"/>
      <c r="B354" s="51"/>
      <c r="C354" s="52"/>
      <c r="D354" s="48"/>
      <c r="E354" s="44" t="s">
        <v>6</v>
      </c>
    </row>
    <row r="355" ht="22.5" customHeight="1">
      <c r="A355" s="50"/>
      <c r="B355" s="51"/>
      <c r="C355" s="52"/>
      <c r="D355" s="48"/>
      <c r="E355" s="44" t="s">
        <v>6</v>
      </c>
    </row>
    <row r="356" ht="22.5" customHeight="1">
      <c r="A356" s="50"/>
      <c r="B356" s="51"/>
      <c r="C356" s="52"/>
      <c r="D356" s="48"/>
      <c r="E356" s="44" t="s">
        <v>6</v>
      </c>
    </row>
    <row r="357" ht="22.5" customHeight="1">
      <c r="A357" s="50"/>
      <c r="B357" s="51"/>
      <c r="C357" s="52"/>
      <c r="D357" s="48"/>
      <c r="E357" s="44" t="s">
        <v>6</v>
      </c>
    </row>
    <row r="358" ht="22.5" customHeight="1">
      <c r="A358" s="50"/>
      <c r="B358" s="51"/>
      <c r="C358" s="52"/>
      <c r="D358" s="48"/>
      <c r="E358" s="44" t="s">
        <v>6</v>
      </c>
    </row>
    <row r="359" ht="22.5" customHeight="1">
      <c r="A359" s="50"/>
      <c r="B359" s="51"/>
      <c r="C359" s="52"/>
      <c r="D359" s="48"/>
      <c r="E359" s="44" t="s">
        <v>6</v>
      </c>
    </row>
    <row r="360" ht="22.5" customHeight="1">
      <c r="A360" s="50"/>
      <c r="B360" s="51"/>
      <c r="C360" s="52"/>
      <c r="D360" s="48"/>
      <c r="E360" s="44" t="s">
        <v>6</v>
      </c>
    </row>
    <row r="361" ht="22.5" customHeight="1">
      <c r="A361" s="50"/>
      <c r="B361" s="51"/>
      <c r="C361" s="52"/>
      <c r="D361" s="48"/>
      <c r="E361" s="44" t="s">
        <v>6</v>
      </c>
    </row>
    <row r="362" ht="22.5" customHeight="1">
      <c r="A362" s="50"/>
      <c r="B362" s="51"/>
      <c r="C362" s="52"/>
      <c r="D362" s="48"/>
      <c r="E362" s="44" t="s">
        <v>6</v>
      </c>
    </row>
    <row r="363" ht="22.5" customHeight="1">
      <c r="A363" s="50"/>
      <c r="B363" s="51"/>
      <c r="C363" s="52"/>
      <c r="D363" s="48"/>
      <c r="E363" s="44" t="s">
        <v>6</v>
      </c>
    </row>
    <row r="364" ht="22.5" customHeight="1">
      <c r="A364" s="50"/>
      <c r="B364" s="51"/>
      <c r="C364" s="52"/>
      <c r="D364" s="48"/>
      <c r="E364" s="44" t="s">
        <v>6</v>
      </c>
    </row>
    <row r="365" ht="22.5" customHeight="1">
      <c r="A365" s="50"/>
      <c r="B365" s="51"/>
      <c r="C365" s="52"/>
      <c r="D365" s="48"/>
      <c r="E365" s="44" t="s">
        <v>6</v>
      </c>
    </row>
    <row r="366" ht="22.5" customHeight="1">
      <c r="A366" s="50"/>
      <c r="B366" s="51"/>
      <c r="C366" s="52"/>
      <c r="D366" s="48"/>
      <c r="E366" s="44" t="s">
        <v>6</v>
      </c>
    </row>
    <row r="367" ht="22.5" customHeight="1">
      <c r="A367" s="50"/>
      <c r="B367" s="51"/>
      <c r="C367" s="52"/>
      <c r="D367" s="48"/>
      <c r="E367" s="44" t="s">
        <v>6</v>
      </c>
    </row>
    <row r="368" ht="22.5" customHeight="1">
      <c r="A368" s="50"/>
      <c r="B368" s="51"/>
      <c r="C368" s="52"/>
      <c r="D368" s="48"/>
      <c r="E368" s="44" t="s">
        <v>6</v>
      </c>
    </row>
    <row r="369" ht="22.5" customHeight="1">
      <c r="A369" s="50"/>
      <c r="B369" s="51"/>
      <c r="C369" s="52"/>
      <c r="D369" s="48"/>
      <c r="E369" s="44" t="s">
        <v>6</v>
      </c>
    </row>
    <row r="370" ht="22.5" customHeight="1">
      <c r="A370" s="50"/>
      <c r="B370" s="51"/>
      <c r="C370" s="52"/>
      <c r="D370" s="48"/>
      <c r="E370" s="44" t="s">
        <v>6</v>
      </c>
    </row>
    <row r="371" ht="22.5" customHeight="1">
      <c r="A371" s="50"/>
      <c r="B371" s="51"/>
      <c r="C371" s="52"/>
      <c r="D371" s="48"/>
      <c r="E371" s="44" t="s">
        <v>6</v>
      </c>
    </row>
    <row r="372" ht="22.5" customHeight="1">
      <c r="A372" s="50"/>
      <c r="B372" s="51"/>
      <c r="C372" s="52"/>
      <c r="D372" s="48"/>
      <c r="E372" s="44" t="s">
        <v>6</v>
      </c>
    </row>
    <row r="373" ht="22.5" customHeight="1">
      <c r="A373" s="50"/>
      <c r="B373" s="51"/>
      <c r="C373" s="52"/>
      <c r="D373" s="48"/>
      <c r="E373" s="44" t="s">
        <v>6</v>
      </c>
    </row>
    <row r="374" ht="22.5" customHeight="1">
      <c r="A374" s="50"/>
      <c r="B374" s="51"/>
      <c r="C374" s="52"/>
      <c r="D374" s="48"/>
      <c r="E374" s="44" t="s">
        <v>6</v>
      </c>
    </row>
    <row r="375" ht="22.5" customHeight="1">
      <c r="A375" s="50"/>
      <c r="B375" s="51"/>
      <c r="C375" s="52"/>
      <c r="D375" s="48"/>
      <c r="E375" s="44" t="s">
        <v>6</v>
      </c>
    </row>
    <row r="376" ht="22.5" customHeight="1">
      <c r="A376" s="50"/>
      <c r="B376" s="51"/>
      <c r="C376" s="52"/>
      <c r="D376" s="48"/>
      <c r="E376" s="44" t="s">
        <v>6</v>
      </c>
    </row>
    <row r="377" ht="22.5" customHeight="1">
      <c r="A377" s="50"/>
      <c r="B377" s="51"/>
      <c r="C377" s="52"/>
      <c r="D377" s="48"/>
      <c r="E377" s="44" t="s">
        <v>6</v>
      </c>
    </row>
    <row r="378" ht="22.5" customHeight="1">
      <c r="A378" s="50"/>
      <c r="B378" s="51"/>
      <c r="C378" s="52"/>
      <c r="D378" s="48"/>
      <c r="E378" s="44" t="s">
        <v>6</v>
      </c>
    </row>
    <row r="379" ht="22.5" customHeight="1">
      <c r="A379" s="50"/>
      <c r="B379" s="51"/>
      <c r="C379" s="52"/>
      <c r="D379" s="48"/>
      <c r="E379" s="44" t="s">
        <v>6</v>
      </c>
    </row>
    <row r="380" ht="22.5" customHeight="1">
      <c r="A380" s="50"/>
      <c r="B380" s="51"/>
      <c r="C380" s="52"/>
      <c r="D380" s="48"/>
      <c r="E380" s="44" t="s">
        <v>6</v>
      </c>
    </row>
    <row r="381" ht="22.5" customHeight="1">
      <c r="A381" s="50"/>
      <c r="B381" s="51"/>
      <c r="C381" s="52"/>
      <c r="D381" s="48"/>
      <c r="E381" s="44" t="s">
        <v>6</v>
      </c>
    </row>
    <row r="382" ht="22.5" customHeight="1">
      <c r="A382" s="50"/>
      <c r="B382" s="51"/>
      <c r="C382" s="52"/>
      <c r="D382" s="48"/>
      <c r="E382" s="44" t="s">
        <v>6</v>
      </c>
    </row>
    <row r="383" ht="22.5" customHeight="1">
      <c r="A383" s="50"/>
      <c r="B383" s="51"/>
      <c r="C383" s="52"/>
      <c r="D383" s="48"/>
      <c r="E383" s="44" t="s">
        <v>6</v>
      </c>
    </row>
    <row r="384" ht="22.5" customHeight="1">
      <c r="A384" s="50"/>
      <c r="B384" s="51"/>
      <c r="C384" s="52"/>
      <c r="D384" s="48"/>
      <c r="E384" s="44" t="s">
        <v>6</v>
      </c>
    </row>
    <row r="385" ht="22.5" customHeight="1">
      <c r="A385" s="50"/>
      <c r="B385" s="51"/>
      <c r="C385" s="52"/>
      <c r="D385" s="48"/>
      <c r="E385" s="44" t="s">
        <v>6</v>
      </c>
    </row>
    <row r="386" ht="22.5" customHeight="1">
      <c r="A386" s="50"/>
      <c r="B386" s="51"/>
      <c r="C386" s="52"/>
      <c r="D386" s="48"/>
      <c r="E386" s="44" t="s">
        <v>6</v>
      </c>
    </row>
    <row r="387" ht="22.5" customHeight="1">
      <c r="A387" s="50"/>
      <c r="B387" s="51"/>
      <c r="C387" s="52"/>
      <c r="D387" s="48"/>
      <c r="E387" s="44" t="s">
        <v>6</v>
      </c>
    </row>
    <row r="388" ht="22.5" customHeight="1">
      <c r="A388" s="50"/>
      <c r="B388" s="51"/>
      <c r="C388" s="52"/>
      <c r="D388" s="48"/>
      <c r="E388" s="44" t="s">
        <v>6</v>
      </c>
    </row>
    <row r="389" ht="22.5" customHeight="1">
      <c r="A389" s="50"/>
      <c r="B389" s="51"/>
      <c r="C389" s="52"/>
      <c r="D389" s="48"/>
      <c r="E389" s="44" t="s">
        <v>6</v>
      </c>
    </row>
    <row r="390" ht="22.5" customHeight="1">
      <c r="A390" s="50"/>
      <c r="B390" s="51"/>
      <c r="C390" s="52"/>
      <c r="D390" s="48"/>
      <c r="E390" s="44" t="s">
        <v>6</v>
      </c>
    </row>
    <row r="391" ht="22.5" customHeight="1">
      <c r="A391" s="50"/>
      <c r="B391" s="51"/>
      <c r="C391" s="52"/>
      <c r="D391" s="48"/>
      <c r="E391" s="44" t="s">
        <v>6</v>
      </c>
    </row>
    <row r="392" ht="22.5" customHeight="1">
      <c r="A392" s="50"/>
      <c r="B392" s="51"/>
      <c r="C392" s="52"/>
      <c r="D392" s="48"/>
      <c r="E392" s="44" t="s">
        <v>6</v>
      </c>
    </row>
    <row r="393" ht="22.5" customHeight="1">
      <c r="A393" s="50"/>
      <c r="B393" s="51"/>
      <c r="C393" s="52"/>
      <c r="D393" s="48"/>
      <c r="E393" s="44" t="s">
        <v>6</v>
      </c>
    </row>
    <row r="394" ht="22.5" customHeight="1">
      <c r="A394" s="50"/>
      <c r="B394" s="51"/>
      <c r="C394" s="52"/>
      <c r="D394" s="48"/>
      <c r="E394" s="44" t="s">
        <v>6</v>
      </c>
    </row>
    <row r="395" ht="22.5" customHeight="1">
      <c r="A395" s="50"/>
      <c r="B395" s="51"/>
      <c r="C395" s="52"/>
      <c r="D395" s="48"/>
      <c r="E395" s="44" t="s">
        <v>6</v>
      </c>
    </row>
    <row r="396" ht="22.5" customHeight="1">
      <c r="A396" s="50"/>
      <c r="B396" s="51"/>
      <c r="C396" s="52"/>
      <c r="D396" s="48"/>
      <c r="E396" s="44" t="s">
        <v>6</v>
      </c>
    </row>
    <row r="397" ht="22.5" customHeight="1">
      <c r="A397" s="50"/>
      <c r="B397" s="51"/>
      <c r="C397" s="52"/>
      <c r="D397" s="48"/>
      <c r="E397" s="44" t="s">
        <v>6</v>
      </c>
    </row>
    <row r="398" ht="22.5" customHeight="1">
      <c r="A398" s="50"/>
      <c r="B398" s="51"/>
      <c r="C398" s="52"/>
      <c r="D398" s="48"/>
      <c r="E398" s="44" t="s">
        <v>6</v>
      </c>
    </row>
    <row r="399" ht="22.5" customHeight="1">
      <c r="A399" s="50"/>
      <c r="B399" s="51"/>
      <c r="C399" s="52"/>
      <c r="D399" s="48"/>
      <c r="E399" s="44" t="s">
        <v>6</v>
      </c>
    </row>
    <row r="400" ht="22.5" customHeight="1">
      <c r="A400" s="50"/>
      <c r="B400" s="51"/>
      <c r="C400" s="52"/>
      <c r="D400" s="48"/>
      <c r="E400" s="44" t="s">
        <v>6</v>
      </c>
    </row>
    <row r="401" ht="22.5" customHeight="1">
      <c r="A401" s="50"/>
      <c r="B401" s="51"/>
      <c r="C401" s="52"/>
      <c r="D401" s="48"/>
      <c r="E401" s="44" t="s">
        <v>6</v>
      </c>
    </row>
    <row r="402" ht="22.5" customHeight="1">
      <c r="A402" s="50"/>
      <c r="B402" s="51"/>
      <c r="C402" s="52"/>
      <c r="D402" s="48"/>
      <c r="E402" s="44" t="s">
        <v>6</v>
      </c>
    </row>
    <row r="403" ht="22.5" customHeight="1">
      <c r="A403" s="50"/>
      <c r="B403" s="51"/>
      <c r="C403" s="52"/>
      <c r="D403" s="48"/>
      <c r="E403" s="44" t="s">
        <v>6</v>
      </c>
    </row>
    <row r="404" ht="22.5" customHeight="1">
      <c r="A404" s="50"/>
      <c r="B404" s="51"/>
      <c r="C404" s="52"/>
      <c r="D404" s="48"/>
      <c r="E404" s="44" t="s">
        <v>6</v>
      </c>
    </row>
    <row r="405" ht="22.5" customHeight="1">
      <c r="A405" s="50"/>
      <c r="B405" s="51"/>
      <c r="C405" s="52"/>
      <c r="D405" s="48"/>
      <c r="E405" s="44" t="s">
        <v>6</v>
      </c>
    </row>
    <row r="406" ht="22.5" customHeight="1">
      <c r="A406" s="50"/>
      <c r="B406" s="51"/>
      <c r="C406" s="52"/>
      <c r="D406" s="48"/>
      <c r="E406" s="44" t="s">
        <v>6</v>
      </c>
    </row>
    <row r="407" ht="22.5" customHeight="1">
      <c r="A407" s="50"/>
      <c r="B407" s="51"/>
      <c r="C407" s="52"/>
      <c r="D407" s="48"/>
      <c r="E407" s="44" t="s">
        <v>6</v>
      </c>
    </row>
    <row r="408" ht="22.5" customHeight="1">
      <c r="A408" s="50"/>
      <c r="B408" s="51"/>
      <c r="C408" s="52"/>
      <c r="D408" s="48"/>
      <c r="E408" s="44" t="s">
        <v>6</v>
      </c>
    </row>
    <row r="409" ht="22.5" customHeight="1">
      <c r="A409" s="50"/>
      <c r="B409" s="51"/>
      <c r="C409" s="52"/>
      <c r="D409" s="48"/>
      <c r="E409" s="44" t="s">
        <v>6</v>
      </c>
    </row>
    <row r="410" ht="22.5" customHeight="1">
      <c r="A410" s="50"/>
      <c r="B410" s="51"/>
      <c r="C410" s="52"/>
      <c r="D410" s="48"/>
      <c r="E410" s="44" t="s">
        <v>6</v>
      </c>
    </row>
    <row r="411" ht="22.5" customHeight="1">
      <c r="A411" s="50"/>
      <c r="B411" s="51"/>
      <c r="C411" s="52"/>
      <c r="D411" s="48"/>
      <c r="E411" s="44" t="s">
        <v>6</v>
      </c>
    </row>
    <row r="412" ht="22.5" customHeight="1">
      <c r="A412" s="50"/>
      <c r="B412" s="51"/>
      <c r="C412" s="52"/>
      <c r="D412" s="48"/>
      <c r="E412" s="44" t="s">
        <v>6</v>
      </c>
    </row>
    <row r="413" ht="22.5" customHeight="1">
      <c r="A413" s="50"/>
      <c r="B413" s="51"/>
      <c r="C413" s="52"/>
      <c r="D413" s="48"/>
      <c r="E413" s="44" t="s">
        <v>6</v>
      </c>
    </row>
    <row r="414" ht="22.5" customHeight="1">
      <c r="A414" s="50"/>
      <c r="B414" s="51"/>
      <c r="C414" s="52"/>
      <c r="D414" s="48"/>
      <c r="E414" s="44" t="s">
        <v>6</v>
      </c>
    </row>
    <row r="415" ht="22.5" customHeight="1">
      <c r="A415" s="50"/>
      <c r="B415" s="51"/>
      <c r="C415" s="52"/>
      <c r="D415" s="48"/>
      <c r="E415" s="44" t="s">
        <v>6</v>
      </c>
    </row>
    <row r="416" ht="22.5" customHeight="1">
      <c r="A416" s="50"/>
      <c r="B416" s="51"/>
      <c r="C416" s="52"/>
      <c r="D416" s="48"/>
      <c r="E416" s="44" t="s">
        <v>6</v>
      </c>
    </row>
    <row r="417" ht="22.5" customHeight="1">
      <c r="A417" s="50"/>
      <c r="B417" s="51"/>
      <c r="C417" s="52"/>
      <c r="D417" s="48"/>
      <c r="E417" s="44" t="s">
        <v>6</v>
      </c>
    </row>
    <row r="418" ht="22.5" customHeight="1">
      <c r="A418" s="50"/>
      <c r="B418" s="51"/>
      <c r="C418" s="52"/>
      <c r="D418" s="48"/>
      <c r="E418" s="44" t="s">
        <v>6</v>
      </c>
    </row>
    <row r="419" ht="22.5" customHeight="1">
      <c r="A419" s="50"/>
      <c r="B419" s="51"/>
      <c r="C419" s="52"/>
      <c r="D419" s="48"/>
      <c r="E419" s="44" t="s">
        <v>6</v>
      </c>
    </row>
    <row r="420" ht="22.5" customHeight="1">
      <c r="A420" s="50"/>
      <c r="B420" s="51"/>
      <c r="C420" s="52"/>
      <c r="D420" s="48"/>
      <c r="E420" s="44" t="s">
        <v>6</v>
      </c>
    </row>
    <row r="421" ht="22.5" customHeight="1">
      <c r="A421" s="50"/>
      <c r="B421" s="51"/>
      <c r="C421" s="52"/>
      <c r="D421" s="48"/>
      <c r="E421" s="44" t="s">
        <v>6</v>
      </c>
    </row>
    <row r="422" ht="22.5" customHeight="1">
      <c r="A422" s="50"/>
      <c r="B422" s="51"/>
      <c r="C422" s="52"/>
      <c r="D422" s="48"/>
      <c r="E422" s="44" t="s">
        <v>6</v>
      </c>
    </row>
    <row r="423" ht="22.5" customHeight="1">
      <c r="A423" s="50"/>
      <c r="B423" s="51"/>
      <c r="C423" s="52"/>
      <c r="D423" s="48"/>
      <c r="E423" s="44" t="s">
        <v>6</v>
      </c>
    </row>
    <row r="424" ht="22.5" customHeight="1">
      <c r="A424" s="50"/>
      <c r="B424" s="51"/>
      <c r="C424" s="52"/>
      <c r="D424" s="48"/>
      <c r="E424" s="44" t="s">
        <v>6</v>
      </c>
    </row>
    <row r="425" ht="22.5" customHeight="1">
      <c r="A425" s="50"/>
      <c r="B425" s="51"/>
      <c r="C425" s="52"/>
      <c r="D425" s="48"/>
      <c r="E425" s="44" t="s">
        <v>6</v>
      </c>
    </row>
    <row r="426" ht="22.5" customHeight="1">
      <c r="A426" s="50"/>
      <c r="B426" s="51"/>
      <c r="C426" s="52"/>
      <c r="D426" s="48"/>
      <c r="E426" s="44" t="s">
        <v>6</v>
      </c>
    </row>
    <row r="427" ht="22.5" customHeight="1">
      <c r="A427" s="50"/>
      <c r="B427" s="51"/>
      <c r="C427" s="52"/>
      <c r="D427" s="48"/>
      <c r="E427" s="44" t="s">
        <v>6</v>
      </c>
    </row>
    <row r="428" ht="22.5" customHeight="1">
      <c r="A428" s="50"/>
      <c r="B428" s="51"/>
      <c r="C428" s="52"/>
      <c r="D428" s="48"/>
      <c r="E428" s="44" t="s">
        <v>6</v>
      </c>
    </row>
    <row r="429" ht="22.5" customHeight="1">
      <c r="A429" s="50"/>
      <c r="B429" s="51"/>
      <c r="C429" s="52"/>
      <c r="D429" s="48"/>
      <c r="E429" s="44" t="s">
        <v>6</v>
      </c>
    </row>
    <row r="430" ht="22.5" customHeight="1">
      <c r="A430" s="50"/>
      <c r="B430" s="51"/>
      <c r="C430" s="52"/>
      <c r="D430" s="48"/>
      <c r="E430" s="44" t="s">
        <v>6</v>
      </c>
    </row>
    <row r="431" ht="22.5" customHeight="1">
      <c r="A431" s="50"/>
      <c r="B431" s="51"/>
      <c r="C431" s="52"/>
      <c r="D431" s="48"/>
      <c r="E431" s="44" t="s">
        <v>6</v>
      </c>
    </row>
    <row r="432" ht="22.5" customHeight="1">
      <c r="A432" s="50"/>
      <c r="B432" s="51"/>
      <c r="C432" s="52"/>
      <c r="D432" s="48"/>
      <c r="E432" s="44" t="s">
        <v>6</v>
      </c>
    </row>
    <row r="433" ht="22.5" customHeight="1">
      <c r="A433" s="50"/>
      <c r="B433" s="51"/>
      <c r="C433" s="52"/>
      <c r="D433" s="48"/>
      <c r="E433" s="44" t="s">
        <v>6</v>
      </c>
    </row>
    <row r="434" ht="22.5" customHeight="1">
      <c r="A434" s="50"/>
      <c r="B434" s="51"/>
      <c r="C434" s="52"/>
      <c r="D434" s="48"/>
      <c r="E434" s="44" t="s">
        <v>6</v>
      </c>
    </row>
    <row r="435" ht="22.5" customHeight="1">
      <c r="A435" s="50"/>
      <c r="B435" s="51"/>
      <c r="C435" s="52"/>
      <c r="D435" s="48"/>
      <c r="E435" s="44" t="s">
        <v>6</v>
      </c>
    </row>
    <row r="436" ht="22.5" customHeight="1">
      <c r="A436" s="50"/>
      <c r="B436" s="51"/>
      <c r="C436" s="52"/>
      <c r="D436" s="48"/>
      <c r="E436" s="44" t="s">
        <v>6</v>
      </c>
    </row>
    <row r="437" ht="22.5" customHeight="1">
      <c r="A437" s="50"/>
      <c r="B437" s="51"/>
      <c r="C437" s="52"/>
      <c r="D437" s="48"/>
      <c r="E437" s="44" t="s">
        <v>6</v>
      </c>
    </row>
    <row r="438" ht="22.5" customHeight="1">
      <c r="A438" s="50"/>
      <c r="B438" s="51"/>
      <c r="C438" s="52"/>
      <c r="D438" s="48"/>
      <c r="E438" s="44" t="s">
        <v>6</v>
      </c>
    </row>
    <row r="439" ht="22.5" customHeight="1">
      <c r="A439" s="50"/>
      <c r="B439" s="51"/>
      <c r="C439" s="52"/>
      <c r="D439" s="48"/>
      <c r="E439" s="44" t="s">
        <v>6</v>
      </c>
    </row>
    <row r="440" ht="22.5" customHeight="1">
      <c r="A440" s="50"/>
      <c r="B440" s="51"/>
      <c r="C440" s="52"/>
      <c r="D440" s="48"/>
      <c r="E440" s="44" t="s">
        <v>6</v>
      </c>
    </row>
    <row r="441" ht="22.5" customHeight="1">
      <c r="A441" s="50"/>
      <c r="B441" s="51"/>
      <c r="C441" s="52"/>
      <c r="D441" s="48"/>
      <c r="E441" s="44" t="s">
        <v>6</v>
      </c>
    </row>
    <row r="442" ht="22.5" customHeight="1">
      <c r="A442" s="50"/>
      <c r="B442" s="51"/>
      <c r="C442" s="52"/>
      <c r="D442" s="48"/>
      <c r="E442" s="44" t="s">
        <v>6</v>
      </c>
    </row>
    <row r="443" ht="22.5" customHeight="1">
      <c r="A443" s="50"/>
      <c r="B443" s="51"/>
      <c r="C443" s="52"/>
      <c r="D443" s="48"/>
      <c r="E443" s="44" t="s">
        <v>6</v>
      </c>
    </row>
    <row r="444" ht="22.5" customHeight="1">
      <c r="A444" s="50"/>
      <c r="B444" s="51"/>
      <c r="C444" s="52"/>
      <c r="D444" s="48"/>
      <c r="E444" s="44" t="s">
        <v>6</v>
      </c>
    </row>
    <row r="445" ht="22.5" customHeight="1">
      <c r="A445" s="50"/>
      <c r="B445" s="51"/>
      <c r="C445" s="52"/>
      <c r="D445" s="48"/>
      <c r="E445" s="44" t="s">
        <v>6</v>
      </c>
    </row>
    <row r="446" ht="22.5" customHeight="1">
      <c r="A446" s="50"/>
      <c r="B446" s="51"/>
      <c r="C446" s="52"/>
      <c r="D446" s="48"/>
      <c r="E446" s="44" t="s">
        <v>6</v>
      </c>
    </row>
    <row r="447" ht="22.5" customHeight="1">
      <c r="A447" s="50"/>
      <c r="B447" s="51"/>
      <c r="C447" s="52"/>
      <c r="D447" s="48"/>
      <c r="E447" s="44" t="s">
        <v>6</v>
      </c>
    </row>
    <row r="448" ht="22.5" customHeight="1">
      <c r="A448" s="50"/>
      <c r="B448" s="51"/>
      <c r="C448" s="52"/>
      <c r="D448" s="48"/>
      <c r="E448" s="44" t="s">
        <v>6</v>
      </c>
    </row>
    <row r="449" ht="22.5" customHeight="1">
      <c r="A449" s="50"/>
      <c r="B449" s="51"/>
      <c r="C449" s="52"/>
      <c r="D449" s="48"/>
      <c r="E449" s="44" t="s">
        <v>6</v>
      </c>
    </row>
    <row r="450" ht="22.5" customHeight="1">
      <c r="A450" s="50"/>
      <c r="B450" s="51"/>
      <c r="C450" s="52"/>
      <c r="D450" s="48"/>
      <c r="E450" s="44" t="s">
        <v>6</v>
      </c>
    </row>
    <row r="451" ht="22.5" customHeight="1">
      <c r="A451" s="50"/>
      <c r="B451" s="51"/>
      <c r="C451" s="52"/>
      <c r="D451" s="48"/>
      <c r="E451" s="44" t="s">
        <v>6</v>
      </c>
    </row>
    <row r="452" ht="22.5" customHeight="1">
      <c r="A452" s="50"/>
      <c r="B452" s="51"/>
      <c r="C452" s="52"/>
      <c r="D452" s="48"/>
      <c r="E452" s="44" t="s">
        <v>6</v>
      </c>
    </row>
    <row r="453" ht="22.5" customHeight="1">
      <c r="A453" s="50"/>
      <c r="B453" s="51"/>
      <c r="C453" s="52"/>
      <c r="D453" s="48"/>
      <c r="E453" s="44" t="s">
        <v>6</v>
      </c>
    </row>
    <row r="454" ht="22.5" customHeight="1">
      <c r="A454" s="50"/>
      <c r="B454" s="51"/>
      <c r="C454" s="52"/>
      <c r="D454" s="48"/>
      <c r="E454" s="44" t="s">
        <v>6</v>
      </c>
    </row>
    <row r="455" ht="22.5" customHeight="1">
      <c r="A455" s="50"/>
      <c r="B455" s="51"/>
      <c r="C455" s="52"/>
      <c r="D455" s="48"/>
      <c r="E455" s="44" t="s">
        <v>6</v>
      </c>
    </row>
    <row r="456" ht="22.5" customHeight="1">
      <c r="A456" s="50"/>
      <c r="B456" s="51"/>
      <c r="C456" s="52"/>
      <c r="D456" s="48"/>
      <c r="E456" s="44" t="s">
        <v>6</v>
      </c>
    </row>
    <row r="457" ht="22.5" customHeight="1">
      <c r="A457" s="50"/>
      <c r="B457" s="51"/>
      <c r="C457" s="52"/>
      <c r="D457" s="48"/>
      <c r="E457" s="44" t="s">
        <v>6</v>
      </c>
    </row>
    <row r="458" ht="22.5" customHeight="1">
      <c r="A458" s="50"/>
      <c r="B458" s="51"/>
      <c r="C458" s="52"/>
      <c r="D458" s="48"/>
      <c r="E458" s="44" t="s">
        <v>6</v>
      </c>
    </row>
    <row r="459" ht="22.5" customHeight="1">
      <c r="A459" s="50"/>
      <c r="B459" s="51"/>
      <c r="C459" s="52"/>
      <c r="D459" s="48"/>
      <c r="E459" s="44" t="s">
        <v>6</v>
      </c>
    </row>
    <row r="460" ht="22.5" customHeight="1">
      <c r="A460" s="50"/>
      <c r="B460" s="51"/>
      <c r="C460" s="52"/>
      <c r="D460" s="48"/>
      <c r="E460" s="44" t="s">
        <v>6</v>
      </c>
    </row>
    <row r="461" ht="22.5" customHeight="1">
      <c r="A461" s="50"/>
      <c r="B461" s="51"/>
      <c r="C461" s="52"/>
      <c r="D461" s="48"/>
      <c r="E461" s="44" t="s">
        <v>6</v>
      </c>
    </row>
    <row r="462" ht="22.5" customHeight="1">
      <c r="A462" s="50"/>
      <c r="B462" s="51"/>
      <c r="C462" s="52"/>
      <c r="D462" s="48"/>
      <c r="E462" s="44" t="s">
        <v>6</v>
      </c>
    </row>
    <row r="463" ht="22.5" customHeight="1">
      <c r="A463" s="50"/>
      <c r="B463" s="51"/>
      <c r="C463" s="52"/>
      <c r="D463" s="48"/>
      <c r="E463" s="44" t="s">
        <v>6</v>
      </c>
    </row>
    <row r="464" ht="22.5" customHeight="1">
      <c r="A464" s="50"/>
      <c r="B464" s="51"/>
      <c r="C464" s="52"/>
      <c r="D464" s="48"/>
      <c r="E464" s="44" t="s">
        <v>6</v>
      </c>
    </row>
    <row r="465" ht="22.5" customHeight="1">
      <c r="A465" s="50"/>
      <c r="B465" s="51"/>
      <c r="C465" s="52"/>
      <c r="D465" s="48"/>
      <c r="E465" s="44" t="s">
        <v>6</v>
      </c>
    </row>
    <row r="466" ht="22.5" customHeight="1">
      <c r="A466" s="50"/>
      <c r="B466" s="51"/>
      <c r="C466" s="52"/>
      <c r="D466" s="48"/>
      <c r="E466" s="44" t="s">
        <v>6</v>
      </c>
    </row>
    <row r="467" ht="22.5" customHeight="1">
      <c r="A467" s="50"/>
      <c r="B467" s="51"/>
      <c r="C467" s="52"/>
      <c r="D467" s="48"/>
      <c r="E467" s="44" t="s">
        <v>6</v>
      </c>
    </row>
    <row r="468" ht="22.5" customHeight="1">
      <c r="A468" s="50"/>
      <c r="B468" s="51"/>
      <c r="C468" s="52"/>
      <c r="D468" s="48"/>
      <c r="E468" s="44" t="s">
        <v>6</v>
      </c>
    </row>
    <row r="469" ht="22.5" customHeight="1">
      <c r="A469" s="50"/>
      <c r="B469" s="51"/>
      <c r="C469" s="52"/>
      <c r="D469" s="48"/>
      <c r="E469" s="44" t="s">
        <v>6</v>
      </c>
    </row>
    <row r="470" ht="22.5" customHeight="1">
      <c r="A470" s="50"/>
      <c r="B470" s="51"/>
      <c r="C470" s="52"/>
      <c r="D470" s="48"/>
      <c r="E470" s="44" t="s">
        <v>6</v>
      </c>
    </row>
    <row r="471" ht="22.5" customHeight="1">
      <c r="A471" s="50"/>
      <c r="B471" s="51"/>
      <c r="C471" s="52"/>
      <c r="D471" s="48"/>
      <c r="E471" s="44" t="s">
        <v>6</v>
      </c>
    </row>
    <row r="472" ht="22.5" customHeight="1">
      <c r="A472" s="50"/>
      <c r="B472" s="51"/>
      <c r="C472" s="52"/>
      <c r="D472" s="48"/>
      <c r="E472" s="44" t="s">
        <v>6</v>
      </c>
    </row>
    <row r="473" ht="22.5" customHeight="1">
      <c r="A473" s="50"/>
      <c r="B473" s="51"/>
      <c r="C473" s="52"/>
      <c r="D473" s="48"/>
      <c r="E473" s="44" t="s">
        <v>6</v>
      </c>
    </row>
    <row r="474" ht="22.5" customHeight="1">
      <c r="A474" s="50"/>
      <c r="B474" s="51"/>
      <c r="C474" s="52"/>
      <c r="D474" s="48"/>
      <c r="E474" s="44" t="s">
        <v>6</v>
      </c>
    </row>
    <row r="475" ht="22.5" customHeight="1">
      <c r="A475" s="50"/>
      <c r="B475" s="51"/>
      <c r="C475" s="52"/>
      <c r="D475" s="48"/>
      <c r="E475" s="44" t="s">
        <v>6</v>
      </c>
    </row>
    <row r="476" ht="22.5" customHeight="1">
      <c r="A476" s="50"/>
      <c r="B476" s="51"/>
      <c r="C476" s="52"/>
      <c r="D476" s="48"/>
      <c r="E476" s="44" t="s">
        <v>6</v>
      </c>
    </row>
    <row r="477" ht="22.5" customHeight="1">
      <c r="A477" s="50"/>
      <c r="B477" s="51"/>
      <c r="C477" s="52"/>
      <c r="D477" s="48"/>
      <c r="E477" s="44" t="s">
        <v>6</v>
      </c>
    </row>
    <row r="478" ht="22.5" customHeight="1">
      <c r="A478" s="50"/>
      <c r="B478" s="51"/>
      <c r="C478" s="52"/>
      <c r="D478" s="48"/>
      <c r="E478" s="44" t="s">
        <v>6</v>
      </c>
    </row>
    <row r="479" ht="22.5" customHeight="1">
      <c r="A479" s="50"/>
      <c r="B479" s="51"/>
      <c r="C479" s="52"/>
      <c r="D479" s="48"/>
      <c r="E479" s="44" t="s">
        <v>6</v>
      </c>
    </row>
    <row r="480" ht="22.5" customHeight="1">
      <c r="A480" s="50"/>
      <c r="B480" s="51"/>
      <c r="C480" s="52"/>
      <c r="D480" s="48"/>
      <c r="E480" s="44" t="s">
        <v>6</v>
      </c>
    </row>
    <row r="481" ht="22.5" customHeight="1">
      <c r="A481" s="50"/>
      <c r="B481" s="51"/>
      <c r="C481" s="52"/>
      <c r="D481" s="48"/>
      <c r="E481" s="44" t="s">
        <v>6</v>
      </c>
    </row>
    <row r="482" ht="22.5" customHeight="1">
      <c r="A482" s="50"/>
      <c r="B482" s="51"/>
      <c r="C482" s="52"/>
      <c r="D482" s="48"/>
      <c r="E482" s="44" t="s">
        <v>6</v>
      </c>
    </row>
    <row r="483" ht="22.5" customHeight="1">
      <c r="A483" s="50"/>
      <c r="B483" s="51"/>
      <c r="C483" s="52"/>
      <c r="D483" s="48"/>
      <c r="E483" s="44" t="s">
        <v>6</v>
      </c>
    </row>
    <row r="484" ht="22.5" customHeight="1">
      <c r="A484" s="50"/>
      <c r="B484" s="51"/>
      <c r="C484" s="52"/>
      <c r="D484" s="48"/>
      <c r="E484" s="44" t="s">
        <v>6</v>
      </c>
    </row>
    <row r="485" ht="22.5" customHeight="1">
      <c r="A485" s="50"/>
      <c r="B485" s="51"/>
      <c r="C485" s="52"/>
      <c r="D485" s="48"/>
      <c r="E485" s="44" t="s">
        <v>6</v>
      </c>
    </row>
    <row r="486" ht="22.5" customHeight="1">
      <c r="A486" s="50"/>
      <c r="B486" s="51"/>
      <c r="C486" s="52"/>
      <c r="D486" s="48"/>
      <c r="E486" s="44" t="s">
        <v>6</v>
      </c>
    </row>
    <row r="487" ht="22.5" customHeight="1">
      <c r="A487" s="50"/>
      <c r="B487" s="51"/>
      <c r="C487" s="52"/>
      <c r="D487" s="48"/>
      <c r="E487" s="44" t="s">
        <v>6</v>
      </c>
    </row>
    <row r="488" ht="22.5" customHeight="1">
      <c r="A488" s="50"/>
      <c r="B488" s="51"/>
      <c r="C488" s="52"/>
      <c r="D488" s="48"/>
      <c r="E488" s="44" t="s">
        <v>6</v>
      </c>
    </row>
    <row r="489" ht="22.5" customHeight="1">
      <c r="A489" s="50"/>
      <c r="B489" s="51"/>
      <c r="C489" s="52"/>
      <c r="D489" s="48"/>
      <c r="E489" s="44" t="s">
        <v>6</v>
      </c>
    </row>
    <row r="490" ht="22.5" customHeight="1">
      <c r="A490" s="50"/>
      <c r="B490" s="51"/>
      <c r="C490" s="52"/>
      <c r="D490" s="48"/>
      <c r="E490" s="44" t="s">
        <v>6</v>
      </c>
    </row>
    <row r="491" ht="22.5" customHeight="1">
      <c r="A491" s="50"/>
      <c r="B491" s="51"/>
      <c r="C491" s="52"/>
      <c r="D491" s="48"/>
      <c r="E491" s="44"/>
    </row>
    <row r="492" ht="22.5" customHeight="1">
      <c r="A492" s="50"/>
      <c r="B492" s="51"/>
      <c r="C492" s="52"/>
      <c r="D492" s="48"/>
      <c r="E492" s="44"/>
    </row>
    <row r="493" ht="22.5" customHeight="1">
      <c r="A493" s="50"/>
      <c r="B493" s="51"/>
      <c r="C493" s="52"/>
      <c r="D493" s="48"/>
      <c r="E493" s="44"/>
    </row>
    <row r="494" ht="22.5" customHeight="1">
      <c r="A494" s="50"/>
      <c r="B494" s="51"/>
      <c r="C494" s="52"/>
      <c r="D494" s="48"/>
      <c r="E494" s="44"/>
    </row>
    <row r="495" ht="22.5" customHeight="1">
      <c r="A495" s="50"/>
      <c r="B495" s="51"/>
      <c r="C495" s="52"/>
      <c r="D495" s="48"/>
      <c r="E495" s="44"/>
    </row>
    <row r="496" ht="22.5" customHeight="1">
      <c r="A496" s="50"/>
      <c r="B496" s="51"/>
      <c r="C496" s="52"/>
      <c r="D496" s="48"/>
      <c r="E496" s="48"/>
    </row>
    <row r="497" ht="22.5" customHeight="1">
      <c r="A497" s="50"/>
      <c r="B497" s="51"/>
      <c r="C497" s="52"/>
      <c r="D497" s="48"/>
      <c r="E497" s="48"/>
    </row>
    <row r="498" ht="22.5" customHeight="1">
      <c r="A498" s="50"/>
      <c r="B498" s="51"/>
      <c r="C498" s="52"/>
      <c r="D498" s="48"/>
      <c r="E498" s="48"/>
    </row>
    <row r="499" ht="22.5" customHeight="1">
      <c r="A499" s="50"/>
      <c r="B499" s="51"/>
      <c r="C499" s="52"/>
      <c r="D499" s="48"/>
      <c r="E499" s="48"/>
    </row>
    <row r="500" ht="22.5" customHeight="1">
      <c r="A500" s="50"/>
      <c r="B500" s="51"/>
      <c r="C500" s="52"/>
      <c r="D500" s="48"/>
      <c r="E500" s="48"/>
    </row>
    <row r="501" ht="22.5" customHeight="1">
      <c r="A501" s="50"/>
      <c r="B501" s="51"/>
      <c r="C501" s="52"/>
      <c r="D501" s="48"/>
      <c r="E501" s="48"/>
    </row>
    <row r="502" ht="22.5" customHeight="1">
      <c r="A502" s="50"/>
      <c r="B502" s="51"/>
      <c r="C502" s="52"/>
      <c r="D502" s="48"/>
      <c r="E502" s="48"/>
    </row>
    <row r="503" ht="22.5" customHeight="1">
      <c r="A503" s="50"/>
      <c r="B503" s="51"/>
      <c r="C503" s="52"/>
      <c r="D503" s="48"/>
      <c r="E503" s="48"/>
    </row>
    <row r="504" ht="22.5" customHeight="1">
      <c r="A504" s="50"/>
      <c r="B504" s="51"/>
      <c r="C504" s="52"/>
      <c r="D504" s="48"/>
      <c r="E504" s="48"/>
    </row>
    <row r="505" ht="22.5" customHeight="1">
      <c r="A505" s="50"/>
      <c r="B505" s="51"/>
      <c r="C505" s="52"/>
      <c r="D505" s="48"/>
      <c r="E505" s="48"/>
    </row>
    <row r="506" ht="22.5" customHeight="1">
      <c r="A506" s="50"/>
      <c r="B506" s="51"/>
      <c r="C506" s="52"/>
      <c r="D506" s="48"/>
      <c r="E506" s="48"/>
    </row>
    <row r="507" ht="22.5" customHeight="1">
      <c r="A507" s="50"/>
      <c r="B507" s="51"/>
      <c r="C507" s="52"/>
      <c r="D507" s="48"/>
      <c r="E507" s="48"/>
    </row>
    <row r="508" ht="22.5" customHeight="1">
      <c r="A508" s="50"/>
      <c r="B508" s="51"/>
      <c r="C508" s="52"/>
      <c r="D508" s="48"/>
      <c r="E508" s="48"/>
    </row>
    <row r="509" ht="22.5" customHeight="1">
      <c r="A509" s="50"/>
      <c r="B509" s="51"/>
      <c r="C509" s="52"/>
      <c r="D509" s="48"/>
      <c r="E509" s="48"/>
    </row>
    <row r="510" ht="22.5" customHeight="1">
      <c r="A510" s="50"/>
      <c r="B510" s="51"/>
      <c r="C510" s="52"/>
      <c r="D510" s="48"/>
      <c r="E510" s="48"/>
    </row>
    <row r="511" ht="22.5" customHeight="1">
      <c r="A511" s="50"/>
      <c r="B511" s="51"/>
      <c r="C511" s="52"/>
      <c r="D511" s="48"/>
      <c r="E511" s="48"/>
    </row>
    <row r="512" ht="22.5" customHeight="1">
      <c r="A512" s="50"/>
      <c r="B512" s="51"/>
      <c r="C512" s="52"/>
      <c r="D512" s="48"/>
      <c r="E512" s="48"/>
    </row>
    <row r="513" ht="22.5" customHeight="1">
      <c r="A513" s="50"/>
      <c r="B513" s="51"/>
      <c r="C513" s="52"/>
      <c r="D513" s="48"/>
      <c r="E513" s="48"/>
    </row>
    <row r="514" ht="22.5" customHeight="1">
      <c r="A514" s="50"/>
      <c r="B514" s="51"/>
      <c r="C514" s="52"/>
      <c r="D514" s="48"/>
      <c r="E514" s="48"/>
    </row>
    <row r="515" ht="22.5" customHeight="1">
      <c r="A515" s="50"/>
      <c r="B515" s="51"/>
      <c r="C515" s="52"/>
      <c r="D515" s="48"/>
      <c r="E515" s="48"/>
    </row>
    <row r="516" ht="22.5" customHeight="1">
      <c r="A516" s="50"/>
      <c r="B516" s="51"/>
      <c r="C516" s="52"/>
      <c r="D516" s="48"/>
      <c r="E516" s="48"/>
    </row>
    <row r="517" ht="22.5" customHeight="1">
      <c r="A517" s="50"/>
      <c r="B517" s="51"/>
      <c r="C517" s="52"/>
      <c r="D517" s="48"/>
      <c r="E517" s="48"/>
    </row>
    <row r="518" ht="22.5" customHeight="1">
      <c r="A518" s="50"/>
      <c r="B518" s="51"/>
      <c r="C518" s="52"/>
      <c r="D518" s="48"/>
      <c r="E518" s="48"/>
    </row>
    <row r="519" ht="22.5" customHeight="1">
      <c r="A519" s="50"/>
      <c r="B519" s="51"/>
      <c r="C519" s="52"/>
      <c r="D519" s="48"/>
      <c r="E519" s="48"/>
    </row>
    <row r="520" ht="22.5" customHeight="1">
      <c r="A520" s="50"/>
      <c r="B520" s="51"/>
      <c r="C520" s="52"/>
      <c r="D520" s="48"/>
      <c r="E520" s="48"/>
    </row>
    <row r="521" ht="22.5" customHeight="1">
      <c r="A521" s="50"/>
      <c r="B521" s="51"/>
      <c r="C521" s="52"/>
      <c r="D521" s="48"/>
      <c r="E521" s="48"/>
    </row>
    <row r="522" ht="22.5" customHeight="1">
      <c r="A522" s="50"/>
      <c r="B522" s="51"/>
      <c r="C522" s="52"/>
      <c r="D522" s="48"/>
      <c r="E522" s="48"/>
    </row>
    <row r="523" ht="22.5" customHeight="1">
      <c r="A523" s="50"/>
      <c r="B523" s="51"/>
      <c r="C523" s="52"/>
      <c r="D523" s="48"/>
      <c r="E523" s="48"/>
    </row>
    <row r="524" ht="22.5" customHeight="1">
      <c r="A524" s="50"/>
      <c r="B524" s="51"/>
      <c r="C524" s="52"/>
      <c r="D524" s="48"/>
      <c r="E524" s="48"/>
    </row>
    <row r="525" ht="22.5" customHeight="1">
      <c r="A525" s="50"/>
      <c r="B525" s="51"/>
      <c r="C525" s="52"/>
      <c r="D525" s="48"/>
      <c r="E525" s="48"/>
    </row>
    <row r="526" ht="22.5" customHeight="1">
      <c r="A526" s="50"/>
      <c r="B526" s="51"/>
      <c r="C526" s="52"/>
      <c r="D526" s="48"/>
      <c r="E526" s="48"/>
    </row>
    <row r="527" ht="22.5" customHeight="1">
      <c r="A527" s="50"/>
      <c r="B527" s="51"/>
      <c r="C527" s="52"/>
      <c r="D527" s="48"/>
      <c r="E527" s="48"/>
    </row>
    <row r="528" ht="22.5" customHeight="1">
      <c r="A528" s="50"/>
      <c r="B528" s="51"/>
      <c r="C528" s="52"/>
      <c r="D528" s="48"/>
      <c r="E528" s="48"/>
    </row>
    <row r="529" ht="22.5" customHeight="1">
      <c r="A529" s="50"/>
      <c r="B529" s="51"/>
      <c r="C529" s="52"/>
      <c r="D529" s="48"/>
      <c r="E529" s="48"/>
    </row>
    <row r="530" ht="22.5" customHeight="1">
      <c r="A530" s="50"/>
      <c r="B530" s="51"/>
      <c r="C530" s="52"/>
      <c r="D530" s="48"/>
      <c r="E530" s="48"/>
    </row>
    <row r="531" ht="22.5" customHeight="1">
      <c r="A531" s="50"/>
      <c r="B531" s="51"/>
      <c r="C531" s="52"/>
      <c r="D531" s="48"/>
      <c r="E531" s="48"/>
    </row>
    <row r="532" ht="22.5" customHeight="1">
      <c r="A532" s="50"/>
      <c r="B532" s="51"/>
      <c r="C532" s="52"/>
      <c r="D532" s="48"/>
      <c r="E532" s="48"/>
    </row>
    <row r="533" ht="22.5" customHeight="1">
      <c r="A533" s="50"/>
      <c r="B533" s="51"/>
      <c r="C533" s="52"/>
      <c r="D533" s="48"/>
      <c r="E533" s="48"/>
    </row>
    <row r="534" ht="22.5" customHeight="1">
      <c r="A534" s="50"/>
      <c r="B534" s="51"/>
      <c r="C534" s="52"/>
      <c r="D534" s="48"/>
      <c r="E534" s="48"/>
    </row>
    <row r="535" ht="22.5" customHeight="1">
      <c r="A535" s="50"/>
      <c r="B535" s="51"/>
      <c r="C535" s="52"/>
      <c r="D535" s="48"/>
      <c r="E535" s="48"/>
    </row>
    <row r="536" ht="22.5" customHeight="1">
      <c r="A536" s="50"/>
      <c r="B536" s="51"/>
      <c r="C536" s="52"/>
      <c r="D536" s="48"/>
      <c r="E536" s="48"/>
    </row>
    <row r="537" ht="22.5" customHeight="1">
      <c r="A537" s="50"/>
      <c r="B537" s="51"/>
      <c r="C537" s="52"/>
      <c r="D537" s="48"/>
      <c r="E537" s="48"/>
    </row>
    <row r="538" ht="22.5" customHeight="1">
      <c r="A538" s="50"/>
      <c r="B538" s="51"/>
      <c r="C538" s="52"/>
      <c r="D538" s="48"/>
      <c r="E538" s="48"/>
    </row>
    <row r="539" ht="22.5" customHeight="1">
      <c r="A539" s="50"/>
      <c r="B539" s="51"/>
      <c r="C539" s="52"/>
      <c r="D539" s="48"/>
      <c r="E539" s="48"/>
    </row>
    <row r="540" ht="22.5" customHeight="1">
      <c r="A540" s="50"/>
      <c r="B540" s="51"/>
      <c r="C540" s="52"/>
      <c r="D540" s="48"/>
      <c r="E540" s="48"/>
    </row>
    <row r="541" ht="22.5" customHeight="1">
      <c r="A541" s="50"/>
      <c r="B541" s="51"/>
      <c r="C541" s="52"/>
      <c r="D541" s="48"/>
      <c r="E541" s="48"/>
    </row>
    <row r="542" ht="22.5" customHeight="1">
      <c r="A542" s="50"/>
      <c r="B542" s="51"/>
      <c r="C542" s="52"/>
      <c r="D542" s="48"/>
      <c r="E542" s="48"/>
    </row>
    <row r="543" ht="22.5" customHeight="1">
      <c r="A543" s="50"/>
      <c r="B543" s="51"/>
      <c r="C543" s="52"/>
      <c r="D543" s="48"/>
      <c r="E543" s="48"/>
    </row>
    <row r="544" ht="22.5" customHeight="1">
      <c r="A544" s="50"/>
      <c r="B544" s="51"/>
      <c r="C544" s="52"/>
      <c r="D544" s="48"/>
      <c r="E544" s="48"/>
    </row>
    <row r="545" ht="22.5" customHeight="1">
      <c r="A545" s="50"/>
      <c r="B545" s="51"/>
      <c r="C545" s="52"/>
      <c r="D545" s="48"/>
      <c r="E545" s="48"/>
    </row>
    <row r="546" ht="22.5" customHeight="1">
      <c r="A546" s="50"/>
      <c r="B546" s="51"/>
      <c r="C546" s="52"/>
      <c r="D546" s="48"/>
      <c r="E546" s="48"/>
    </row>
    <row r="547" ht="22.5" customHeight="1">
      <c r="A547" s="50"/>
      <c r="B547" s="51"/>
      <c r="C547" s="52"/>
      <c r="D547" s="48"/>
      <c r="E547" s="48"/>
    </row>
    <row r="548" ht="22.5" customHeight="1">
      <c r="A548" s="50"/>
      <c r="B548" s="51"/>
      <c r="C548" s="52"/>
      <c r="D548" s="48"/>
      <c r="E548" s="48"/>
    </row>
    <row r="549" ht="22.5" customHeight="1">
      <c r="A549" s="50"/>
      <c r="B549" s="51"/>
      <c r="C549" s="52"/>
      <c r="D549" s="48"/>
      <c r="E549" s="48"/>
    </row>
    <row r="550" ht="22.5" customHeight="1">
      <c r="A550" s="50"/>
      <c r="B550" s="51"/>
      <c r="C550" s="52"/>
      <c r="D550" s="48"/>
      <c r="E550" s="48"/>
    </row>
    <row r="551" ht="22.5" customHeight="1">
      <c r="A551" s="50"/>
      <c r="B551" s="51"/>
      <c r="C551" s="52"/>
      <c r="D551" s="48"/>
      <c r="E551" s="48"/>
    </row>
    <row r="552" ht="22.5" customHeight="1">
      <c r="A552" s="50"/>
      <c r="B552" s="51"/>
      <c r="C552" s="52"/>
      <c r="D552" s="48"/>
      <c r="E552" s="48"/>
    </row>
    <row r="553" ht="22.5" customHeight="1">
      <c r="A553" s="50"/>
      <c r="B553" s="51"/>
      <c r="C553" s="52"/>
      <c r="D553" s="48"/>
      <c r="E553" s="48"/>
    </row>
    <row r="554" ht="22.5" customHeight="1">
      <c r="A554" s="50"/>
      <c r="B554" s="51"/>
      <c r="C554" s="52"/>
      <c r="D554" s="48"/>
      <c r="E554" s="48"/>
    </row>
    <row r="555" ht="22.5" customHeight="1">
      <c r="A555" s="50"/>
      <c r="B555" s="51"/>
      <c r="C555" s="52"/>
      <c r="D555" s="48"/>
      <c r="E555" s="48"/>
    </row>
    <row r="556" ht="22.5" customHeight="1">
      <c r="A556" s="50"/>
      <c r="B556" s="51"/>
      <c r="C556" s="52"/>
      <c r="D556" s="48"/>
      <c r="E556" s="48"/>
    </row>
    <row r="557" ht="22.5" customHeight="1">
      <c r="A557" s="50"/>
      <c r="B557" s="51"/>
      <c r="C557" s="52"/>
      <c r="D557" s="48"/>
      <c r="E557" s="48"/>
    </row>
    <row r="558" ht="22.5" customHeight="1">
      <c r="A558" s="50"/>
      <c r="B558" s="51"/>
      <c r="C558" s="52"/>
      <c r="D558" s="48"/>
      <c r="E558" s="48"/>
    </row>
    <row r="559" ht="22.5" customHeight="1">
      <c r="A559" s="50"/>
      <c r="B559" s="51"/>
      <c r="C559" s="52"/>
      <c r="D559" s="48"/>
      <c r="E559" s="48"/>
    </row>
    <row r="560" ht="22.5" customHeight="1">
      <c r="A560" s="50"/>
      <c r="B560" s="51"/>
      <c r="C560" s="52"/>
      <c r="D560" s="48"/>
      <c r="E560" s="48"/>
    </row>
    <row r="561" ht="22.5" customHeight="1">
      <c r="A561" s="50"/>
      <c r="B561" s="51"/>
      <c r="C561" s="52"/>
      <c r="D561" s="48"/>
      <c r="E561" s="48"/>
    </row>
    <row r="562" ht="22.5" customHeight="1">
      <c r="A562" s="50"/>
      <c r="B562" s="51"/>
      <c r="C562" s="52"/>
      <c r="D562" s="48"/>
      <c r="E562" s="48"/>
    </row>
    <row r="563" ht="22.5" customHeight="1">
      <c r="A563" s="50"/>
      <c r="B563" s="51"/>
      <c r="C563" s="52"/>
      <c r="D563" s="48"/>
      <c r="E563" s="48"/>
    </row>
    <row r="564" ht="22.5" customHeight="1">
      <c r="A564" s="50"/>
      <c r="B564" s="51"/>
      <c r="C564" s="52"/>
      <c r="D564" s="48"/>
      <c r="E564" s="48"/>
    </row>
    <row r="565" ht="22.5" customHeight="1">
      <c r="A565" s="50"/>
      <c r="B565" s="51"/>
      <c r="C565" s="52"/>
      <c r="D565" s="48"/>
      <c r="E565" s="48"/>
    </row>
    <row r="566" ht="22.5" customHeight="1">
      <c r="A566" s="50"/>
      <c r="B566" s="51"/>
      <c r="C566" s="52"/>
      <c r="D566" s="48"/>
      <c r="E566" s="48"/>
    </row>
    <row r="567" ht="22.5" customHeight="1">
      <c r="A567" s="50"/>
      <c r="B567" s="51"/>
      <c r="C567" s="52"/>
      <c r="D567" s="48"/>
      <c r="E567" s="48"/>
    </row>
    <row r="568" ht="22.5" customHeight="1">
      <c r="A568" s="50"/>
      <c r="B568" s="51"/>
      <c r="C568" s="52"/>
      <c r="D568" s="48"/>
      <c r="E568" s="48"/>
    </row>
    <row r="569" ht="22.5" customHeight="1">
      <c r="A569" s="50"/>
      <c r="B569" s="51"/>
      <c r="C569" s="52"/>
      <c r="D569" s="48"/>
      <c r="E569" s="48"/>
    </row>
    <row r="570" ht="22.5" customHeight="1">
      <c r="A570" s="50"/>
      <c r="B570" s="51"/>
      <c r="C570" s="52"/>
      <c r="D570" s="48"/>
      <c r="E570" s="48"/>
    </row>
    <row r="571" ht="22.5" customHeight="1">
      <c r="A571" s="50"/>
      <c r="B571" s="51"/>
      <c r="C571" s="52"/>
      <c r="D571" s="48"/>
      <c r="E571" s="48"/>
    </row>
    <row r="572" ht="22.5" customHeight="1">
      <c r="A572" s="50"/>
      <c r="B572" s="51"/>
      <c r="C572" s="52"/>
      <c r="D572" s="48"/>
      <c r="E572" s="48"/>
    </row>
    <row r="573" ht="22.5" customHeight="1">
      <c r="A573" s="50"/>
      <c r="B573" s="51"/>
      <c r="C573" s="52"/>
      <c r="D573" s="48"/>
      <c r="E573" s="48"/>
    </row>
    <row r="574" ht="22.5" customHeight="1">
      <c r="A574" s="50"/>
      <c r="B574" s="51"/>
      <c r="C574" s="52"/>
      <c r="D574" s="48"/>
      <c r="E574" s="48"/>
    </row>
    <row r="575" ht="22.5" customHeight="1">
      <c r="A575" s="50"/>
      <c r="B575" s="51"/>
      <c r="C575" s="52"/>
      <c r="D575" s="48"/>
      <c r="E575" s="48"/>
    </row>
    <row r="576" ht="22.5" customHeight="1">
      <c r="A576" s="50"/>
      <c r="B576" s="51"/>
      <c r="C576" s="52"/>
      <c r="D576" s="48"/>
      <c r="E576" s="48"/>
    </row>
    <row r="577" ht="22.5" customHeight="1">
      <c r="A577" s="50"/>
      <c r="B577" s="51"/>
      <c r="C577" s="52"/>
      <c r="D577" s="48"/>
      <c r="E577" s="48"/>
    </row>
    <row r="578" ht="22.5" customHeight="1">
      <c r="A578" s="50"/>
      <c r="B578" s="51"/>
      <c r="C578" s="52"/>
      <c r="D578" s="48"/>
      <c r="E578" s="48"/>
    </row>
    <row r="579" ht="22.5" customHeight="1">
      <c r="A579" s="50"/>
      <c r="B579" s="51"/>
      <c r="C579" s="52"/>
      <c r="D579" s="48"/>
      <c r="E579" s="48"/>
    </row>
    <row r="580" ht="22.5" customHeight="1">
      <c r="A580" s="50"/>
      <c r="B580" s="51"/>
      <c r="C580" s="52"/>
      <c r="D580" s="48"/>
      <c r="E580" s="48"/>
    </row>
    <row r="581" ht="22.5" customHeight="1">
      <c r="A581" s="50"/>
      <c r="B581" s="51"/>
      <c r="C581" s="52"/>
      <c r="D581" s="48"/>
      <c r="E581" s="48"/>
    </row>
    <row r="582" ht="22.5" customHeight="1">
      <c r="A582" s="50"/>
      <c r="B582" s="51"/>
      <c r="C582" s="52"/>
      <c r="D582" s="48"/>
      <c r="E582" s="48"/>
    </row>
    <row r="583" ht="22.5" customHeight="1">
      <c r="A583" s="50"/>
      <c r="B583" s="51"/>
      <c r="C583" s="52"/>
      <c r="D583" s="48"/>
      <c r="E583" s="48"/>
    </row>
    <row r="584" ht="22.5" customHeight="1">
      <c r="A584" s="50"/>
      <c r="B584" s="51"/>
      <c r="C584" s="52"/>
      <c r="D584" s="48"/>
      <c r="E584" s="48"/>
    </row>
    <row r="585" ht="22.5" customHeight="1">
      <c r="A585" s="50"/>
      <c r="B585" s="51"/>
      <c r="C585" s="52"/>
      <c r="D585" s="48"/>
      <c r="E585" s="48"/>
    </row>
    <row r="586" ht="22.5" customHeight="1">
      <c r="A586" s="50"/>
      <c r="B586" s="51"/>
      <c r="C586" s="52"/>
      <c r="D586" s="48"/>
      <c r="E586" s="48"/>
    </row>
    <row r="587" ht="22.5" customHeight="1">
      <c r="A587" s="50"/>
      <c r="B587" s="51"/>
      <c r="C587" s="52"/>
      <c r="D587" s="48"/>
      <c r="E587" s="48"/>
    </row>
    <row r="588" ht="22.5" customHeight="1">
      <c r="A588" s="50"/>
      <c r="B588" s="51"/>
      <c r="C588" s="52"/>
      <c r="D588" s="48"/>
      <c r="E588" s="48"/>
    </row>
    <row r="589" ht="22.5" customHeight="1">
      <c r="A589" s="50"/>
      <c r="B589" s="51"/>
      <c r="C589" s="52"/>
      <c r="D589" s="48"/>
      <c r="E589" s="48"/>
    </row>
    <row r="590" ht="22.5" customHeight="1">
      <c r="A590" s="50"/>
      <c r="B590" s="51"/>
      <c r="C590" s="52"/>
      <c r="D590" s="48"/>
      <c r="E590" s="48"/>
    </row>
    <row r="591" ht="22.5" customHeight="1">
      <c r="A591" s="50"/>
      <c r="B591" s="51"/>
      <c r="C591" s="52"/>
      <c r="D591" s="48"/>
      <c r="E591" s="48"/>
    </row>
    <row r="592" ht="22.5" customHeight="1">
      <c r="A592" s="50"/>
      <c r="B592" s="51"/>
      <c r="C592" s="52"/>
      <c r="D592" s="48"/>
      <c r="E592" s="48"/>
    </row>
    <row r="593" ht="22.5" customHeight="1">
      <c r="A593" s="50"/>
      <c r="B593" s="51"/>
      <c r="C593" s="52"/>
      <c r="D593" s="48"/>
      <c r="E593" s="48"/>
    </row>
    <row r="594" ht="22.5" customHeight="1">
      <c r="A594" s="50"/>
      <c r="B594" s="51"/>
      <c r="C594" s="52"/>
      <c r="D594" s="48"/>
      <c r="E594" s="48"/>
    </row>
    <row r="595" ht="22.5" customHeight="1">
      <c r="A595" s="50"/>
      <c r="B595" s="51"/>
      <c r="C595" s="52"/>
      <c r="D595" s="48"/>
      <c r="E595" s="48"/>
    </row>
    <row r="596" ht="22.5" customHeight="1">
      <c r="A596" s="50"/>
      <c r="B596" s="51"/>
      <c r="C596" s="52"/>
      <c r="D596" s="48"/>
      <c r="E596" s="48"/>
    </row>
    <row r="597" ht="22.5" customHeight="1">
      <c r="A597" s="50"/>
      <c r="B597" s="51"/>
      <c r="C597" s="52"/>
      <c r="D597" s="48"/>
      <c r="E597" s="48"/>
    </row>
    <row r="598" ht="22.5" customHeight="1">
      <c r="A598" s="50"/>
      <c r="B598" s="51"/>
      <c r="C598" s="52"/>
      <c r="D598" s="48"/>
      <c r="E598" s="48"/>
    </row>
    <row r="599" ht="22.5" customHeight="1">
      <c r="A599" s="50"/>
      <c r="B599" s="51"/>
      <c r="C599" s="52"/>
      <c r="D599" s="48"/>
      <c r="E599" s="48"/>
    </row>
    <row r="600" ht="22.5" customHeight="1">
      <c r="A600" s="50"/>
      <c r="B600" s="51"/>
      <c r="C600" s="52"/>
      <c r="D600" s="48"/>
      <c r="E600" s="48"/>
    </row>
    <row r="601" ht="22.5" customHeight="1">
      <c r="A601" s="50"/>
      <c r="B601" s="51"/>
      <c r="C601" s="52"/>
      <c r="D601" s="48"/>
      <c r="E601" s="48"/>
    </row>
    <row r="602" ht="22.5" customHeight="1">
      <c r="A602" s="50"/>
      <c r="B602" s="51"/>
      <c r="C602" s="52"/>
      <c r="D602" s="48"/>
      <c r="E602" s="48"/>
    </row>
    <row r="603" ht="22.5" customHeight="1">
      <c r="A603" s="50"/>
      <c r="B603" s="51"/>
      <c r="C603" s="52"/>
      <c r="D603" s="48"/>
      <c r="E603" s="48"/>
    </row>
    <row r="604" ht="22.5" customHeight="1">
      <c r="A604" s="50"/>
      <c r="B604" s="51"/>
      <c r="C604" s="52"/>
      <c r="D604" s="48"/>
      <c r="E604" s="48"/>
    </row>
    <row r="605" ht="22.5" customHeight="1">
      <c r="A605" s="50"/>
      <c r="B605" s="51"/>
      <c r="C605" s="52"/>
      <c r="D605" s="48"/>
      <c r="E605" s="48"/>
    </row>
    <row r="606" ht="22.5" customHeight="1">
      <c r="A606" s="50"/>
      <c r="B606" s="51"/>
      <c r="C606" s="52"/>
      <c r="D606" s="48"/>
      <c r="E606" s="48"/>
    </row>
    <row r="607" ht="22.5" customHeight="1">
      <c r="A607" s="50"/>
      <c r="B607" s="51"/>
      <c r="C607" s="52"/>
      <c r="D607" s="48"/>
      <c r="E607" s="48"/>
    </row>
    <row r="608" ht="22.5" customHeight="1">
      <c r="A608" s="50"/>
      <c r="B608" s="51"/>
      <c r="C608" s="52"/>
      <c r="D608" s="48"/>
      <c r="E608" s="48"/>
    </row>
    <row r="609" ht="22.5" customHeight="1">
      <c r="A609" s="50"/>
      <c r="B609" s="51"/>
      <c r="C609" s="52"/>
      <c r="D609" s="48"/>
      <c r="E609" s="48"/>
    </row>
    <row r="610" ht="22.5" customHeight="1">
      <c r="A610" s="50"/>
      <c r="B610" s="51"/>
      <c r="C610" s="52"/>
      <c r="D610" s="48"/>
      <c r="E610" s="48"/>
    </row>
    <row r="611" ht="22.5" customHeight="1">
      <c r="A611" s="50"/>
      <c r="B611" s="51"/>
      <c r="C611" s="52"/>
      <c r="D611" s="48"/>
      <c r="E611" s="48"/>
    </row>
    <row r="612" ht="22.5" customHeight="1">
      <c r="A612" s="50"/>
      <c r="B612" s="51"/>
      <c r="C612" s="52"/>
      <c r="D612" s="48"/>
      <c r="E612" s="48"/>
    </row>
    <row r="613" ht="22.5" customHeight="1">
      <c r="A613" s="50"/>
      <c r="B613" s="51"/>
      <c r="C613" s="52"/>
      <c r="D613" s="48"/>
      <c r="E613" s="48"/>
    </row>
    <row r="614" ht="22.5" customHeight="1">
      <c r="A614" s="50"/>
      <c r="B614" s="51"/>
      <c r="C614" s="52"/>
      <c r="D614" s="48"/>
      <c r="E614" s="48"/>
    </row>
    <row r="615" ht="22.5" customHeight="1">
      <c r="A615" s="50"/>
      <c r="B615" s="51"/>
      <c r="C615" s="52"/>
      <c r="D615" s="48"/>
      <c r="E615" s="48"/>
    </row>
    <row r="616" ht="22.5" customHeight="1">
      <c r="A616" s="50"/>
      <c r="B616" s="51"/>
      <c r="C616" s="52"/>
      <c r="D616" s="48"/>
      <c r="E616" s="48"/>
    </row>
    <row r="617" ht="22.5" customHeight="1">
      <c r="A617" s="50"/>
      <c r="B617" s="51"/>
      <c r="C617" s="52"/>
      <c r="D617" s="48"/>
      <c r="E617" s="48"/>
    </row>
    <row r="618" ht="22.5" customHeight="1">
      <c r="A618" s="50"/>
      <c r="B618" s="51"/>
      <c r="C618" s="52"/>
      <c r="D618" s="48"/>
      <c r="E618" s="48"/>
    </row>
    <row r="619" ht="22.5" customHeight="1">
      <c r="A619" s="50"/>
      <c r="B619" s="51"/>
      <c r="C619" s="52"/>
      <c r="D619" s="48"/>
      <c r="E619" s="48"/>
    </row>
    <row r="620" ht="22.5" customHeight="1">
      <c r="A620" s="50"/>
      <c r="B620" s="51"/>
      <c r="C620" s="52"/>
      <c r="D620" s="48"/>
      <c r="E620" s="48"/>
    </row>
    <row r="621" ht="22.5" customHeight="1">
      <c r="A621" s="50"/>
      <c r="B621" s="51"/>
      <c r="C621" s="52"/>
      <c r="D621" s="48"/>
      <c r="E621" s="48"/>
    </row>
    <row r="622" ht="22.5" customHeight="1">
      <c r="A622" s="50"/>
      <c r="B622" s="51"/>
      <c r="C622" s="52"/>
      <c r="D622" s="48"/>
      <c r="E622" s="48"/>
    </row>
    <row r="623" ht="22.5" customHeight="1">
      <c r="A623" s="50"/>
      <c r="B623" s="51"/>
      <c r="C623" s="52"/>
      <c r="D623" s="48"/>
      <c r="E623" s="48"/>
    </row>
    <row r="624" ht="22.5" customHeight="1">
      <c r="A624" s="50"/>
      <c r="B624" s="51"/>
      <c r="C624" s="52"/>
      <c r="D624" s="48"/>
      <c r="E624" s="48"/>
    </row>
    <row r="625" ht="22.5" customHeight="1">
      <c r="A625" s="50"/>
      <c r="B625" s="51"/>
      <c r="C625" s="52"/>
      <c r="D625" s="48"/>
      <c r="E625" s="48"/>
    </row>
    <row r="626" ht="22.5" customHeight="1">
      <c r="A626" s="50"/>
      <c r="B626" s="51"/>
      <c r="C626" s="52"/>
      <c r="D626" s="48"/>
      <c r="E626" s="48"/>
    </row>
    <row r="627" ht="22.5" customHeight="1">
      <c r="A627" s="50"/>
      <c r="B627" s="51"/>
      <c r="C627" s="52"/>
      <c r="D627" s="48"/>
      <c r="E627" s="48"/>
    </row>
    <row r="628" ht="22.5" customHeight="1">
      <c r="A628" s="50"/>
      <c r="B628" s="51"/>
      <c r="C628" s="52"/>
      <c r="D628" s="48"/>
      <c r="E628" s="48"/>
    </row>
    <row r="629" ht="22.5" customHeight="1">
      <c r="A629" s="50"/>
      <c r="B629" s="51"/>
      <c r="C629" s="52"/>
      <c r="D629" s="48"/>
      <c r="E629" s="48"/>
    </row>
    <row r="630" ht="22.5" customHeight="1">
      <c r="A630" s="50"/>
      <c r="B630" s="51"/>
      <c r="C630" s="52"/>
      <c r="D630" s="48"/>
      <c r="E630" s="48"/>
    </row>
    <row r="631" ht="22.5" customHeight="1">
      <c r="A631" s="50"/>
      <c r="B631" s="51"/>
      <c r="C631" s="52"/>
      <c r="D631" s="48"/>
      <c r="E631" s="48"/>
    </row>
    <row r="632" ht="22.5" customHeight="1">
      <c r="A632" s="50"/>
      <c r="B632" s="51"/>
      <c r="C632" s="52"/>
      <c r="D632" s="48"/>
      <c r="E632" s="48"/>
    </row>
    <row r="633" ht="22.5" customHeight="1">
      <c r="A633" s="50"/>
      <c r="B633" s="51"/>
      <c r="C633" s="52"/>
      <c r="D633" s="48"/>
      <c r="E633" s="48"/>
    </row>
    <row r="634" ht="22.5" customHeight="1">
      <c r="A634" s="50"/>
      <c r="B634" s="51"/>
      <c r="C634" s="52"/>
      <c r="D634" s="48"/>
      <c r="E634" s="48"/>
    </row>
    <row r="635" ht="22.5" customHeight="1">
      <c r="A635" s="50"/>
      <c r="B635" s="51"/>
      <c r="C635" s="52"/>
      <c r="D635" s="48"/>
      <c r="E635" s="48"/>
    </row>
    <row r="636" ht="22.5" customHeight="1">
      <c r="A636" s="50"/>
      <c r="B636" s="51"/>
      <c r="C636" s="52"/>
      <c r="D636" s="48"/>
      <c r="E636" s="48"/>
    </row>
    <row r="637" ht="22.5" customHeight="1">
      <c r="A637" s="50"/>
      <c r="B637" s="51"/>
      <c r="C637" s="52"/>
      <c r="D637" s="48"/>
      <c r="E637" s="48"/>
    </row>
    <row r="638" ht="22.5" customHeight="1">
      <c r="A638" s="50"/>
      <c r="B638" s="51"/>
      <c r="C638" s="52"/>
      <c r="D638" s="48"/>
      <c r="E638" s="48"/>
    </row>
    <row r="639" ht="22.5" customHeight="1">
      <c r="A639" s="50"/>
      <c r="B639" s="51"/>
      <c r="C639" s="52"/>
      <c r="D639" s="48"/>
      <c r="E639" s="48"/>
    </row>
    <row r="640" ht="22.5" customHeight="1">
      <c r="A640" s="50"/>
      <c r="B640" s="51"/>
      <c r="C640" s="52"/>
      <c r="D640" s="48"/>
      <c r="E640" s="48"/>
    </row>
    <row r="641" ht="22.5" customHeight="1">
      <c r="A641" s="50"/>
      <c r="B641" s="51"/>
      <c r="C641" s="52"/>
      <c r="D641" s="48"/>
      <c r="E641" s="48"/>
    </row>
    <row r="642" ht="22.5" customHeight="1">
      <c r="A642" s="50"/>
      <c r="B642" s="51"/>
      <c r="C642" s="52"/>
      <c r="D642" s="48"/>
      <c r="E642" s="48"/>
    </row>
    <row r="643" ht="22.5" customHeight="1">
      <c r="A643" s="50"/>
      <c r="B643" s="51"/>
      <c r="C643" s="52"/>
      <c r="D643" s="48"/>
      <c r="E643" s="48"/>
    </row>
    <row r="644" ht="22.5" customHeight="1">
      <c r="A644" s="50"/>
      <c r="B644" s="51"/>
      <c r="C644" s="52"/>
      <c r="D644" s="48"/>
      <c r="E644" s="48"/>
    </row>
    <row r="645" ht="22.5" customHeight="1">
      <c r="A645" s="50"/>
      <c r="B645" s="51"/>
      <c r="C645" s="52"/>
      <c r="D645" s="48"/>
      <c r="E645" s="48"/>
    </row>
    <row r="646" ht="22.5" customHeight="1">
      <c r="A646" s="50"/>
      <c r="B646" s="51"/>
      <c r="C646" s="52"/>
      <c r="D646" s="48"/>
      <c r="E646" s="48"/>
    </row>
    <row r="647" ht="22.5" customHeight="1">
      <c r="A647" s="50"/>
      <c r="B647" s="51"/>
      <c r="C647" s="52"/>
      <c r="D647" s="48"/>
      <c r="E647" s="48"/>
    </row>
    <row r="648" ht="22.5" customHeight="1">
      <c r="A648" s="50"/>
      <c r="B648" s="51"/>
      <c r="C648" s="52"/>
      <c r="D648" s="48"/>
      <c r="E648" s="48"/>
    </row>
    <row r="649" ht="22.5" customHeight="1">
      <c r="A649" s="50"/>
      <c r="B649" s="51"/>
      <c r="C649" s="52"/>
      <c r="D649" s="48"/>
      <c r="E649" s="48"/>
    </row>
    <row r="650" ht="22.5" customHeight="1">
      <c r="A650" s="50"/>
      <c r="B650" s="51"/>
      <c r="C650" s="52"/>
      <c r="D650" s="48"/>
      <c r="E650" s="48"/>
    </row>
    <row r="651" ht="22.5" customHeight="1">
      <c r="A651" s="50"/>
      <c r="B651" s="51"/>
      <c r="C651" s="52"/>
      <c r="D651" s="48"/>
      <c r="E651" s="48"/>
    </row>
    <row r="652" ht="22.5" customHeight="1">
      <c r="A652" s="50"/>
      <c r="B652" s="51"/>
      <c r="C652" s="52"/>
      <c r="D652" s="48"/>
      <c r="E652" s="48"/>
    </row>
    <row r="653" ht="22.5" customHeight="1">
      <c r="A653" s="50"/>
      <c r="B653" s="51"/>
      <c r="C653" s="52"/>
      <c r="D653" s="48"/>
      <c r="E653" s="48"/>
    </row>
    <row r="654" ht="22.5" customHeight="1">
      <c r="A654" s="50"/>
      <c r="B654" s="51"/>
      <c r="C654" s="52"/>
      <c r="D654" s="48"/>
      <c r="E654" s="48"/>
    </row>
    <row r="655" ht="22.5" customHeight="1">
      <c r="A655" s="50"/>
      <c r="B655" s="51"/>
      <c r="C655" s="52"/>
      <c r="D655" s="48"/>
      <c r="E655" s="48"/>
    </row>
    <row r="656" ht="22.5" customHeight="1">
      <c r="A656" s="50"/>
      <c r="B656" s="51"/>
      <c r="C656" s="52"/>
      <c r="D656" s="48"/>
      <c r="E656" s="48"/>
    </row>
    <row r="657" ht="22.5" customHeight="1">
      <c r="A657" s="50"/>
      <c r="B657" s="51"/>
      <c r="C657" s="52"/>
      <c r="D657" s="48"/>
      <c r="E657" s="48"/>
    </row>
    <row r="658" ht="22.5" customHeight="1">
      <c r="A658" s="50"/>
      <c r="B658" s="51"/>
      <c r="C658" s="52"/>
      <c r="D658" s="48"/>
      <c r="E658" s="48"/>
    </row>
    <row r="659" ht="22.5" customHeight="1">
      <c r="A659" s="50"/>
      <c r="B659" s="51"/>
      <c r="C659" s="52"/>
      <c r="D659" s="48"/>
      <c r="E659" s="48"/>
    </row>
    <row r="660" ht="22.5" customHeight="1">
      <c r="A660" s="50"/>
      <c r="B660" s="51"/>
      <c r="C660" s="52"/>
      <c r="D660" s="48"/>
      <c r="E660" s="48"/>
    </row>
    <row r="661" ht="22.5" customHeight="1">
      <c r="A661" s="50"/>
      <c r="B661" s="51"/>
      <c r="C661" s="52"/>
      <c r="D661" s="48"/>
      <c r="E661" s="48"/>
    </row>
    <row r="662" ht="22.5" customHeight="1">
      <c r="A662" s="50"/>
      <c r="B662" s="51"/>
      <c r="C662" s="52"/>
      <c r="D662" s="48"/>
      <c r="E662" s="48"/>
    </row>
    <row r="663" ht="22.5" customHeight="1">
      <c r="A663" s="50"/>
      <c r="B663" s="51"/>
      <c r="C663" s="52"/>
      <c r="D663" s="48"/>
      <c r="E663" s="48"/>
    </row>
    <row r="664" ht="22.5" customHeight="1">
      <c r="A664" s="50"/>
      <c r="B664" s="51"/>
      <c r="C664" s="52"/>
      <c r="D664" s="48"/>
      <c r="E664" s="48"/>
    </row>
    <row r="665" ht="22.5" customHeight="1">
      <c r="A665" s="50"/>
      <c r="B665" s="51"/>
      <c r="C665" s="52"/>
      <c r="D665" s="48"/>
      <c r="E665" s="48"/>
    </row>
    <row r="666" ht="22.5" customHeight="1">
      <c r="A666" s="50"/>
      <c r="B666" s="51"/>
      <c r="C666" s="52"/>
      <c r="D666" s="48"/>
      <c r="E666" s="48"/>
    </row>
    <row r="667" ht="22.5" customHeight="1">
      <c r="A667" s="50"/>
      <c r="B667" s="51"/>
      <c r="C667" s="52"/>
      <c r="D667" s="48"/>
      <c r="E667" s="48"/>
    </row>
    <row r="668" ht="22.5" customHeight="1">
      <c r="A668" s="50"/>
      <c r="B668" s="51"/>
      <c r="C668" s="52"/>
      <c r="D668" s="48"/>
      <c r="E668" s="48"/>
    </row>
    <row r="669" ht="22.5" customHeight="1">
      <c r="A669" s="50"/>
      <c r="B669" s="51"/>
      <c r="C669" s="52"/>
      <c r="D669" s="48"/>
      <c r="E669" s="48"/>
    </row>
    <row r="670" ht="22.5" customHeight="1">
      <c r="A670" s="50"/>
      <c r="B670" s="51"/>
      <c r="C670" s="52"/>
      <c r="D670" s="48"/>
      <c r="E670" s="48"/>
    </row>
    <row r="671" ht="22.5" customHeight="1">
      <c r="A671" s="50"/>
      <c r="B671" s="51"/>
      <c r="C671" s="52"/>
      <c r="D671" s="48"/>
      <c r="E671" s="48"/>
    </row>
    <row r="672" ht="22.5" customHeight="1">
      <c r="A672" s="50"/>
      <c r="B672" s="51"/>
      <c r="C672" s="52"/>
      <c r="D672" s="48"/>
      <c r="E672" s="48"/>
    </row>
    <row r="673" ht="22.5" customHeight="1">
      <c r="A673" s="50"/>
      <c r="B673" s="51"/>
      <c r="C673" s="52"/>
      <c r="D673" s="48"/>
      <c r="E673" s="48"/>
    </row>
    <row r="674" ht="22.5" customHeight="1">
      <c r="A674" s="50"/>
      <c r="B674" s="51"/>
      <c r="C674" s="52"/>
      <c r="D674" s="48"/>
      <c r="E674" s="48"/>
    </row>
    <row r="675" ht="22.5" customHeight="1">
      <c r="A675" s="50"/>
      <c r="B675" s="51"/>
      <c r="C675" s="52"/>
      <c r="D675" s="48"/>
      <c r="E675" s="48"/>
    </row>
    <row r="676" ht="22.5" customHeight="1">
      <c r="A676" s="50"/>
      <c r="B676" s="51"/>
      <c r="C676" s="52"/>
      <c r="D676" s="48"/>
      <c r="E676" s="48"/>
    </row>
    <row r="677" ht="22.5" customHeight="1">
      <c r="A677" s="50"/>
      <c r="B677" s="51"/>
      <c r="C677" s="52"/>
      <c r="D677" s="48"/>
      <c r="E677" s="48"/>
    </row>
    <row r="678" ht="22.5" customHeight="1">
      <c r="A678" s="50"/>
      <c r="B678" s="51"/>
      <c r="C678" s="52"/>
      <c r="D678" s="48"/>
      <c r="E678" s="48"/>
    </row>
    <row r="679" ht="22.5" customHeight="1">
      <c r="A679" s="50"/>
      <c r="B679" s="51"/>
      <c r="C679" s="52"/>
      <c r="D679" s="48"/>
      <c r="E679" s="48"/>
    </row>
    <row r="680" ht="22.5" customHeight="1">
      <c r="A680" s="50"/>
      <c r="B680" s="51"/>
      <c r="C680" s="52"/>
      <c r="D680" s="48"/>
      <c r="E680" s="48"/>
    </row>
    <row r="681" ht="22.5" customHeight="1">
      <c r="A681" s="50"/>
      <c r="B681" s="51"/>
      <c r="C681" s="52"/>
      <c r="D681" s="48"/>
      <c r="E681" s="48"/>
    </row>
    <row r="682" ht="22.5" customHeight="1">
      <c r="A682" s="50"/>
      <c r="B682" s="51"/>
      <c r="C682" s="52"/>
      <c r="D682" s="48"/>
      <c r="E682" s="48"/>
    </row>
    <row r="683" ht="22.5" customHeight="1">
      <c r="A683" s="50"/>
      <c r="B683" s="51"/>
      <c r="C683" s="52"/>
      <c r="D683" s="48"/>
      <c r="E683" s="48"/>
    </row>
    <row r="684" ht="22.5" customHeight="1">
      <c r="A684" s="50"/>
      <c r="B684" s="51"/>
      <c r="C684" s="52"/>
      <c r="D684" s="48"/>
      <c r="E684" s="48"/>
    </row>
    <row r="685" ht="22.5" customHeight="1">
      <c r="A685" s="50"/>
      <c r="B685" s="51"/>
      <c r="C685" s="52"/>
      <c r="D685" s="48"/>
      <c r="E685" s="48"/>
    </row>
    <row r="686" ht="22.5" customHeight="1">
      <c r="A686" s="50"/>
      <c r="B686" s="51"/>
      <c r="C686" s="52"/>
      <c r="D686" s="48"/>
      <c r="E686" s="48"/>
    </row>
    <row r="687" ht="22.5" customHeight="1">
      <c r="A687" s="50"/>
      <c r="B687" s="51"/>
      <c r="C687" s="52"/>
      <c r="D687" s="48"/>
      <c r="E687" s="48"/>
    </row>
    <row r="688" ht="22.5" customHeight="1">
      <c r="A688" s="50"/>
      <c r="B688" s="51"/>
      <c r="C688" s="52"/>
      <c r="D688" s="48"/>
      <c r="E688" s="48"/>
    </row>
    <row r="689" ht="22.5" customHeight="1">
      <c r="A689" s="50"/>
      <c r="B689" s="51"/>
      <c r="C689" s="52"/>
      <c r="D689" s="48"/>
      <c r="E689" s="48"/>
    </row>
    <row r="690" ht="22.5" customHeight="1">
      <c r="A690" s="50"/>
      <c r="B690" s="51"/>
      <c r="C690" s="52"/>
      <c r="D690" s="48"/>
      <c r="E690" s="48"/>
    </row>
    <row r="691" ht="22.5" customHeight="1">
      <c r="A691" s="50"/>
      <c r="B691" s="51"/>
      <c r="C691" s="52"/>
      <c r="D691" s="48"/>
      <c r="E691" s="48"/>
    </row>
    <row r="692" ht="22.5" customHeight="1">
      <c r="A692" s="50"/>
      <c r="B692" s="51"/>
      <c r="C692" s="52"/>
      <c r="D692" s="48"/>
      <c r="E692" s="48"/>
    </row>
    <row r="693" ht="22.5" customHeight="1">
      <c r="A693" s="50"/>
      <c r="B693" s="51"/>
      <c r="C693" s="52"/>
      <c r="D693" s="48"/>
      <c r="E693" s="48"/>
    </row>
    <row r="694" ht="22.5" customHeight="1">
      <c r="A694" s="50"/>
      <c r="B694" s="51"/>
      <c r="C694" s="52"/>
      <c r="D694" s="48"/>
      <c r="E694" s="48"/>
    </row>
    <row r="695" ht="22.5" customHeight="1">
      <c r="A695" s="50"/>
      <c r="B695" s="51"/>
      <c r="C695" s="52"/>
      <c r="D695" s="48"/>
      <c r="E695" s="48"/>
    </row>
    <row r="696" ht="22.5" customHeight="1">
      <c r="A696" s="50"/>
      <c r="B696" s="51"/>
      <c r="C696" s="52"/>
      <c r="D696" s="48"/>
      <c r="E696" s="48"/>
    </row>
    <row r="697" ht="22.5" customHeight="1">
      <c r="A697" s="50"/>
      <c r="B697" s="51"/>
      <c r="C697" s="52"/>
      <c r="D697" s="48"/>
      <c r="E697" s="48"/>
    </row>
    <row r="698" ht="22.5" customHeight="1">
      <c r="A698" s="50"/>
      <c r="B698" s="51"/>
      <c r="C698" s="52"/>
      <c r="D698" s="48"/>
      <c r="E698" s="48"/>
    </row>
    <row r="699" ht="22.5" customHeight="1">
      <c r="A699" s="50"/>
      <c r="B699" s="51"/>
      <c r="C699" s="52"/>
      <c r="D699" s="48"/>
      <c r="E699" s="48"/>
    </row>
    <row r="700" ht="22.5" customHeight="1">
      <c r="A700" s="50"/>
      <c r="B700" s="51"/>
      <c r="C700" s="52"/>
      <c r="D700" s="48"/>
      <c r="E700" s="48"/>
    </row>
    <row r="701" ht="22.5" customHeight="1">
      <c r="A701" s="50"/>
      <c r="B701" s="51"/>
      <c r="C701" s="52"/>
      <c r="D701" s="48"/>
      <c r="E701" s="48"/>
    </row>
    <row r="702" ht="22.5" customHeight="1">
      <c r="A702" s="50"/>
      <c r="B702" s="51"/>
      <c r="C702" s="52"/>
      <c r="D702" s="48"/>
      <c r="E702" s="48"/>
    </row>
    <row r="703" ht="22.5" customHeight="1">
      <c r="A703" s="50"/>
      <c r="B703" s="51"/>
      <c r="C703" s="52"/>
      <c r="D703" s="48"/>
      <c r="E703" s="48"/>
    </row>
    <row r="704" ht="22.5" customHeight="1">
      <c r="A704" s="50"/>
      <c r="B704" s="51"/>
      <c r="C704" s="52"/>
      <c r="D704" s="48"/>
      <c r="E704" s="48"/>
    </row>
    <row r="705" ht="22.5" customHeight="1">
      <c r="A705" s="50"/>
      <c r="B705" s="51"/>
      <c r="C705" s="52"/>
      <c r="D705" s="48"/>
      <c r="E705" s="48"/>
    </row>
    <row r="706" ht="22.5" customHeight="1">
      <c r="A706" s="50"/>
      <c r="B706" s="51"/>
      <c r="C706" s="52"/>
      <c r="D706" s="48"/>
      <c r="E706" s="48"/>
    </row>
    <row r="707" ht="22.5" customHeight="1">
      <c r="A707" s="50"/>
      <c r="B707" s="51"/>
      <c r="C707" s="52"/>
      <c r="D707" s="48"/>
      <c r="E707" s="48"/>
    </row>
    <row r="708" ht="22.5" customHeight="1">
      <c r="A708" s="50"/>
      <c r="B708" s="51"/>
      <c r="C708" s="52"/>
      <c r="D708" s="48"/>
      <c r="E708" s="48"/>
    </row>
    <row r="709" ht="22.5" customHeight="1">
      <c r="A709" s="50"/>
      <c r="B709" s="51"/>
      <c r="C709" s="52"/>
      <c r="D709" s="48"/>
      <c r="E709" s="48"/>
    </row>
    <row r="710" ht="22.5" customHeight="1">
      <c r="A710" s="50"/>
      <c r="B710" s="51"/>
      <c r="C710" s="52"/>
      <c r="D710" s="48"/>
      <c r="E710" s="48"/>
    </row>
    <row r="711" ht="22.5" customHeight="1">
      <c r="A711" s="50"/>
      <c r="B711" s="51"/>
      <c r="C711" s="52"/>
      <c r="D711" s="48"/>
      <c r="E711" s="48"/>
    </row>
    <row r="712" ht="22.5" customHeight="1">
      <c r="A712" s="50"/>
      <c r="B712" s="51"/>
      <c r="C712" s="52"/>
      <c r="D712" s="48"/>
      <c r="E712" s="48"/>
    </row>
    <row r="713" ht="22.5" customHeight="1">
      <c r="A713" s="50"/>
      <c r="B713" s="51"/>
      <c r="C713" s="52"/>
      <c r="D713" s="48"/>
      <c r="E713" s="48"/>
    </row>
    <row r="714" ht="22.5" customHeight="1">
      <c r="A714" s="50"/>
      <c r="B714" s="51"/>
      <c r="C714" s="52"/>
      <c r="D714" s="48"/>
      <c r="E714" s="48"/>
    </row>
    <row r="715" ht="22.5" customHeight="1">
      <c r="A715" s="50"/>
      <c r="B715" s="51"/>
      <c r="C715" s="52"/>
      <c r="D715" s="48"/>
      <c r="E715" s="48"/>
    </row>
    <row r="716" ht="22.5" customHeight="1">
      <c r="A716" s="50"/>
      <c r="B716" s="51"/>
      <c r="C716" s="52"/>
      <c r="D716" s="48"/>
      <c r="E716" s="48"/>
    </row>
    <row r="717" ht="22.5" customHeight="1">
      <c r="A717" s="50"/>
      <c r="B717" s="51"/>
      <c r="C717" s="52"/>
      <c r="D717" s="48"/>
      <c r="E717" s="48"/>
    </row>
    <row r="718" ht="22.5" customHeight="1">
      <c r="A718" s="50"/>
      <c r="B718" s="51"/>
      <c r="C718" s="52"/>
      <c r="D718" s="48"/>
      <c r="E718" s="48"/>
    </row>
    <row r="719" ht="22.5" customHeight="1">
      <c r="A719" s="50"/>
      <c r="B719" s="51"/>
      <c r="C719" s="52"/>
      <c r="D719" s="48"/>
      <c r="E719" s="48"/>
    </row>
    <row r="720" ht="22.5" customHeight="1">
      <c r="A720" s="50"/>
      <c r="B720" s="51"/>
      <c r="C720" s="52"/>
      <c r="D720" s="48"/>
      <c r="E720" s="48"/>
    </row>
    <row r="721" ht="22.5" customHeight="1">
      <c r="A721" s="50"/>
      <c r="B721" s="51"/>
      <c r="C721" s="52"/>
      <c r="D721" s="48"/>
      <c r="E721" s="48"/>
    </row>
    <row r="722" ht="22.5" customHeight="1">
      <c r="A722" s="50"/>
      <c r="B722" s="51"/>
      <c r="C722" s="52"/>
      <c r="D722" s="48"/>
      <c r="E722" s="48"/>
    </row>
    <row r="723" ht="22.5" customHeight="1">
      <c r="A723" s="50"/>
      <c r="B723" s="51"/>
      <c r="C723" s="52"/>
      <c r="D723" s="48"/>
      <c r="E723" s="48"/>
    </row>
    <row r="724" ht="22.5" customHeight="1">
      <c r="A724" s="50"/>
      <c r="B724" s="51"/>
      <c r="C724" s="52"/>
      <c r="D724" s="48"/>
      <c r="E724" s="48"/>
    </row>
    <row r="725" ht="22.5" customHeight="1">
      <c r="A725" s="50"/>
      <c r="B725" s="51"/>
      <c r="C725" s="52"/>
      <c r="D725" s="48"/>
      <c r="E725" s="48"/>
    </row>
    <row r="726" ht="22.5" customHeight="1">
      <c r="A726" s="50"/>
      <c r="B726" s="51"/>
      <c r="C726" s="52"/>
      <c r="D726" s="48"/>
      <c r="E726" s="48"/>
    </row>
    <row r="727" ht="22.5" customHeight="1">
      <c r="A727" s="50"/>
      <c r="B727" s="51"/>
      <c r="C727" s="52"/>
      <c r="D727" s="48"/>
      <c r="E727" s="48"/>
    </row>
    <row r="728" ht="22.5" customHeight="1">
      <c r="A728" s="50"/>
      <c r="B728" s="51"/>
      <c r="C728" s="52"/>
      <c r="D728" s="48"/>
      <c r="E728" s="48"/>
    </row>
    <row r="729" ht="22.5" customHeight="1">
      <c r="A729" s="50"/>
      <c r="B729" s="51"/>
      <c r="C729" s="52"/>
      <c r="D729" s="48"/>
      <c r="E729" s="48"/>
    </row>
    <row r="730" ht="22.5" customHeight="1">
      <c r="A730" s="50"/>
      <c r="B730" s="51"/>
      <c r="C730" s="52"/>
      <c r="D730" s="48"/>
      <c r="E730" s="48"/>
    </row>
    <row r="731" ht="22.5" customHeight="1">
      <c r="A731" s="50"/>
      <c r="B731" s="51"/>
      <c r="C731" s="52"/>
      <c r="D731" s="48"/>
      <c r="E731" s="48"/>
    </row>
    <row r="732" ht="22.5" customHeight="1">
      <c r="A732" s="50"/>
      <c r="B732" s="51"/>
      <c r="C732" s="52"/>
      <c r="D732" s="48"/>
      <c r="E732" s="48"/>
    </row>
    <row r="733" ht="22.5" customHeight="1">
      <c r="A733" s="50"/>
      <c r="B733" s="51"/>
      <c r="C733" s="52"/>
      <c r="D733" s="48"/>
      <c r="E733" s="48"/>
    </row>
    <row r="734" ht="22.5" customHeight="1">
      <c r="A734" s="50"/>
      <c r="B734" s="51"/>
      <c r="C734" s="52"/>
      <c r="D734" s="48"/>
      <c r="E734" s="48"/>
    </row>
    <row r="735" ht="22.5" customHeight="1">
      <c r="A735" s="50"/>
      <c r="B735" s="51"/>
      <c r="C735" s="52"/>
      <c r="D735" s="48"/>
      <c r="E735" s="48"/>
    </row>
    <row r="736" ht="22.5" customHeight="1">
      <c r="A736" s="50"/>
      <c r="B736" s="51"/>
      <c r="C736" s="52"/>
      <c r="D736" s="48"/>
      <c r="E736" s="48"/>
    </row>
    <row r="737" ht="22.5" customHeight="1">
      <c r="A737" s="50"/>
      <c r="B737" s="51"/>
      <c r="C737" s="52"/>
      <c r="D737" s="48"/>
      <c r="E737" s="48"/>
    </row>
    <row r="738" ht="22.5" customHeight="1">
      <c r="A738" s="50"/>
      <c r="B738" s="51"/>
      <c r="C738" s="52"/>
      <c r="D738" s="48"/>
      <c r="E738" s="48"/>
    </row>
    <row r="739" ht="22.5" customHeight="1">
      <c r="A739" s="50"/>
      <c r="B739" s="51"/>
      <c r="C739" s="52"/>
      <c r="D739" s="48"/>
      <c r="E739" s="48"/>
    </row>
    <row r="740" ht="22.5" customHeight="1">
      <c r="A740" s="50"/>
      <c r="B740" s="51"/>
      <c r="C740" s="52"/>
      <c r="D740" s="48"/>
      <c r="E740" s="48"/>
    </row>
    <row r="741" ht="22.5" customHeight="1">
      <c r="A741" s="50"/>
      <c r="B741" s="51"/>
      <c r="C741" s="52"/>
      <c r="D741" s="48"/>
      <c r="E741" s="48"/>
    </row>
    <row r="742" ht="22.5" customHeight="1">
      <c r="A742" s="50"/>
      <c r="B742" s="51"/>
      <c r="C742" s="52"/>
      <c r="D742" s="48"/>
      <c r="E742" s="48"/>
    </row>
    <row r="743" ht="22.5" customHeight="1">
      <c r="A743" s="50"/>
      <c r="B743" s="51"/>
      <c r="C743" s="52"/>
      <c r="D743" s="48"/>
      <c r="E743" s="48"/>
    </row>
    <row r="744" ht="22.5" customHeight="1">
      <c r="A744" s="50"/>
      <c r="B744" s="51"/>
      <c r="C744" s="52"/>
      <c r="D744" s="48"/>
      <c r="E744" s="48"/>
    </row>
    <row r="745" ht="22.5" customHeight="1">
      <c r="A745" s="50"/>
      <c r="B745" s="51"/>
      <c r="C745" s="52"/>
      <c r="D745" s="48"/>
      <c r="E745" s="48"/>
    </row>
    <row r="746" ht="22.5" customHeight="1">
      <c r="A746" s="50"/>
      <c r="B746" s="51"/>
      <c r="C746" s="52"/>
      <c r="D746" s="48"/>
      <c r="E746" s="48"/>
    </row>
    <row r="747" ht="22.5" customHeight="1">
      <c r="A747" s="50"/>
      <c r="B747" s="51"/>
      <c r="C747" s="52"/>
      <c r="D747" s="48"/>
      <c r="E747" s="48"/>
    </row>
    <row r="748" ht="22.5" customHeight="1">
      <c r="A748" s="50"/>
      <c r="B748" s="51"/>
      <c r="C748" s="52"/>
      <c r="D748" s="48"/>
      <c r="E748" s="48"/>
    </row>
    <row r="749" ht="22.5" customHeight="1">
      <c r="A749" s="50"/>
      <c r="B749" s="51"/>
      <c r="C749" s="52"/>
      <c r="D749" s="48"/>
      <c r="E749" s="48"/>
    </row>
    <row r="750" ht="22.5" customHeight="1">
      <c r="A750" s="50"/>
      <c r="B750" s="51"/>
      <c r="C750" s="52"/>
      <c r="D750" s="48"/>
      <c r="E750" s="48"/>
    </row>
    <row r="751" ht="22.5" customHeight="1">
      <c r="A751" s="50"/>
      <c r="B751" s="51"/>
      <c r="C751" s="52"/>
      <c r="D751" s="48"/>
      <c r="E751" s="48"/>
    </row>
    <row r="752" ht="22.5" customHeight="1">
      <c r="A752" s="50"/>
      <c r="B752" s="51"/>
      <c r="C752" s="52"/>
      <c r="D752" s="48"/>
      <c r="E752" s="48"/>
    </row>
    <row r="753" ht="22.5" customHeight="1">
      <c r="A753" s="50"/>
      <c r="B753" s="51"/>
      <c r="C753" s="52"/>
      <c r="D753" s="48"/>
      <c r="E753" s="48"/>
    </row>
    <row r="754" ht="22.5" customHeight="1">
      <c r="A754" s="50"/>
      <c r="B754" s="51"/>
      <c r="C754" s="52"/>
      <c r="D754" s="48"/>
      <c r="E754" s="48"/>
    </row>
    <row r="755" ht="22.5" customHeight="1">
      <c r="A755" s="50"/>
      <c r="B755" s="51"/>
      <c r="C755" s="52"/>
      <c r="D755" s="48"/>
      <c r="E755" s="48"/>
    </row>
    <row r="756" ht="22.5" customHeight="1">
      <c r="A756" s="50"/>
      <c r="B756" s="51"/>
      <c r="C756" s="52"/>
      <c r="D756" s="48"/>
      <c r="E756" s="48"/>
    </row>
    <row r="757" ht="22.5" customHeight="1">
      <c r="A757" s="50"/>
      <c r="B757" s="51"/>
      <c r="C757" s="52"/>
      <c r="D757" s="48"/>
      <c r="E757" s="48"/>
    </row>
    <row r="758" ht="22.5" customHeight="1">
      <c r="A758" s="50"/>
      <c r="B758" s="51"/>
      <c r="C758" s="52"/>
      <c r="D758" s="48"/>
      <c r="E758" s="48"/>
    </row>
    <row r="759" ht="22.5" customHeight="1">
      <c r="A759" s="50"/>
      <c r="B759" s="51"/>
      <c r="C759" s="52"/>
      <c r="D759" s="48"/>
      <c r="E759" s="48"/>
    </row>
    <row r="760" ht="22.5" customHeight="1">
      <c r="A760" s="50"/>
      <c r="B760" s="51"/>
      <c r="C760" s="52"/>
      <c r="D760" s="48"/>
      <c r="E760" s="48"/>
    </row>
    <row r="761" ht="22.5" customHeight="1">
      <c r="A761" s="50"/>
      <c r="B761" s="51"/>
      <c r="C761" s="52"/>
      <c r="D761" s="48"/>
      <c r="E761" s="48"/>
    </row>
    <row r="762" ht="22.5" customHeight="1">
      <c r="A762" s="50"/>
      <c r="B762" s="51"/>
      <c r="C762" s="52"/>
      <c r="D762" s="48"/>
      <c r="E762" s="48"/>
    </row>
    <row r="763" ht="22.5" customHeight="1">
      <c r="A763" s="50"/>
      <c r="B763" s="51"/>
      <c r="C763" s="52"/>
      <c r="D763" s="48"/>
      <c r="E763" s="48"/>
    </row>
    <row r="764" ht="22.5" customHeight="1">
      <c r="A764" s="50"/>
      <c r="B764" s="51"/>
      <c r="C764" s="52"/>
      <c r="D764" s="48"/>
      <c r="E764" s="48"/>
    </row>
    <row r="765" ht="22.5" customHeight="1">
      <c r="A765" s="50"/>
      <c r="B765" s="51"/>
      <c r="C765" s="52"/>
      <c r="D765" s="48"/>
      <c r="E765" s="48"/>
    </row>
    <row r="766" ht="22.5" customHeight="1">
      <c r="A766" s="50"/>
      <c r="B766" s="51"/>
      <c r="C766" s="52"/>
      <c r="D766" s="48"/>
      <c r="E766" s="48"/>
    </row>
    <row r="767" ht="22.5" customHeight="1">
      <c r="A767" s="50"/>
      <c r="B767" s="51"/>
      <c r="C767" s="52"/>
      <c r="D767" s="48"/>
      <c r="E767" s="48"/>
    </row>
    <row r="768" ht="22.5" customHeight="1">
      <c r="A768" s="50"/>
      <c r="B768" s="51"/>
      <c r="C768" s="52"/>
      <c r="D768" s="48"/>
      <c r="E768" s="48"/>
    </row>
    <row r="769" ht="22.5" customHeight="1">
      <c r="A769" s="50"/>
      <c r="B769" s="51"/>
      <c r="C769" s="52"/>
      <c r="D769" s="48"/>
      <c r="E769" s="48"/>
    </row>
    <row r="770" ht="22.5" customHeight="1">
      <c r="A770" s="50"/>
      <c r="B770" s="51"/>
      <c r="C770" s="52"/>
      <c r="D770" s="48"/>
      <c r="E770" s="48"/>
    </row>
    <row r="771" ht="22.5" customHeight="1">
      <c r="A771" s="50"/>
      <c r="B771" s="51"/>
      <c r="C771" s="52"/>
      <c r="D771" s="48"/>
      <c r="E771" s="48"/>
    </row>
    <row r="772" ht="22.5" customHeight="1">
      <c r="A772" s="50"/>
      <c r="B772" s="51"/>
      <c r="C772" s="52"/>
      <c r="D772" s="48"/>
      <c r="E772" s="48"/>
    </row>
    <row r="773" ht="22.5" customHeight="1">
      <c r="A773" s="50"/>
      <c r="B773" s="51"/>
      <c r="C773" s="52"/>
      <c r="D773" s="48"/>
      <c r="E773" s="48"/>
    </row>
    <row r="774" ht="22.5" customHeight="1">
      <c r="A774" s="50"/>
      <c r="B774" s="51"/>
      <c r="C774" s="52"/>
      <c r="D774" s="48"/>
      <c r="E774" s="48"/>
    </row>
    <row r="775" ht="22.5" customHeight="1">
      <c r="A775" s="50"/>
      <c r="B775" s="51"/>
      <c r="C775" s="52"/>
      <c r="D775" s="48"/>
      <c r="E775" s="48"/>
    </row>
    <row r="776" ht="22.5" customHeight="1">
      <c r="A776" s="50"/>
      <c r="B776" s="51"/>
      <c r="C776" s="52"/>
      <c r="D776" s="48"/>
      <c r="E776" s="48"/>
    </row>
    <row r="777" ht="22.5" customHeight="1">
      <c r="A777" s="50"/>
      <c r="B777" s="51"/>
      <c r="C777" s="52"/>
      <c r="D777" s="48"/>
      <c r="E777" s="48"/>
    </row>
    <row r="778" ht="22.5" customHeight="1">
      <c r="A778" s="50"/>
      <c r="B778" s="51"/>
      <c r="C778" s="52"/>
      <c r="D778" s="48"/>
      <c r="E778" s="48"/>
    </row>
    <row r="779" ht="22.5" customHeight="1">
      <c r="A779" s="50"/>
      <c r="B779" s="51"/>
      <c r="C779" s="52"/>
      <c r="D779" s="48"/>
      <c r="E779" s="48"/>
    </row>
    <row r="780" ht="22.5" customHeight="1">
      <c r="A780" s="50"/>
      <c r="B780" s="51"/>
      <c r="C780" s="52"/>
      <c r="D780" s="48"/>
      <c r="E780" s="48"/>
    </row>
    <row r="781" ht="22.5" customHeight="1">
      <c r="A781" s="50"/>
      <c r="B781" s="51"/>
      <c r="C781" s="52"/>
      <c r="D781" s="48"/>
      <c r="E781" s="48"/>
    </row>
    <row r="782" ht="22.5" customHeight="1">
      <c r="A782" s="50"/>
      <c r="B782" s="51"/>
      <c r="C782" s="52"/>
      <c r="D782" s="48"/>
      <c r="E782" s="48"/>
    </row>
    <row r="783" ht="22.5" customHeight="1">
      <c r="A783" s="50"/>
      <c r="B783" s="51"/>
      <c r="C783" s="52"/>
      <c r="D783" s="48"/>
      <c r="E783" s="48"/>
    </row>
    <row r="784" ht="22.5" customHeight="1">
      <c r="A784" s="50"/>
      <c r="B784" s="51"/>
      <c r="C784" s="52"/>
      <c r="D784" s="48"/>
      <c r="E784" s="48"/>
    </row>
    <row r="785" ht="22.5" customHeight="1">
      <c r="A785" s="50"/>
      <c r="B785" s="51"/>
      <c r="C785" s="52"/>
      <c r="D785" s="48"/>
      <c r="E785" s="48"/>
    </row>
    <row r="786" ht="22.5" customHeight="1">
      <c r="A786" s="50"/>
      <c r="B786" s="51"/>
      <c r="C786" s="52"/>
      <c r="D786" s="48"/>
      <c r="E786" s="48"/>
    </row>
    <row r="787" ht="22.5" customHeight="1">
      <c r="A787" s="50"/>
      <c r="B787" s="51"/>
      <c r="C787" s="52"/>
      <c r="D787" s="48"/>
      <c r="E787" s="48"/>
    </row>
    <row r="788" ht="22.5" customHeight="1">
      <c r="A788" s="50"/>
      <c r="B788" s="51"/>
      <c r="C788" s="52"/>
      <c r="D788" s="48"/>
      <c r="E788" s="48"/>
    </row>
    <row r="789" ht="22.5" customHeight="1">
      <c r="A789" s="50"/>
      <c r="B789" s="51"/>
      <c r="C789" s="52"/>
      <c r="D789" s="48"/>
      <c r="E789" s="48"/>
    </row>
    <row r="790" ht="22.5" customHeight="1">
      <c r="A790" s="50"/>
      <c r="B790" s="51"/>
      <c r="C790" s="52"/>
      <c r="D790" s="48"/>
      <c r="E790" s="48"/>
    </row>
    <row r="791" ht="22.5" customHeight="1">
      <c r="A791" s="50"/>
      <c r="B791" s="51"/>
      <c r="C791" s="52"/>
      <c r="D791" s="48"/>
      <c r="E791" s="48"/>
    </row>
    <row r="792" ht="22.5" customHeight="1">
      <c r="A792" s="50"/>
      <c r="B792" s="51"/>
      <c r="C792" s="52"/>
      <c r="D792" s="48"/>
      <c r="E792" s="48"/>
    </row>
    <row r="793" ht="22.5" customHeight="1">
      <c r="A793" s="50"/>
      <c r="B793" s="51"/>
      <c r="C793" s="52"/>
      <c r="D793" s="48"/>
      <c r="E793" s="48"/>
    </row>
    <row r="794" ht="22.5" customHeight="1">
      <c r="A794" s="50"/>
      <c r="B794" s="51"/>
      <c r="C794" s="52"/>
      <c r="D794" s="48"/>
      <c r="E794" s="48"/>
    </row>
    <row r="795" ht="22.5" customHeight="1">
      <c r="A795" s="50"/>
      <c r="B795" s="51"/>
      <c r="C795" s="52"/>
      <c r="D795" s="48"/>
      <c r="E795" s="48"/>
    </row>
    <row r="796" ht="22.5" customHeight="1">
      <c r="A796" s="50"/>
      <c r="B796" s="51"/>
      <c r="C796" s="52"/>
      <c r="D796" s="48"/>
      <c r="E796" s="48"/>
    </row>
    <row r="797" ht="22.5" customHeight="1">
      <c r="A797" s="50"/>
      <c r="B797" s="51"/>
      <c r="C797" s="52"/>
      <c r="D797" s="48"/>
      <c r="E797" s="48"/>
    </row>
    <row r="798" ht="22.5" customHeight="1">
      <c r="A798" s="50"/>
      <c r="B798" s="51"/>
      <c r="C798" s="52"/>
      <c r="D798" s="48"/>
      <c r="E798" s="48"/>
    </row>
    <row r="799" ht="22.5" customHeight="1">
      <c r="A799" s="50"/>
      <c r="B799" s="51"/>
      <c r="C799" s="52"/>
      <c r="D799" s="48"/>
      <c r="E799" s="48"/>
    </row>
    <row r="800" ht="22.5" customHeight="1">
      <c r="A800" s="50"/>
      <c r="B800" s="51"/>
      <c r="C800" s="52"/>
      <c r="D800" s="48"/>
      <c r="E800" s="48"/>
    </row>
    <row r="801" ht="22.5" customHeight="1">
      <c r="A801" s="50"/>
      <c r="B801" s="51"/>
      <c r="C801" s="52"/>
      <c r="D801" s="48"/>
      <c r="E801" s="48"/>
    </row>
    <row r="802" ht="22.5" customHeight="1">
      <c r="A802" s="50"/>
      <c r="B802" s="51"/>
      <c r="C802" s="52"/>
      <c r="D802" s="48"/>
      <c r="E802" s="48"/>
    </row>
    <row r="803" ht="22.5" customHeight="1">
      <c r="A803" s="50"/>
      <c r="B803" s="51"/>
      <c r="C803" s="52"/>
      <c r="D803" s="48"/>
      <c r="E803" s="48"/>
    </row>
    <row r="804" ht="22.5" customHeight="1">
      <c r="A804" s="50"/>
      <c r="B804" s="51"/>
      <c r="C804" s="52"/>
      <c r="D804" s="48"/>
      <c r="E804" s="48"/>
    </row>
    <row r="805" ht="22.5" customHeight="1">
      <c r="A805" s="50"/>
      <c r="B805" s="51"/>
      <c r="C805" s="52"/>
      <c r="D805" s="48"/>
      <c r="E805" s="48"/>
    </row>
    <row r="806" ht="22.5" customHeight="1">
      <c r="A806" s="50"/>
      <c r="B806" s="51"/>
      <c r="C806" s="52"/>
      <c r="D806" s="48"/>
      <c r="E806" s="48"/>
    </row>
    <row r="807" ht="22.5" customHeight="1">
      <c r="A807" s="50"/>
      <c r="B807" s="51"/>
      <c r="C807" s="52"/>
      <c r="D807" s="48"/>
      <c r="E807" s="48"/>
    </row>
    <row r="808" ht="22.5" customHeight="1">
      <c r="A808" s="50"/>
      <c r="B808" s="51"/>
      <c r="C808" s="52"/>
      <c r="D808" s="48"/>
      <c r="E808" s="48"/>
    </row>
    <row r="809" ht="22.5" customHeight="1">
      <c r="A809" s="50"/>
      <c r="B809" s="51"/>
      <c r="C809" s="52"/>
      <c r="D809" s="48"/>
      <c r="E809" s="48"/>
    </row>
    <row r="810" ht="22.5" customHeight="1">
      <c r="A810" s="50"/>
      <c r="B810" s="51"/>
      <c r="C810" s="52"/>
      <c r="D810" s="48"/>
      <c r="E810" s="48"/>
    </row>
    <row r="811" ht="22.5" customHeight="1">
      <c r="A811" s="50"/>
      <c r="B811" s="51"/>
      <c r="C811" s="52"/>
      <c r="D811" s="48"/>
      <c r="E811" s="48"/>
    </row>
    <row r="812" ht="22.5" customHeight="1">
      <c r="A812" s="50"/>
      <c r="B812" s="51"/>
      <c r="C812" s="52"/>
      <c r="D812" s="48"/>
      <c r="E812" s="48"/>
    </row>
    <row r="813" ht="22.5" customHeight="1">
      <c r="A813" s="50"/>
      <c r="B813" s="51"/>
      <c r="C813" s="52"/>
      <c r="D813" s="48"/>
      <c r="E813" s="48"/>
    </row>
    <row r="814" ht="22.5" customHeight="1">
      <c r="A814" s="50"/>
      <c r="B814" s="51"/>
      <c r="C814" s="52"/>
      <c r="D814" s="48"/>
      <c r="E814" s="48"/>
    </row>
    <row r="815" ht="22.5" customHeight="1">
      <c r="A815" s="50"/>
      <c r="B815" s="51"/>
      <c r="C815" s="52"/>
      <c r="D815" s="48"/>
      <c r="E815" s="48"/>
    </row>
    <row r="816" ht="22.5" customHeight="1">
      <c r="A816" s="50"/>
      <c r="B816" s="51"/>
      <c r="C816" s="52"/>
      <c r="D816" s="48"/>
      <c r="E816" s="48"/>
    </row>
    <row r="817" ht="22.5" customHeight="1">
      <c r="A817" s="50"/>
      <c r="B817" s="51"/>
      <c r="C817" s="52"/>
      <c r="D817" s="48"/>
      <c r="E817" s="48"/>
    </row>
    <row r="818" ht="22.5" customHeight="1">
      <c r="A818" s="50"/>
      <c r="B818" s="51"/>
      <c r="C818" s="52"/>
      <c r="D818" s="48"/>
      <c r="E818" s="48"/>
    </row>
    <row r="819" ht="22.5" customHeight="1">
      <c r="A819" s="50"/>
      <c r="B819" s="51"/>
      <c r="C819" s="52"/>
      <c r="D819" s="48"/>
      <c r="E819" s="48"/>
    </row>
    <row r="820" ht="22.5" customHeight="1">
      <c r="A820" s="50"/>
      <c r="B820" s="51"/>
      <c r="C820" s="52"/>
      <c r="D820" s="48"/>
      <c r="E820" s="48"/>
    </row>
    <row r="821" ht="22.5" customHeight="1">
      <c r="A821" s="50"/>
      <c r="B821" s="51"/>
      <c r="C821" s="52"/>
      <c r="D821" s="48"/>
      <c r="E821" s="48"/>
    </row>
    <row r="822" ht="22.5" customHeight="1">
      <c r="A822" s="50"/>
      <c r="B822" s="51"/>
      <c r="C822" s="52"/>
      <c r="D822" s="48"/>
      <c r="E822" s="48"/>
    </row>
    <row r="823" ht="22.5" customHeight="1">
      <c r="A823" s="50"/>
      <c r="B823" s="51"/>
      <c r="C823" s="52"/>
      <c r="D823" s="48"/>
      <c r="E823" s="48"/>
    </row>
    <row r="824" ht="22.5" customHeight="1">
      <c r="A824" s="50"/>
      <c r="B824" s="51"/>
      <c r="C824" s="52"/>
      <c r="D824" s="48"/>
      <c r="E824" s="48"/>
    </row>
    <row r="825" ht="22.5" customHeight="1">
      <c r="A825" s="50"/>
      <c r="B825" s="51"/>
      <c r="C825" s="52"/>
      <c r="D825" s="48"/>
      <c r="E825" s="48"/>
    </row>
    <row r="826" ht="22.5" customHeight="1">
      <c r="A826" s="50"/>
      <c r="B826" s="51"/>
      <c r="C826" s="52"/>
      <c r="D826" s="48"/>
      <c r="E826" s="48"/>
    </row>
    <row r="827" ht="22.5" customHeight="1">
      <c r="A827" s="50"/>
      <c r="B827" s="51"/>
      <c r="C827" s="52"/>
      <c r="D827" s="48"/>
      <c r="E827" s="48"/>
    </row>
    <row r="828" ht="22.5" customHeight="1">
      <c r="A828" s="50"/>
      <c r="B828" s="51"/>
      <c r="C828" s="52"/>
      <c r="D828" s="48"/>
      <c r="E828" s="48"/>
    </row>
    <row r="829" ht="22.5" customHeight="1">
      <c r="A829" s="50"/>
      <c r="B829" s="51"/>
      <c r="C829" s="52"/>
      <c r="D829" s="48"/>
      <c r="E829" s="48"/>
    </row>
    <row r="830" ht="22.5" customHeight="1">
      <c r="A830" s="50"/>
      <c r="B830" s="51"/>
      <c r="C830" s="52"/>
      <c r="D830" s="48"/>
      <c r="E830" s="48"/>
    </row>
    <row r="831" ht="22.5" customHeight="1">
      <c r="A831" s="50"/>
      <c r="B831" s="51"/>
      <c r="C831" s="52"/>
      <c r="D831" s="48"/>
      <c r="E831" s="48"/>
    </row>
    <row r="832" ht="22.5" customHeight="1">
      <c r="A832" s="50"/>
      <c r="B832" s="51"/>
      <c r="C832" s="52"/>
      <c r="D832" s="48"/>
      <c r="E832" s="48"/>
    </row>
    <row r="833" ht="22.5" customHeight="1">
      <c r="A833" s="50"/>
      <c r="B833" s="51"/>
      <c r="C833" s="52"/>
      <c r="D833" s="48"/>
      <c r="E833" s="48"/>
    </row>
    <row r="834" ht="22.5" customHeight="1">
      <c r="A834" s="50"/>
      <c r="B834" s="51"/>
      <c r="C834" s="52"/>
      <c r="D834" s="48"/>
      <c r="E834" s="48"/>
    </row>
    <row r="835" ht="22.5" customHeight="1">
      <c r="A835" s="50"/>
      <c r="B835" s="51"/>
      <c r="C835" s="52"/>
      <c r="D835" s="48"/>
      <c r="E835" s="48"/>
    </row>
    <row r="836" ht="22.5" customHeight="1">
      <c r="A836" s="50"/>
      <c r="B836" s="51"/>
      <c r="C836" s="52"/>
      <c r="D836" s="48"/>
      <c r="E836" s="48"/>
    </row>
    <row r="837" ht="22.5" customHeight="1">
      <c r="A837" s="50"/>
      <c r="B837" s="51"/>
      <c r="C837" s="52"/>
      <c r="D837" s="48"/>
      <c r="E837" s="48"/>
    </row>
    <row r="838" ht="22.5" customHeight="1">
      <c r="A838" s="50"/>
      <c r="B838" s="51"/>
      <c r="C838" s="52"/>
      <c r="D838" s="48"/>
      <c r="E838" s="48"/>
    </row>
    <row r="839" ht="22.5" customHeight="1">
      <c r="A839" s="50"/>
      <c r="B839" s="51"/>
      <c r="C839" s="52"/>
      <c r="D839" s="48"/>
      <c r="E839" s="48"/>
    </row>
    <row r="840" ht="22.5" customHeight="1">
      <c r="A840" s="50"/>
      <c r="B840" s="51"/>
      <c r="C840" s="52"/>
      <c r="D840" s="48"/>
      <c r="E840" s="48"/>
    </row>
    <row r="841" ht="22.5" customHeight="1">
      <c r="A841" s="50"/>
      <c r="B841" s="51"/>
      <c r="C841" s="52"/>
      <c r="D841" s="48"/>
      <c r="E841" s="48"/>
    </row>
    <row r="842" ht="22.5" customHeight="1">
      <c r="A842" s="50"/>
      <c r="B842" s="51"/>
      <c r="C842" s="52"/>
      <c r="D842" s="48"/>
      <c r="E842" s="48"/>
    </row>
    <row r="843" ht="22.5" customHeight="1">
      <c r="A843" s="50"/>
      <c r="B843" s="51"/>
      <c r="C843" s="52"/>
      <c r="D843" s="48"/>
      <c r="E843" s="48"/>
    </row>
    <row r="844" ht="22.5" customHeight="1">
      <c r="A844" s="50"/>
      <c r="B844" s="51"/>
      <c r="C844" s="52"/>
      <c r="D844" s="48"/>
      <c r="E844" s="48"/>
    </row>
    <row r="845" ht="22.5" customHeight="1">
      <c r="A845" s="50"/>
      <c r="B845" s="51"/>
      <c r="C845" s="52"/>
      <c r="D845" s="48"/>
      <c r="E845" s="48"/>
    </row>
    <row r="846" ht="22.5" customHeight="1">
      <c r="A846" s="50"/>
      <c r="B846" s="51"/>
      <c r="C846" s="52"/>
      <c r="D846" s="48"/>
      <c r="E846" s="48"/>
    </row>
    <row r="847" ht="22.5" customHeight="1">
      <c r="A847" s="50"/>
      <c r="B847" s="51"/>
      <c r="C847" s="52"/>
      <c r="D847" s="48"/>
      <c r="E847" s="48"/>
    </row>
    <row r="848" ht="22.5" customHeight="1">
      <c r="A848" s="50"/>
      <c r="B848" s="51"/>
      <c r="C848" s="52"/>
      <c r="D848" s="48"/>
      <c r="E848" s="48"/>
    </row>
    <row r="849" ht="22.5" customHeight="1">
      <c r="A849" s="50"/>
      <c r="B849" s="51"/>
      <c r="C849" s="52"/>
      <c r="D849" s="48"/>
      <c r="E849" s="48"/>
    </row>
    <row r="850" ht="22.5" customHeight="1">
      <c r="A850" s="50"/>
      <c r="B850" s="51"/>
      <c r="C850" s="52"/>
      <c r="D850" s="48"/>
      <c r="E850" s="48"/>
    </row>
    <row r="851" ht="22.5" customHeight="1">
      <c r="A851" s="50"/>
      <c r="B851" s="51"/>
      <c r="C851" s="52"/>
      <c r="D851" s="48"/>
      <c r="E851" s="48"/>
    </row>
    <row r="852" ht="22.5" customHeight="1">
      <c r="A852" s="50"/>
      <c r="B852" s="51"/>
      <c r="C852" s="52"/>
      <c r="D852" s="48"/>
      <c r="E852" s="48"/>
    </row>
    <row r="853" ht="22.5" customHeight="1">
      <c r="A853" s="50"/>
      <c r="B853" s="51"/>
      <c r="C853" s="52"/>
      <c r="D853" s="48"/>
      <c r="E853" s="48"/>
    </row>
    <row r="854" ht="22.5" customHeight="1">
      <c r="A854" s="50"/>
      <c r="B854" s="51"/>
      <c r="C854" s="52"/>
      <c r="D854" s="48"/>
      <c r="E854" s="48"/>
    </row>
    <row r="855" ht="22.5" customHeight="1">
      <c r="A855" s="50"/>
      <c r="B855" s="51"/>
      <c r="C855" s="52"/>
      <c r="D855" s="48"/>
      <c r="E855" s="48"/>
    </row>
    <row r="856" ht="22.5" customHeight="1">
      <c r="A856" s="50"/>
      <c r="B856" s="51"/>
      <c r="C856" s="52"/>
      <c r="D856" s="48"/>
      <c r="E856" s="48"/>
    </row>
    <row r="857" ht="22.5" customHeight="1">
      <c r="A857" s="50"/>
      <c r="B857" s="51"/>
      <c r="C857" s="52"/>
      <c r="D857" s="48"/>
      <c r="E857" s="48"/>
    </row>
    <row r="858" ht="22.5" customHeight="1">
      <c r="A858" s="50"/>
      <c r="B858" s="51"/>
      <c r="C858" s="52"/>
      <c r="D858" s="48"/>
      <c r="E858" s="48"/>
    </row>
    <row r="859" ht="22.5" customHeight="1">
      <c r="A859" s="50"/>
      <c r="B859" s="51"/>
      <c r="C859" s="52"/>
      <c r="D859" s="48"/>
      <c r="E859" s="48"/>
    </row>
    <row r="860" ht="22.5" customHeight="1">
      <c r="A860" s="50"/>
      <c r="B860" s="51"/>
      <c r="C860" s="52"/>
      <c r="D860" s="48"/>
      <c r="E860" s="48"/>
    </row>
    <row r="861" ht="22.5" customHeight="1">
      <c r="A861" s="50"/>
      <c r="B861" s="51"/>
      <c r="C861" s="52"/>
      <c r="D861" s="48"/>
      <c r="E861" s="48"/>
    </row>
    <row r="862" ht="22.5" customHeight="1">
      <c r="A862" s="50"/>
      <c r="B862" s="51"/>
      <c r="C862" s="52"/>
      <c r="D862" s="48"/>
      <c r="E862" s="48"/>
    </row>
    <row r="863" ht="22.5" customHeight="1">
      <c r="A863" s="50"/>
      <c r="B863" s="51"/>
      <c r="C863" s="52"/>
      <c r="D863" s="48"/>
      <c r="E863" s="48"/>
    </row>
    <row r="864" ht="22.5" customHeight="1">
      <c r="A864" s="50"/>
      <c r="B864" s="51"/>
      <c r="C864" s="52"/>
      <c r="D864" s="48"/>
      <c r="E864" s="48"/>
    </row>
    <row r="865" ht="22.5" customHeight="1">
      <c r="A865" s="50"/>
      <c r="B865" s="51"/>
      <c r="C865" s="52"/>
      <c r="D865" s="48"/>
      <c r="E865" s="48"/>
    </row>
    <row r="866" ht="22.5" customHeight="1">
      <c r="A866" s="50"/>
      <c r="B866" s="51"/>
      <c r="C866" s="52"/>
      <c r="D866" s="48"/>
      <c r="E866" s="48"/>
    </row>
    <row r="867" ht="22.5" customHeight="1">
      <c r="A867" s="50"/>
      <c r="B867" s="51"/>
      <c r="C867" s="52"/>
      <c r="D867" s="48"/>
      <c r="E867" s="48"/>
    </row>
    <row r="868" ht="22.5" customHeight="1">
      <c r="A868" s="50"/>
      <c r="B868" s="51"/>
      <c r="C868" s="52"/>
      <c r="D868" s="48"/>
      <c r="E868" s="48"/>
    </row>
    <row r="869" ht="22.5" customHeight="1">
      <c r="A869" s="50"/>
      <c r="B869" s="51"/>
      <c r="C869" s="52"/>
      <c r="D869" s="48"/>
      <c r="E869" s="48"/>
    </row>
    <row r="870" ht="22.5" customHeight="1">
      <c r="A870" s="50"/>
      <c r="B870" s="51"/>
      <c r="C870" s="52"/>
      <c r="D870" s="48"/>
      <c r="E870" s="48"/>
    </row>
    <row r="871" ht="22.5" customHeight="1">
      <c r="A871" s="50"/>
      <c r="B871" s="51"/>
      <c r="C871" s="52"/>
      <c r="D871" s="48"/>
      <c r="E871" s="48"/>
    </row>
    <row r="872" ht="22.5" customHeight="1">
      <c r="A872" s="50"/>
      <c r="B872" s="51"/>
      <c r="C872" s="52"/>
      <c r="D872" s="48"/>
      <c r="E872" s="48"/>
    </row>
    <row r="873" ht="22.5" customHeight="1">
      <c r="A873" s="50"/>
      <c r="B873" s="51"/>
      <c r="C873" s="52"/>
      <c r="D873" s="48"/>
      <c r="E873" s="48"/>
    </row>
    <row r="874" ht="22.5" customHeight="1">
      <c r="A874" s="50"/>
      <c r="B874" s="51"/>
      <c r="C874" s="52"/>
      <c r="D874" s="48"/>
      <c r="E874" s="48"/>
    </row>
    <row r="875" ht="22.5" customHeight="1">
      <c r="A875" s="50"/>
      <c r="B875" s="51"/>
      <c r="C875" s="52"/>
      <c r="D875" s="48"/>
      <c r="E875" s="48"/>
    </row>
    <row r="876" ht="22.5" customHeight="1">
      <c r="A876" s="50"/>
      <c r="B876" s="51"/>
      <c r="C876" s="52"/>
      <c r="D876" s="48"/>
      <c r="E876" s="48"/>
    </row>
    <row r="877" ht="22.5" customHeight="1">
      <c r="A877" s="50"/>
      <c r="B877" s="51"/>
      <c r="C877" s="52"/>
      <c r="D877" s="48"/>
      <c r="E877" s="48"/>
    </row>
    <row r="878" ht="22.5" customHeight="1">
      <c r="A878" s="50"/>
      <c r="B878" s="51"/>
      <c r="C878" s="52"/>
      <c r="D878" s="48"/>
      <c r="E878" s="48"/>
    </row>
    <row r="879" ht="22.5" customHeight="1">
      <c r="A879" s="50"/>
      <c r="B879" s="51"/>
      <c r="C879" s="52"/>
      <c r="D879" s="48"/>
      <c r="E879" s="48"/>
    </row>
    <row r="880" ht="22.5" customHeight="1">
      <c r="A880" s="50"/>
      <c r="B880" s="51"/>
      <c r="C880" s="52"/>
      <c r="D880" s="48"/>
      <c r="E880" s="48"/>
    </row>
    <row r="881" ht="22.5" customHeight="1">
      <c r="A881" s="50"/>
      <c r="B881" s="51"/>
      <c r="C881" s="52"/>
      <c r="D881" s="48"/>
      <c r="E881" s="48"/>
    </row>
    <row r="882" ht="22.5" customHeight="1">
      <c r="A882" s="50"/>
      <c r="B882" s="51"/>
      <c r="C882" s="52"/>
      <c r="D882" s="48"/>
      <c r="E882" s="48"/>
    </row>
    <row r="883" ht="22.5" customHeight="1">
      <c r="A883" s="50"/>
      <c r="B883" s="51"/>
      <c r="C883" s="52"/>
      <c r="D883" s="48"/>
      <c r="E883" s="48"/>
    </row>
    <row r="884" ht="22.5" customHeight="1">
      <c r="A884" s="50"/>
      <c r="B884" s="51"/>
      <c r="C884" s="52"/>
      <c r="D884" s="48"/>
      <c r="E884" s="48"/>
    </row>
    <row r="885" ht="22.5" customHeight="1">
      <c r="A885" s="50"/>
      <c r="B885" s="51"/>
      <c r="C885" s="52"/>
      <c r="D885" s="48"/>
      <c r="E885" s="48"/>
    </row>
    <row r="886" ht="22.5" customHeight="1">
      <c r="A886" s="50"/>
      <c r="B886" s="51"/>
      <c r="C886" s="52"/>
      <c r="D886" s="48"/>
      <c r="E886" s="48"/>
    </row>
    <row r="887" ht="22.5" customHeight="1">
      <c r="A887" s="50"/>
      <c r="B887" s="51"/>
      <c r="C887" s="52"/>
      <c r="D887" s="48"/>
      <c r="E887" s="48"/>
    </row>
    <row r="888" ht="22.5" customHeight="1">
      <c r="A888" s="50"/>
      <c r="B888" s="51"/>
      <c r="C888" s="52"/>
      <c r="D888" s="48"/>
      <c r="E888" s="48"/>
    </row>
    <row r="889" ht="22.5" customHeight="1">
      <c r="A889" s="50"/>
      <c r="B889" s="51"/>
      <c r="C889" s="52"/>
      <c r="D889" s="48"/>
      <c r="E889" s="48"/>
    </row>
    <row r="890" ht="22.5" customHeight="1">
      <c r="A890" s="50"/>
      <c r="B890" s="51"/>
      <c r="C890" s="52"/>
      <c r="D890" s="48"/>
      <c r="E890" s="48"/>
    </row>
    <row r="891" ht="22.5" customHeight="1">
      <c r="A891" s="50"/>
      <c r="B891" s="51"/>
      <c r="C891" s="52"/>
      <c r="D891" s="48"/>
      <c r="E891" s="48"/>
    </row>
    <row r="892" ht="22.5" customHeight="1">
      <c r="A892" s="50"/>
      <c r="B892" s="51"/>
      <c r="C892" s="52"/>
      <c r="D892" s="48"/>
      <c r="E892" s="48"/>
    </row>
    <row r="893" ht="22.5" customHeight="1">
      <c r="A893" s="50"/>
      <c r="B893" s="51"/>
      <c r="C893" s="52"/>
      <c r="D893" s="48"/>
      <c r="E893" s="48"/>
    </row>
    <row r="894" ht="22.5" customHeight="1">
      <c r="A894" s="50"/>
      <c r="B894" s="51"/>
      <c r="C894" s="52"/>
      <c r="D894" s="48"/>
      <c r="E894" s="48"/>
    </row>
    <row r="895" ht="22.5" customHeight="1">
      <c r="A895" s="50"/>
      <c r="B895" s="51"/>
      <c r="C895" s="52"/>
      <c r="D895" s="48"/>
      <c r="E895" s="48"/>
    </row>
    <row r="896" ht="22.5" customHeight="1">
      <c r="A896" s="50"/>
      <c r="B896" s="51"/>
      <c r="C896" s="52"/>
      <c r="D896" s="48"/>
      <c r="E896" s="48"/>
    </row>
    <row r="897" ht="22.5" customHeight="1">
      <c r="A897" s="50"/>
      <c r="B897" s="51"/>
      <c r="C897" s="52"/>
      <c r="D897" s="48"/>
      <c r="E897" s="48"/>
    </row>
    <row r="898" ht="22.5" customHeight="1">
      <c r="A898" s="50"/>
      <c r="B898" s="51"/>
      <c r="C898" s="52"/>
      <c r="D898" s="48"/>
      <c r="E898" s="48"/>
    </row>
    <row r="899" ht="22.5" customHeight="1">
      <c r="A899" s="50"/>
      <c r="B899" s="51"/>
      <c r="C899" s="52"/>
      <c r="D899" s="48"/>
      <c r="E899" s="48"/>
    </row>
    <row r="900" ht="22.5" customHeight="1">
      <c r="A900" s="50"/>
      <c r="B900" s="51"/>
      <c r="C900" s="52"/>
      <c r="D900" s="48"/>
      <c r="E900" s="48"/>
    </row>
    <row r="901" ht="22.5" customHeight="1">
      <c r="A901" s="50"/>
      <c r="B901" s="51"/>
      <c r="C901" s="52"/>
      <c r="D901" s="48"/>
      <c r="E901" s="48"/>
    </row>
    <row r="902" ht="22.5" customHeight="1">
      <c r="A902" s="50"/>
      <c r="B902" s="51"/>
      <c r="C902" s="52"/>
      <c r="D902" s="48"/>
      <c r="E902" s="48"/>
    </row>
    <row r="903" ht="22.5" customHeight="1">
      <c r="A903" s="50"/>
      <c r="B903" s="51"/>
      <c r="C903" s="52"/>
      <c r="D903" s="48"/>
      <c r="E903" s="48"/>
    </row>
    <row r="904" ht="22.5" customHeight="1">
      <c r="A904" s="50"/>
      <c r="B904" s="51"/>
      <c r="C904" s="52"/>
      <c r="D904" s="48"/>
      <c r="E904" s="48"/>
    </row>
    <row r="905" ht="22.5" customHeight="1">
      <c r="A905" s="50"/>
      <c r="B905" s="51"/>
      <c r="C905" s="52"/>
      <c r="D905" s="48"/>
      <c r="E905" s="48"/>
    </row>
    <row r="906" ht="22.5" customHeight="1">
      <c r="A906" s="50"/>
      <c r="B906" s="51"/>
      <c r="C906" s="52"/>
      <c r="D906" s="48"/>
      <c r="E906" s="48"/>
    </row>
    <row r="907" ht="22.5" customHeight="1">
      <c r="A907" s="50"/>
      <c r="B907" s="51"/>
      <c r="C907" s="52"/>
      <c r="D907" s="48"/>
      <c r="E907" s="48"/>
    </row>
    <row r="908" ht="22.5" customHeight="1">
      <c r="A908" s="50"/>
      <c r="B908" s="51"/>
      <c r="C908" s="52"/>
      <c r="D908" s="48"/>
      <c r="E908" s="48"/>
    </row>
    <row r="909" ht="22.5" customHeight="1">
      <c r="A909" s="50"/>
      <c r="B909" s="51"/>
      <c r="C909" s="52"/>
      <c r="D909" s="48"/>
      <c r="E909" s="48"/>
    </row>
    <row r="910" ht="22.5" customHeight="1">
      <c r="A910" s="50"/>
      <c r="B910" s="51"/>
      <c r="C910" s="52"/>
      <c r="D910" s="48"/>
      <c r="E910" s="48"/>
    </row>
    <row r="911" ht="22.5" customHeight="1">
      <c r="A911" s="50"/>
      <c r="B911" s="51"/>
      <c r="C911" s="52"/>
      <c r="D911" s="48"/>
      <c r="E911" s="48"/>
    </row>
    <row r="912" ht="22.5" customHeight="1">
      <c r="A912" s="50"/>
      <c r="B912" s="51"/>
      <c r="C912" s="52"/>
      <c r="D912" s="48"/>
      <c r="E912" s="48"/>
    </row>
    <row r="913" ht="22.5" customHeight="1">
      <c r="A913" s="50"/>
      <c r="B913" s="51"/>
      <c r="C913" s="52"/>
      <c r="D913" s="48"/>
      <c r="E913" s="48"/>
    </row>
    <row r="914" ht="22.5" customHeight="1">
      <c r="A914" s="50"/>
      <c r="B914" s="51"/>
      <c r="C914" s="52"/>
      <c r="D914" s="48"/>
      <c r="E914" s="48"/>
    </row>
    <row r="915" ht="22.5" customHeight="1">
      <c r="A915" s="50"/>
      <c r="B915" s="51"/>
      <c r="C915" s="52"/>
      <c r="D915" s="48"/>
      <c r="E915" s="48"/>
    </row>
    <row r="916" ht="22.5" customHeight="1">
      <c r="A916" s="50"/>
      <c r="B916" s="51"/>
      <c r="C916" s="52"/>
      <c r="D916" s="48"/>
      <c r="E916" s="48"/>
    </row>
    <row r="917" ht="22.5" customHeight="1">
      <c r="A917" s="50"/>
      <c r="B917" s="51"/>
      <c r="C917" s="52"/>
      <c r="D917" s="48"/>
      <c r="E917" s="48"/>
    </row>
    <row r="918" ht="22.5" customHeight="1">
      <c r="A918" s="50"/>
      <c r="B918" s="51"/>
      <c r="C918" s="52"/>
      <c r="D918" s="48"/>
      <c r="E918" s="48"/>
    </row>
    <row r="919" ht="22.5" customHeight="1">
      <c r="A919" s="50"/>
      <c r="B919" s="51"/>
      <c r="C919" s="52"/>
      <c r="D919" s="48"/>
      <c r="E919" s="48"/>
    </row>
    <row r="920" ht="22.5" customHeight="1">
      <c r="A920" s="50"/>
      <c r="B920" s="51"/>
      <c r="C920" s="52"/>
      <c r="D920" s="48"/>
      <c r="E920" s="48"/>
    </row>
    <row r="921" ht="22.5" customHeight="1">
      <c r="A921" s="50"/>
      <c r="B921" s="51"/>
      <c r="C921" s="52"/>
      <c r="D921" s="48"/>
      <c r="E921" s="48"/>
    </row>
    <row r="922" ht="22.5" customHeight="1">
      <c r="A922" s="50"/>
      <c r="B922" s="51"/>
      <c r="C922" s="52"/>
      <c r="D922" s="48"/>
      <c r="E922" s="48"/>
    </row>
    <row r="923" ht="22.5" customHeight="1">
      <c r="A923" s="50"/>
      <c r="B923" s="51"/>
      <c r="C923" s="52"/>
      <c r="D923" s="48"/>
      <c r="E923" s="48"/>
    </row>
    <row r="924" ht="22.5" customHeight="1">
      <c r="A924" s="50"/>
      <c r="B924" s="51"/>
      <c r="C924" s="52"/>
      <c r="D924" s="48"/>
      <c r="E924" s="48"/>
    </row>
    <row r="925" ht="22.5" customHeight="1">
      <c r="A925" s="50"/>
      <c r="B925" s="51"/>
      <c r="C925" s="52"/>
      <c r="D925" s="48"/>
      <c r="E925" s="48"/>
    </row>
    <row r="926" ht="22.5" customHeight="1">
      <c r="A926" s="50"/>
      <c r="B926" s="51"/>
      <c r="C926" s="52"/>
      <c r="D926" s="48"/>
      <c r="E926" s="48"/>
    </row>
    <row r="927" ht="22.5" customHeight="1">
      <c r="A927" s="50"/>
      <c r="B927" s="51"/>
      <c r="C927" s="52"/>
      <c r="D927" s="48"/>
      <c r="E927" s="48"/>
    </row>
    <row r="928" ht="22.5" customHeight="1">
      <c r="A928" s="50"/>
      <c r="B928" s="51"/>
      <c r="C928" s="52"/>
      <c r="D928" s="48"/>
      <c r="E928" s="48"/>
    </row>
    <row r="929" ht="22.5" customHeight="1">
      <c r="A929" s="50"/>
      <c r="B929" s="51"/>
      <c r="C929" s="52"/>
      <c r="D929" s="48"/>
      <c r="E929" s="48"/>
    </row>
    <row r="930" ht="22.5" customHeight="1">
      <c r="A930" s="50"/>
      <c r="B930" s="51"/>
      <c r="C930" s="52"/>
      <c r="D930" s="48"/>
      <c r="E930" s="48"/>
    </row>
    <row r="931" ht="22.5" customHeight="1">
      <c r="A931" s="50"/>
      <c r="B931" s="51"/>
      <c r="C931" s="52"/>
      <c r="D931" s="48"/>
      <c r="E931" s="48"/>
    </row>
    <row r="932" ht="22.5" customHeight="1">
      <c r="A932" s="50"/>
      <c r="B932" s="51"/>
      <c r="C932" s="52"/>
      <c r="D932" s="48"/>
      <c r="E932" s="48"/>
    </row>
    <row r="933" ht="22.5" customHeight="1">
      <c r="A933" s="50"/>
      <c r="B933" s="51"/>
      <c r="C933" s="52"/>
      <c r="D933" s="48"/>
      <c r="E933" s="48"/>
    </row>
    <row r="934" ht="22.5" customHeight="1">
      <c r="A934" s="50"/>
      <c r="B934" s="51"/>
      <c r="C934" s="52"/>
      <c r="D934" s="48"/>
      <c r="E934" s="48"/>
    </row>
    <row r="935" ht="22.5" customHeight="1">
      <c r="A935" s="50"/>
      <c r="B935" s="51"/>
      <c r="C935" s="52"/>
      <c r="D935" s="48"/>
      <c r="E935" s="48"/>
    </row>
    <row r="936" ht="22.5" customHeight="1">
      <c r="A936" s="50"/>
      <c r="B936" s="51"/>
      <c r="C936" s="52"/>
      <c r="D936" s="48"/>
      <c r="E936" s="48"/>
    </row>
    <row r="937" ht="22.5" customHeight="1">
      <c r="A937" s="50"/>
      <c r="B937" s="51"/>
      <c r="C937" s="52"/>
      <c r="D937" s="48"/>
      <c r="E937" s="48"/>
    </row>
    <row r="938" ht="22.5" customHeight="1">
      <c r="A938" s="50"/>
      <c r="B938" s="51"/>
      <c r="C938" s="52"/>
      <c r="D938" s="48"/>
      <c r="E938" s="48"/>
    </row>
    <row r="939" ht="22.5" customHeight="1">
      <c r="A939" s="50"/>
      <c r="B939" s="51"/>
      <c r="C939" s="52"/>
      <c r="D939" s="48"/>
      <c r="E939" s="48"/>
    </row>
    <row r="940" ht="22.5" customHeight="1">
      <c r="A940" s="50"/>
      <c r="B940" s="51"/>
      <c r="C940" s="52"/>
      <c r="D940" s="48"/>
      <c r="E940" s="48"/>
    </row>
    <row r="941" ht="22.5" customHeight="1">
      <c r="A941" s="50"/>
      <c r="B941" s="51"/>
      <c r="C941" s="52"/>
      <c r="D941" s="48"/>
      <c r="E941" s="48"/>
    </row>
    <row r="942" ht="22.5" customHeight="1">
      <c r="A942" s="50"/>
      <c r="B942" s="51"/>
      <c r="C942" s="52"/>
      <c r="D942" s="48"/>
      <c r="E942" s="48"/>
    </row>
    <row r="943" ht="22.5" customHeight="1">
      <c r="A943" s="50"/>
      <c r="B943" s="51"/>
      <c r="C943" s="52"/>
      <c r="D943" s="48"/>
      <c r="E943" s="48"/>
    </row>
    <row r="944" ht="22.5" customHeight="1">
      <c r="A944" s="50"/>
      <c r="B944" s="51"/>
      <c r="C944" s="52"/>
      <c r="D944" s="48"/>
      <c r="E944" s="48"/>
    </row>
    <row r="945" ht="22.5" customHeight="1">
      <c r="A945" s="50"/>
      <c r="B945" s="51"/>
      <c r="C945" s="52"/>
      <c r="D945" s="48"/>
      <c r="E945" s="48"/>
    </row>
    <row r="946" ht="22.5" customHeight="1">
      <c r="A946" s="50"/>
      <c r="B946" s="51"/>
      <c r="C946" s="52"/>
      <c r="D946" s="48"/>
      <c r="E946" s="48"/>
    </row>
    <row r="947" ht="22.5" customHeight="1">
      <c r="A947" s="50"/>
      <c r="B947" s="51"/>
      <c r="C947" s="52"/>
      <c r="D947" s="48"/>
      <c r="E947" s="48"/>
    </row>
    <row r="948" ht="22.5" customHeight="1">
      <c r="A948" s="50"/>
      <c r="B948" s="51"/>
      <c r="C948" s="52"/>
      <c r="D948" s="48"/>
      <c r="E948" s="48"/>
    </row>
    <row r="949" ht="22.5" customHeight="1">
      <c r="A949" s="50"/>
      <c r="B949" s="51"/>
      <c r="C949" s="52"/>
      <c r="D949" s="48"/>
      <c r="E949" s="48"/>
    </row>
    <row r="950" ht="22.5" customHeight="1">
      <c r="A950" s="50"/>
      <c r="B950" s="51"/>
      <c r="C950" s="52"/>
      <c r="D950" s="48"/>
      <c r="E950" s="48"/>
    </row>
    <row r="951" ht="22.5" customHeight="1">
      <c r="A951" s="50"/>
      <c r="B951" s="51"/>
      <c r="C951" s="52"/>
      <c r="D951" s="48"/>
      <c r="E951" s="48"/>
    </row>
    <row r="952" ht="22.5" customHeight="1">
      <c r="A952" s="50"/>
      <c r="B952" s="51"/>
      <c r="C952" s="52"/>
      <c r="D952" s="48"/>
      <c r="E952" s="48"/>
    </row>
    <row r="953" ht="22.5" customHeight="1">
      <c r="A953" s="50"/>
      <c r="B953" s="51"/>
      <c r="C953" s="52"/>
      <c r="D953" s="48"/>
      <c r="E953" s="48"/>
    </row>
    <row r="954" ht="22.5" customHeight="1">
      <c r="A954" s="50"/>
      <c r="B954" s="51"/>
      <c r="C954" s="52"/>
      <c r="D954" s="48"/>
      <c r="E954" s="48"/>
    </row>
    <row r="955" ht="22.5" customHeight="1">
      <c r="A955" s="50"/>
      <c r="B955" s="51"/>
      <c r="C955" s="52"/>
      <c r="D955" s="48"/>
      <c r="E955" s="48"/>
    </row>
    <row r="956" ht="22.5" customHeight="1">
      <c r="A956" s="50"/>
      <c r="B956" s="51"/>
      <c r="C956" s="52"/>
      <c r="D956" s="48"/>
      <c r="E956" s="48"/>
    </row>
    <row r="957" ht="22.5" customHeight="1">
      <c r="A957" s="50"/>
      <c r="B957" s="51"/>
      <c r="C957" s="52"/>
      <c r="D957" s="48"/>
      <c r="E957" s="48"/>
    </row>
    <row r="958" ht="22.5" customHeight="1">
      <c r="A958" s="50"/>
      <c r="B958" s="51"/>
      <c r="C958" s="52"/>
      <c r="D958" s="48"/>
      <c r="E958" s="48"/>
    </row>
    <row r="959" ht="22.5" customHeight="1">
      <c r="A959" s="50"/>
      <c r="B959" s="51"/>
      <c r="C959" s="52"/>
      <c r="D959" s="48"/>
      <c r="E959" s="48"/>
    </row>
    <row r="960" ht="22.5" customHeight="1">
      <c r="A960" s="50"/>
      <c r="B960" s="51"/>
      <c r="C960" s="52"/>
      <c r="D960" s="48"/>
      <c r="E960" s="48"/>
    </row>
    <row r="961" ht="22.5" customHeight="1">
      <c r="A961" s="50"/>
      <c r="B961" s="51"/>
      <c r="C961" s="52"/>
      <c r="D961" s="48"/>
      <c r="E961" s="48"/>
    </row>
    <row r="962" ht="22.5" customHeight="1">
      <c r="A962" s="50"/>
      <c r="B962" s="51"/>
      <c r="C962" s="52"/>
      <c r="D962" s="48"/>
      <c r="E962" s="48"/>
    </row>
    <row r="963" ht="22.5" customHeight="1">
      <c r="A963" s="50"/>
      <c r="B963" s="51"/>
      <c r="C963" s="52"/>
      <c r="D963" s="48"/>
      <c r="E963" s="48"/>
    </row>
    <row r="964" ht="22.5" customHeight="1">
      <c r="A964" s="50"/>
      <c r="B964" s="51"/>
      <c r="C964" s="52"/>
      <c r="D964" s="48"/>
      <c r="E964" s="48"/>
    </row>
    <row r="965" ht="22.5" customHeight="1">
      <c r="A965" s="50"/>
      <c r="B965" s="51"/>
      <c r="C965" s="52"/>
      <c r="D965" s="48"/>
      <c r="E965" s="48"/>
    </row>
    <row r="966" ht="22.5" customHeight="1">
      <c r="A966" s="50"/>
      <c r="B966" s="51"/>
      <c r="C966" s="52"/>
      <c r="D966" s="48"/>
      <c r="E966" s="48"/>
    </row>
    <row r="967" ht="22.5" customHeight="1">
      <c r="A967" s="50"/>
      <c r="B967" s="51"/>
      <c r="C967" s="52"/>
      <c r="D967" s="48"/>
      <c r="E967" s="48"/>
    </row>
    <row r="968" ht="22.5" customHeight="1">
      <c r="A968" s="50"/>
      <c r="B968" s="51"/>
      <c r="C968" s="52"/>
      <c r="D968" s="48"/>
      <c r="E968" s="48"/>
    </row>
    <row r="969" ht="22.5" customHeight="1">
      <c r="A969" s="50"/>
      <c r="B969" s="51"/>
      <c r="C969" s="52"/>
      <c r="D969" s="48"/>
      <c r="E969" s="48"/>
    </row>
    <row r="970" ht="22.5" customHeight="1">
      <c r="A970" s="50"/>
      <c r="B970" s="51"/>
      <c r="C970" s="52"/>
      <c r="D970" s="48"/>
      <c r="E970" s="48"/>
    </row>
    <row r="971" ht="22.5" customHeight="1">
      <c r="A971" s="50"/>
      <c r="B971" s="51"/>
      <c r="C971" s="52"/>
      <c r="D971" s="48"/>
      <c r="E971" s="48"/>
    </row>
    <row r="972" ht="22.5" customHeight="1">
      <c r="A972" s="50"/>
      <c r="B972" s="51"/>
      <c r="C972" s="52"/>
      <c r="D972" s="48"/>
      <c r="E972" s="48"/>
    </row>
    <row r="973" ht="22.5" customHeight="1">
      <c r="A973" s="50"/>
      <c r="B973" s="51"/>
      <c r="C973" s="52"/>
      <c r="D973" s="48"/>
      <c r="E973" s="48"/>
    </row>
    <row r="974" ht="22.5" customHeight="1">
      <c r="A974" s="50"/>
      <c r="B974" s="51"/>
      <c r="C974" s="52"/>
      <c r="D974" s="48"/>
      <c r="E974" s="48"/>
    </row>
    <row r="975" ht="22.5" customHeight="1">
      <c r="A975" s="50"/>
      <c r="B975" s="51"/>
      <c r="C975" s="52"/>
      <c r="D975" s="48"/>
      <c r="E975" s="48"/>
    </row>
    <row r="976" ht="22.5" customHeight="1">
      <c r="A976" s="50"/>
      <c r="B976" s="51"/>
      <c r="C976" s="52"/>
      <c r="D976" s="48"/>
      <c r="E976" s="48"/>
    </row>
    <row r="977" ht="22.5" customHeight="1">
      <c r="A977" s="50"/>
      <c r="B977" s="51"/>
      <c r="C977" s="52"/>
      <c r="D977" s="48"/>
      <c r="E977" s="48"/>
    </row>
    <row r="978" ht="22.5" customHeight="1">
      <c r="A978" s="50"/>
      <c r="B978" s="51"/>
      <c r="C978" s="52"/>
      <c r="D978" s="48"/>
      <c r="E978" s="48"/>
    </row>
    <row r="979" ht="22.5" customHeight="1">
      <c r="A979" s="50"/>
      <c r="B979" s="51"/>
      <c r="C979" s="52"/>
      <c r="D979" s="48"/>
      <c r="E979" s="48"/>
    </row>
    <row r="980" ht="22.5" customHeight="1">
      <c r="A980" s="50"/>
      <c r="B980" s="51"/>
      <c r="C980" s="52"/>
      <c r="D980" s="48"/>
      <c r="E980" s="48"/>
    </row>
    <row r="981" ht="22.5" customHeight="1">
      <c r="A981" s="50"/>
      <c r="B981" s="51"/>
      <c r="C981" s="52"/>
      <c r="D981" s="48"/>
      <c r="E981" s="48"/>
    </row>
    <row r="982" ht="22.5" customHeight="1">
      <c r="A982" s="50"/>
      <c r="B982" s="51"/>
      <c r="C982" s="52"/>
      <c r="D982" s="48"/>
      <c r="E982" s="48"/>
    </row>
    <row r="983" ht="22.5" customHeight="1">
      <c r="A983" s="50"/>
      <c r="B983" s="51"/>
      <c r="C983" s="52"/>
      <c r="D983" s="48"/>
      <c r="E983" s="48"/>
    </row>
    <row r="984" ht="22.5" customHeight="1">
      <c r="A984" s="50"/>
      <c r="B984" s="51"/>
      <c r="C984" s="52"/>
      <c r="D984" s="48"/>
      <c r="E984" s="48"/>
    </row>
    <row r="985" ht="22.5" customHeight="1">
      <c r="A985" s="50"/>
      <c r="B985" s="51"/>
      <c r="C985" s="52"/>
      <c r="D985" s="48"/>
      <c r="E985" s="48"/>
    </row>
    <row r="986" ht="22.5" customHeight="1">
      <c r="A986" s="50"/>
      <c r="B986" s="51"/>
      <c r="C986" s="52"/>
      <c r="D986" s="48"/>
      <c r="E986" s="48"/>
    </row>
    <row r="987" ht="22.5" customHeight="1">
      <c r="A987" s="50"/>
      <c r="B987" s="51"/>
      <c r="C987" s="52"/>
      <c r="D987" s="48"/>
      <c r="E987" s="48"/>
    </row>
    <row r="988" ht="22.5" customHeight="1">
      <c r="A988" s="50"/>
      <c r="B988" s="51"/>
      <c r="C988" s="52"/>
      <c r="D988" s="48"/>
      <c r="E988" s="48"/>
    </row>
    <row r="989" ht="22.5" customHeight="1">
      <c r="A989" s="50"/>
      <c r="B989" s="51"/>
      <c r="C989" s="52"/>
      <c r="D989" s="48"/>
      <c r="E989" s="48"/>
    </row>
    <row r="990" ht="22.5" customHeight="1">
      <c r="A990" s="53"/>
      <c r="B990" s="54"/>
      <c r="C990" s="55"/>
      <c r="D990" s="56"/>
      <c r="E990" s="56"/>
    </row>
  </sheetData>
  <dataValidations>
    <dataValidation type="decimal" operator="greaterThan" allowBlank="1" showDropDown="1" showErrorMessage="1" sqref="D2:D990">
      <formula1>0.0</formula1>
    </dataValidation>
    <dataValidation type="list" allowBlank="1" showErrorMessage="1" sqref="E2:E990">
      <formula1>"unit,dozen,inch,foot,mile,gallon,ounce,pound,ton,centimeter,meter,kilometer,gram,kilogram,metric ton,liter,cubic meter"</formula1>
    </dataValidation>
    <dataValidation type="custom" allowBlank="1" showDropDown="1" showErrorMessage="1" sqref="A2:A990">
      <formula1>OR(NOT(ISERROR(DATEVALUE(A2))), AND(ISNUMBER(A2), LEFT(CELL("format", A2))="D"))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272C"/>
    <outlinePr summaryBelow="0" summaryRight="0"/>
  </sheetPr>
  <sheetViews>
    <sheetView showGridLines="0" workbookViewId="0"/>
  </sheetViews>
  <sheetFormatPr customHeight="1" defaultColWidth="12.63" defaultRowHeight="15.75"/>
  <cols>
    <col customWidth="1" min="1" max="1" width="3.88"/>
    <col customWidth="1" min="2" max="2" width="12.63"/>
    <col customWidth="1" min="5" max="5" width="12.63"/>
    <col customWidth="1" min="6" max="6" width="15.13"/>
    <col customWidth="1" min="7" max="7" width="2.63"/>
    <col customWidth="1" min="9" max="12" width="12.63"/>
    <col customWidth="1" min="13" max="15" width="2.63"/>
    <col customWidth="1" min="16" max="20" width="12.63"/>
    <col customWidth="1" min="21" max="22" width="2.63"/>
  </cols>
  <sheetData>
    <row r="1" ht="15.0" customHeight="1">
      <c r="A1" s="57"/>
      <c r="B1" s="57"/>
      <c r="C1" s="57"/>
      <c r="D1" s="57"/>
      <c r="E1" s="57"/>
      <c r="F1" s="57"/>
      <c r="G1" s="57"/>
      <c r="H1" s="57"/>
      <c r="I1" s="58"/>
      <c r="J1" s="58"/>
      <c r="K1" s="58"/>
      <c r="L1" s="58"/>
      <c r="M1" s="58"/>
      <c r="N1" s="58"/>
      <c r="O1" s="58"/>
      <c r="P1" s="58"/>
      <c r="Q1" s="58"/>
      <c r="R1" s="58"/>
      <c r="S1" s="58"/>
      <c r="T1" s="58"/>
      <c r="U1" s="58"/>
      <c r="V1" s="58"/>
    </row>
    <row r="2" ht="7.5" customHeight="1">
      <c r="A2" s="57"/>
      <c r="B2" s="57"/>
      <c r="C2" s="57"/>
      <c r="D2" s="57"/>
      <c r="E2" s="57"/>
      <c r="F2" s="57"/>
      <c r="G2" s="59"/>
      <c r="H2" s="60"/>
      <c r="I2" s="61"/>
      <c r="J2" s="61"/>
      <c r="K2" s="61"/>
      <c r="L2" s="61"/>
      <c r="M2" s="62"/>
      <c r="N2" s="58"/>
      <c r="O2" s="63"/>
      <c r="P2" s="61"/>
      <c r="Q2" s="61"/>
      <c r="R2" s="61"/>
      <c r="S2" s="61"/>
      <c r="T2" s="61"/>
      <c r="U2" s="62"/>
      <c r="V2" s="58"/>
    </row>
    <row r="3" ht="26.25" customHeight="1">
      <c r="A3" s="57"/>
      <c r="B3" s="57"/>
      <c r="C3" s="57"/>
      <c r="D3" s="57"/>
      <c r="E3" s="57"/>
      <c r="F3" s="57"/>
      <c r="G3" s="64"/>
      <c r="H3" s="65" t="s">
        <v>490</v>
      </c>
      <c r="M3" s="66"/>
      <c r="N3" s="58"/>
      <c r="O3" s="67"/>
      <c r="P3" s="68" t="s">
        <v>491</v>
      </c>
      <c r="U3" s="69"/>
      <c r="V3" s="58"/>
    </row>
    <row r="4" ht="26.25" customHeight="1">
      <c r="A4" s="57"/>
      <c r="B4" s="57"/>
      <c r="C4" s="57"/>
      <c r="D4" s="57"/>
      <c r="E4" s="57"/>
      <c r="F4" s="57"/>
      <c r="G4" s="70"/>
      <c r="H4" s="71">
        <f>SUM('Current inventory list'!F2:F28)</f>
        <v>1246</v>
      </c>
      <c r="M4" s="72"/>
      <c r="N4" s="57"/>
      <c r="O4" s="73"/>
      <c r="P4" s="74" t="str">
        <f>IFERROR(__xludf.DUMMYFUNCTION("IFERROR(QUERY('Current inventory list'!A2:G28,""SELECT B WHERE F=0 LIMIT 9"",0),""None"")"),"Baby Powder")</f>
        <v>Baby Powder</v>
      </c>
      <c r="U4" s="72"/>
      <c r="V4" s="57"/>
    </row>
    <row r="5" ht="26.25" customHeight="1">
      <c r="A5" s="75"/>
      <c r="B5" s="75"/>
      <c r="C5" s="75"/>
      <c r="D5" s="75"/>
      <c r="E5" s="75"/>
      <c r="F5" s="75"/>
      <c r="G5" s="70"/>
      <c r="M5" s="76"/>
      <c r="N5" s="77"/>
      <c r="O5" s="78"/>
      <c r="P5" s="74" t="str">
        <f>IFERROR(__xludf.DUMMYFUNCTION("""COMPUTED_VALUE"""),"Barware")</f>
        <v>Barware</v>
      </c>
      <c r="U5" s="76"/>
      <c r="V5" s="77"/>
    </row>
    <row r="6" ht="26.25" customHeight="1">
      <c r="A6" s="75"/>
      <c r="B6" s="75"/>
      <c r="C6" s="75"/>
      <c r="D6" s="75"/>
      <c r="E6" s="75"/>
      <c r="F6" s="75"/>
      <c r="G6" s="70"/>
      <c r="M6" s="79"/>
      <c r="N6" s="75"/>
      <c r="O6" s="80"/>
      <c r="P6" s="74" t="str">
        <f>IFERROR(__xludf.DUMMYFUNCTION("""COMPUTED_VALUE"""),"Baskets")</f>
        <v>Baskets</v>
      </c>
      <c r="U6" s="79"/>
      <c r="V6" s="75"/>
    </row>
    <row r="7" ht="26.25" customHeight="1">
      <c r="A7" s="75"/>
      <c r="B7" s="81"/>
      <c r="C7" s="81"/>
      <c r="D7" s="81"/>
      <c r="E7" s="82"/>
      <c r="F7" s="75"/>
      <c r="G7" s="83"/>
      <c r="H7" s="84"/>
      <c r="I7" s="84"/>
      <c r="J7" s="84"/>
      <c r="K7" s="84"/>
      <c r="L7" s="84"/>
      <c r="M7" s="85"/>
      <c r="N7" s="75"/>
      <c r="O7" s="80"/>
      <c r="P7" s="74" t="str">
        <f>IFERROR(__xludf.DUMMYFUNCTION("""COMPUTED_VALUE"""),"Beads")</f>
        <v>Beads</v>
      </c>
      <c r="U7" s="79"/>
      <c r="V7" s="75"/>
    </row>
    <row r="8" ht="26.25" customHeight="1">
      <c r="A8" s="75"/>
      <c r="B8" s="81" t="s">
        <v>492</v>
      </c>
      <c r="E8" s="82"/>
      <c r="F8" s="75"/>
      <c r="G8" s="86"/>
      <c r="H8" s="87" t="s">
        <v>493</v>
      </c>
      <c r="I8" s="88"/>
      <c r="J8" s="88"/>
      <c r="K8" s="88"/>
      <c r="L8" s="88"/>
      <c r="M8" s="89"/>
      <c r="N8" s="75"/>
      <c r="O8" s="80"/>
      <c r="P8" s="74" t="str">
        <f>IFERROR(__xludf.DUMMYFUNCTION("""COMPUTED_VALUE"""),"Binder Clips")</f>
        <v>Binder Clips</v>
      </c>
      <c r="U8" s="79"/>
      <c r="V8" s="75"/>
    </row>
    <row r="9" ht="26.25" customHeight="1">
      <c r="A9" s="75"/>
      <c r="E9" s="90" t="s">
        <v>494</v>
      </c>
      <c r="F9" s="91"/>
      <c r="G9" s="92"/>
      <c r="H9" s="93" t="s">
        <v>495</v>
      </c>
      <c r="I9" s="94" t="str">
        <f>IFERROR(__xludf.DUMMYFUNCTION("QUERY('Current inventory list'!A2:G28,""SELECT B ORDER BY D DESC LIMIT 1"",0)"),"Books")</f>
        <v>Books</v>
      </c>
      <c r="M9" s="79"/>
      <c r="N9" s="75"/>
      <c r="O9" s="80"/>
      <c r="P9" s="74" t="str">
        <f>IFERROR(__xludf.DUMMYFUNCTION("""COMPUTED_VALUE"""),"Bins")</f>
        <v>Bins</v>
      </c>
      <c r="U9" s="79"/>
      <c r="V9" s="75"/>
    </row>
    <row r="10" ht="26.25" customHeight="1">
      <c r="A10" s="75"/>
      <c r="B10" s="75"/>
      <c r="C10" s="75"/>
      <c r="D10" s="75"/>
      <c r="E10" s="75"/>
      <c r="F10" s="75"/>
      <c r="G10" s="80"/>
      <c r="M10" s="79"/>
      <c r="N10" s="75"/>
      <c r="O10" s="80"/>
      <c r="P10" s="74" t="str">
        <f>IFERROR(__xludf.DUMMYFUNCTION("""COMPUTED_VALUE"""),"Blenders")</f>
        <v>Blenders</v>
      </c>
      <c r="U10" s="79"/>
      <c r="V10" s="75"/>
    </row>
    <row r="11" ht="26.25" customHeight="1">
      <c r="A11" s="75"/>
      <c r="B11" s="75"/>
      <c r="C11" s="75"/>
      <c r="D11" s="75"/>
      <c r="E11" s="95"/>
      <c r="F11" s="75"/>
      <c r="G11" s="92"/>
      <c r="H11" s="93" t="s">
        <v>496</v>
      </c>
      <c r="I11" s="94" t="str">
        <f>IFERROR(__xludf.DUMMYFUNCTION("QUERY('Current inventory list'!A10:G28,""SELECT B ORDER BY E DESC LIMIT 1"",0)"),"Party Games")</f>
        <v>Party Games</v>
      </c>
      <c r="M11" s="79"/>
      <c r="N11" s="75"/>
      <c r="O11" s="80"/>
      <c r="P11" s="74" t="str">
        <f>IFERROR(__xludf.DUMMYFUNCTION("""COMPUTED_VALUE"""),"Body Wash")</f>
        <v>Body Wash</v>
      </c>
      <c r="U11" s="79"/>
      <c r="V11" s="75"/>
    </row>
    <row r="12" ht="26.25" customHeight="1">
      <c r="A12" s="75"/>
      <c r="B12" s="75"/>
      <c r="C12" s="75"/>
      <c r="D12" s="75"/>
      <c r="E12" s="75"/>
      <c r="F12" s="75"/>
      <c r="G12" s="80"/>
      <c r="M12" s="79"/>
      <c r="N12" s="75"/>
      <c r="O12" s="80"/>
      <c r="P12" s="74" t="str">
        <f>IFERROR(__xludf.DUMMYFUNCTION("""COMPUTED_VALUE"""),"Brushes")</f>
        <v>Brushes</v>
      </c>
      <c r="U12" s="79"/>
      <c r="V12" s="75"/>
    </row>
    <row r="13" ht="15.0" customHeight="1">
      <c r="A13" s="75"/>
      <c r="B13" s="75"/>
      <c r="C13" s="75"/>
      <c r="D13" s="75"/>
      <c r="E13" s="75"/>
      <c r="F13" s="75"/>
      <c r="G13" s="96"/>
      <c r="H13" s="97"/>
      <c r="I13" s="98"/>
      <c r="J13" s="98"/>
      <c r="K13" s="98"/>
      <c r="L13" s="98"/>
      <c r="M13" s="85"/>
      <c r="N13" s="75"/>
      <c r="O13" s="96"/>
      <c r="P13" s="97"/>
      <c r="Q13" s="97"/>
      <c r="R13" s="97"/>
      <c r="S13" s="97"/>
      <c r="T13" s="97"/>
      <c r="U13" s="85"/>
      <c r="V13" s="75"/>
    </row>
    <row r="14" ht="15.0" customHeight="1">
      <c r="A14" s="75"/>
      <c r="B14" s="75"/>
      <c r="C14" s="75"/>
      <c r="D14" s="75"/>
      <c r="E14" s="75"/>
      <c r="F14" s="75"/>
      <c r="G14" s="75"/>
      <c r="H14" s="75"/>
      <c r="I14" s="99"/>
      <c r="J14" s="99"/>
      <c r="K14" s="99"/>
      <c r="L14" s="99"/>
      <c r="M14" s="75"/>
      <c r="N14" s="75"/>
      <c r="O14" s="75"/>
      <c r="P14" s="75"/>
      <c r="Q14" s="75"/>
      <c r="R14" s="75"/>
      <c r="S14" s="75"/>
      <c r="T14" s="75"/>
      <c r="U14" s="75"/>
      <c r="V14" s="75"/>
    </row>
    <row r="15" ht="7.5" customHeight="1">
      <c r="A15" s="75"/>
      <c r="B15" s="75"/>
      <c r="C15" s="75"/>
      <c r="D15" s="75"/>
      <c r="E15" s="75"/>
      <c r="F15" s="75"/>
      <c r="G15" s="75"/>
      <c r="H15" s="75"/>
      <c r="I15" s="75"/>
      <c r="J15" s="75"/>
      <c r="K15" s="75"/>
      <c r="L15" s="75"/>
      <c r="M15" s="75"/>
      <c r="N15" s="75"/>
      <c r="O15" s="75"/>
      <c r="P15" s="75"/>
      <c r="Q15" s="75"/>
      <c r="R15" s="75"/>
      <c r="S15" s="75"/>
      <c r="T15" s="75"/>
      <c r="U15" s="75"/>
      <c r="V15" s="75"/>
    </row>
    <row r="16" ht="26.25" customHeight="1">
      <c r="A16" s="75"/>
      <c r="B16" s="75"/>
      <c r="C16" s="75"/>
      <c r="D16" s="75"/>
      <c r="E16" s="75"/>
      <c r="F16" s="75"/>
      <c r="G16" s="75"/>
      <c r="H16" s="75"/>
      <c r="I16" s="75"/>
      <c r="J16" s="75"/>
      <c r="K16" s="75"/>
      <c r="L16" s="75"/>
      <c r="M16" s="75"/>
      <c r="N16" s="75"/>
      <c r="O16" s="75"/>
      <c r="P16" s="75"/>
      <c r="Q16" s="75"/>
      <c r="R16" s="75"/>
      <c r="S16" s="75"/>
      <c r="T16" s="75"/>
      <c r="U16" s="75"/>
      <c r="V16" s="75"/>
    </row>
    <row r="17" ht="26.25" customHeight="1">
      <c r="A17" s="75"/>
      <c r="B17" s="75"/>
      <c r="C17" s="75"/>
      <c r="D17" s="75"/>
      <c r="E17" s="75"/>
      <c r="F17" s="75"/>
      <c r="G17" s="75"/>
      <c r="H17" s="75"/>
      <c r="I17" s="75"/>
      <c r="J17" s="75"/>
      <c r="K17" s="75"/>
      <c r="L17" s="75"/>
      <c r="M17" s="75"/>
      <c r="N17" s="75"/>
      <c r="O17" s="75"/>
      <c r="P17" s="75"/>
      <c r="Q17" s="75"/>
      <c r="R17" s="75"/>
      <c r="S17" s="75"/>
      <c r="T17" s="75"/>
      <c r="U17" s="75"/>
      <c r="V17" s="75"/>
    </row>
    <row r="18" ht="26.25" customHeight="1">
      <c r="A18" s="75"/>
      <c r="B18" s="75"/>
      <c r="C18" s="75"/>
      <c r="D18" s="75"/>
      <c r="E18" s="75"/>
      <c r="F18" s="75"/>
      <c r="G18" s="75"/>
      <c r="H18" s="75"/>
      <c r="I18" s="75"/>
      <c r="J18" s="75"/>
      <c r="K18" s="75"/>
      <c r="L18" s="75"/>
      <c r="M18" s="75"/>
      <c r="N18" s="75"/>
      <c r="O18" s="75"/>
      <c r="P18" s="75"/>
      <c r="Q18" s="75"/>
      <c r="R18" s="75"/>
      <c r="S18" s="75"/>
      <c r="T18" s="75"/>
      <c r="U18" s="75"/>
      <c r="V18" s="75"/>
    </row>
    <row r="19" ht="26.25" customHeight="1">
      <c r="A19" s="75"/>
      <c r="B19" s="75"/>
      <c r="C19" s="75"/>
      <c r="D19" s="75"/>
      <c r="E19" s="75"/>
      <c r="F19" s="75"/>
      <c r="G19" s="75"/>
      <c r="H19" s="75"/>
      <c r="I19" s="75"/>
      <c r="J19" s="75"/>
      <c r="K19" s="75"/>
      <c r="L19" s="75"/>
      <c r="M19" s="75"/>
      <c r="N19" s="75"/>
      <c r="O19" s="75"/>
      <c r="P19" s="75"/>
      <c r="Q19" s="75"/>
      <c r="R19" s="75"/>
      <c r="S19" s="75"/>
      <c r="T19" s="75"/>
      <c r="U19" s="75"/>
      <c r="V19" s="75"/>
    </row>
    <row r="20" ht="26.25" customHeight="1">
      <c r="A20" s="75"/>
      <c r="B20" s="75"/>
      <c r="C20" s="75"/>
      <c r="D20" s="75"/>
      <c r="E20" s="75"/>
      <c r="F20" s="75"/>
      <c r="G20" s="75"/>
      <c r="H20" s="75"/>
      <c r="I20" s="75"/>
      <c r="J20" s="75"/>
      <c r="K20" s="75"/>
      <c r="L20" s="75"/>
      <c r="M20" s="75"/>
      <c r="N20" s="75"/>
      <c r="O20" s="75"/>
      <c r="P20" s="75"/>
      <c r="Q20" s="75"/>
      <c r="R20" s="75"/>
      <c r="S20" s="75"/>
      <c r="T20" s="75"/>
      <c r="U20" s="75"/>
      <c r="V20" s="75"/>
    </row>
    <row r="21" ht="26.25" customHeight="1">
      <c r="A21" s="75"/>
      <c r="B21" s="75"/>
      <c r="C21" s="75"/>
      <c r="D21" s="75"/>
      <c r="E21" s="75"/>
      <c r="F21" s="75"/>
      <c r="G21" s="75"/>
      <c r="H21" s="75"/>
      <c r="I21" s="75"/>
      <c r="J21" s="75"/>
      <c r="K21" s="75"/>
      <c r="L21" s="75"/>
      <c r="M21" s="75"/>
      <c r="N21" s="75"/>
      <c r="O21" s="75"/>
      <c r="P21" s="75"/>
      <c r="Q21" s="75"/>
      <c r="R21" s="75"/>
      <c r="S21" s="75"/>
      <c r="T21" s="75"/>
      <c r="U21" s="75"/>
      <c r="V21" s="75"/>
    </row>
    <row r="22" ht="26.25" customHeight="1">
      <c r="A22" s="75"/>
      <c r="B22" s="75"/>
      <c r="C22" s="75"/>
      <c r="D22" s="75"/>
      <c r="E22" s="75"/>
      <c r="F22" s="75"/>
      <c r="G22" s="75"/>
      <c r="H22" s="75"/>
      <c r="I22" s="75"/>
      <c r="J22" s="75"/>
      <c r="K22" s="75"/>
      <c r="L22" s="75"/>
      <c r="M22" s="75"/>
      <c r="N22" s="75"/>
      <c r="O22" s="75"/>
      <c r="P22" s="75"/>
      <c r="Q22" s="75"/>
      <c r="R22" s="75"/>
      <c r="S22" s="75"/>
      <c r="T22" s="75"/>
      <c r="U22" s="75"/>
      <c r="V22" s="75"/>
    </row>
    <row r="23" ht="26.25" customHeight="1">
      <c r="A23" s="75"/>
      <c r="B23" s="75"/>
      <c r="C23" s="75"/>
      <c r="D23" s="75"/>
      <c r="E23" s="75"/>
      <c r="F23" s="75"/>
      <c r="G23" s="75"/>
      <c r="H23" s="75"/>
      <c r="I23" s="75"/>
      <c r="J23" s="75"/>
      <c r="K23" s="75"/>
      <c r="L23" s="75"/>
      <c r="M23" s="75"/>
      <c r="N23" s="75"/>
      <c r="O23" s="75"/>
      <c r="P23" s="75"/>
      <c r="Q23" s="75"/>
      <c r="R23" s="75"/>
      <c r="S23" s="75"/>
      <c r="T23" s="75"/>
      <c r="U23" s="75"/>
      <c r="V23" s="75"/>
    </row>
    <row r="24" ht="26.25" customHeight="1">
      <c r="A24" s="75"/>
      <c r="B24" s="75"/>
      <c r="C24" s="75"/>
      <c r="D24" s="75"/>
      <c r="E24" s="75"/>
      <c r="F24" s="75"/>
      <c r="G24" s="75"/>
      <c r="H24" s="75"/>
      <c r="I24" s="75"/>
      <c r="J24" s="75"/>
      <c r="K24" s="75"/>
      <c r="L24" s="75"/>
      <c r="M24" s="75"/>
      <c r="N24" s="75"/>
      <c r="O24" s="75"/>
      <c r="P24" s="75"/>
      <c r="Q24" s="75"/>
      <c r="R24" s="75"/>
      <c r="S24" s="75"/>
      <c r="T24" s="75"/>
      <c r="U24" s="75"/>
      <c r="V24" s="75"/>
    </row>
    <row r="25" ht="26.25" customHeight="1">
      <c r="A25" s="75"/>
      <c r="B25" s="75"/>
      <c r="C25" s="75"/>
      <c r="D25" s="75"/>
      <c r="E25" s="75"/>
      <c r="F25" s="75"/>
      <c r="G25" s="75"/>
      <c r="H25" s="75"/>
      <c r="I25" s="75"/>
      <c r="J25" s="75"/>
      <c r="K25" s="75"/>
      <c r="L25" s="75"/>
      <c r="M25" s="75"/>
      <c r="N25" s="75"/>
      <c r="O25" s="75"/>
      <c r="P25" s="75"/>
      <c r="Q25" s="75"/>
      <c r="R25" s="75"/>
      <c r="S25" s="75"/>
      <c r="T25" s="75"/>
      <c r="U25" s="75"/>
      <c r="V25" s="75"/>
    </row>
    <row r="26" ht="15.0" customHeight="1">
      <c r="A26" s="75"/>
      <c r="B26" s="75"/>
      <c r="C26" s="75"/>
      <c r="D26" s="75"/>
      <c r="E26" s="75"/>
      <c r="F26" s="75"/>
      <c r="G26" s="75"/>
      <c r="H26" s="75"/>
      <c r="I26" s="75"/>
      <c r="J26" s="75"/>
      <c r="K26" s="75"/>
      <c r="L26" s="75"/>
      <c r="M26" s="75"/>
      <c r="N26" s="75"/>
      <c r="O26" s="75"/>
      <c r="P26" s="75"/>
      <c r="Q26" s="75"/>
      <c r="R26" s="75"/>
      <c r="S26" s="75"/>
      <c r="T26" s="75"/>
      <c r="U26" s="75"/>
      <c r="V26" s="75"/>
    </row>
    <row r="27" ht="7.5" customHeight="1">
      <c r="A27" s="75"/>
      <c r="B27" s="75"/>
      <c r="C27" s="75"/>
      <c r="D27" s="75"/>
      <c r="E27" s="75"/>
      <c r="F27" s="75"/>
      <c r="G27" s="75"/>
      <c r="H27" s="75"/>
      <c r="I27" s="75"/>
      <c r="J27" s="75"/>
      <c r="K27" s="75"/>
      <c r="L27" s="75"/>
      <c r="M27" s="75"/>
      <c r="N27" s="75"/>
      <c r="O27" s="75"/>
      <c r="P27" s="75"/>
      <c r="Q27" s="75"/>
      <c r="R27" s="75"/>
      <c r="S27" s="75"/>
      <c r="T27" s="75"/>
      <c r="U27" s="75"/>
      <c r="V27" s="75"/>
    </row>
    <row r="28" ht="15.0" customHeight="1">
      <c r="A28" s="75"/>
      <c r="B28" s="75"/>
      <c r="C28" s="75"/>
      <c r="D28" s="75"/>
      <c r="E28" s="75"/>
      <c r="F28" s="75"/>
      <c r="G28" s="75"/>
      <c r="H28" s="75"/>
      <c r="I28" s="75"/>
      <c r="J28" s="75"/>
      <c r="K28" s="75"/>
      <c r="L28" s="75"/>
      <c r="M28" s="75"/>
      <c r="N28" s="75"/>
      <c r="O28" s="75"/>
      <c r="P28" s="75"/>
      <c r="Q28" s="75"/>
      <c r="R28" s="75"/>
      <c r="S28" s="75"/>
      <c r="T28" s="75"/>
      <c r="U28" s="75"/>
      <c r="V28" s="75"/>
    </row>
  </sheetData>
  <mergeCells count="18">
    <mergeCell ref="H4:L6"/>
    <mergeCell ref="H8:L8"/>
    <mergeCell ref="H9:H10"/>
    <mergeCell ref="I9:L10"/>
    <mergeCell ref="H11:H12"/>
    <mergeCell ref="I11:L12"/>
    <mergeCell ref="P8:T8"/>
    <mergeCell ref="P9:T9"/>
    <mergeCell ref="P10:T10"/>
    <mergeCell ref="P11:T11"/>
    <mergeCell ref="P12:T12"/>
    <mergeCell ref="H3:L3"/>
    <mergeCell ref="P3:T3"/>
    <mergeCell ref="P4:T4"/>
    <mergeCell ref="P5:T5"/>
    <mergeCell ref="P6:T6"/>
    <mergeCell ref="P7:T7"/>
    <mergeCell ref="B8:D9"/>
  </mergeCells>
  <conditionalFormatting sqref="P4">
    <cfRule type="cellIs" dxfId="0" priority="1" operator="equal">
      <formula>"None"</formula>
    </cfRule>
  </conditionalFormatting>
  <dataValidations>
    <dataValidation type="decimal" operator="greaterThan" allowBlank="1" showDropDown="1" showInputMessage="1" showErrorMessage="1" prompt="Enter a number greater than 0" sqref="E11">
      <formula1>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7.63"/>
    <col customWidth="1" min="3" max="7" width="13.5"/>
  </cols>
  <sheetData>
    <row r="1" ht="35.25" customHeight="1">
      <c r="A1" s="100" t="str">
        <f t="array" ref="A1:A241">UNIQUE(INDIRECT("'Check-in'!"&amp;LEFT(ADDRESS(1,MATCH("Stock Keeping Unit (SKU)",'Check-in'!1:1,FALSE),4,TRUE))&amp;":"&amp;LEFT(ADDRESS(1,MATCH("Stock Keeping Unit (SKU)",'Check-in'!1:1,FALSE),4,TRUE))&amp;""))</f>
        <v>Stock keeping unit (SKU)</v>
      </c>
      <c r="B1" s="100" t="str">
        <f t="array" ref="B1:B1000">IFERROR(VLOOKUP(A1:A1000,'Check-in'!B1:G1000,MATCH("ITEM NAME",'Check-in'!B1:G1,0),FALSE),"")</f>
        <v>Item name</v>
      </c>
      <c r="C1" s="100" t="str">
        <f t="array" ref="C1:C1000">IFERROR(VLOOKUP(A1:A1000,'Check-in'!B1:G1000,MATCH("UNIT OF MEASURE",'Check-in'!B1:G1,0),FALSE),"")</f>
        <v>Unit of measure</v>
      </c>
      <c r="D1" s="101" t="str">
        <f t="array" ref="D1:D1000">IF(ROW(A1:A1000)=1,"Check-in total",IF(A1:A1000="","",SUMIF(INDIRECT("'Check-in'!"&amp;LEFT(ADDRESS(1,MATCH("Stock keeping unit (SKU)",'Check-in'!1:1,FALSE),4,TRUE))&amp;":"&amp;LEFT(ADDRESS(1,MATCH("Stock keeping unit (SKU)",'Check-in'!1:1,FALSE),4,TRUE))&amp;""),A1:A1000,INDIRECT("'Check-in'!"&amp;LEFT(ADDRESS(1,MATCH("Quantity",'Check-in'!1:1,FALSE),4,TRUE))&amp;":"&amp;LEFT(ADDRESS(1,MATCH("Quantity",'Check-in'!1:1,FALSE),4,TRUE))&amp;""))))</f>
        <v>Check-in total</v>
      </c>
      <c r="E1" s="101" t="str">
        <f t="array" ref="E1:E1000">IF(ROW(A1:A1000)=1,"Check-out total",IF(A1:A1000="","",SUMIF(INDIRECT("'Check-out'!"&amp;LEFT(ADDRESS(1,MATCH("Stock keeping unit (SKU)",'Check-out'!1:1,FALSE),4,TRUE))&amp;":"&amp;LEFT(ADDRESS(1,MATCH("Stock keeping unit (SKU)",'Check-out'!1:1,FALSE),4,TRUE))&amp;""),A1:A1000,INDIRECT("'Check-out'!"&amp;LEFT(ADDRESS(1,MATCH("Quantity",'Check-out'!1:1,FALSE),4,TRUE))&amp;":"&amp;LEFT(ADDRESS(1,MATCH("Quantity",'Check-out'!1:1,FALSE),4,TRUE))&amp;""))))</f>
        <v>Check-out total</v>
      </c>
      <c r="F1" s="101" t="str">
        <f t="array" ref="F1:F1000">IF(ROW(A1:A1000)=1,"Inventory",IF(A1:A1000="","",(D1:D1000-E1:E1000)))</f>
        <v>Inventory</v>
      </c>
      <c r="G1" s="102" t="str">
        <f t="array" ref="G1:G1000">IF(ROW(A1:A1000)=1,"% Available",IFERROR(IF(F1:F1000="","",F1:F1000/D1:D1000),0))</f>
        <v>% Available</v>
      </c>
    </row>
    <row r="2" ht="22.5" customHeight="1">
      <c r="A2" s="103" t="s">
        <v>10</v>
      </c>
      <c r="B2" s="104" t="s">
        <v>11</v>
      </c>
      <c r="C2" s="105" t="s">
        <v>6</v>
      </c>
      <c r="D2" s="105">
        <v>2.0</v>
      </c>
      <c r="E2" s="105">
        <v>0.0</v>
      </c>
      <c r="F2" s="105">
        <v>2.0</v>
      </c>
      <c r="G2" s="106">
        <v>1.0</v>
      </c>
    </row>
    <row r="3" ht="22.5" customHeight="1">
      <c r="A3" s="103" t="s">
        <v>12</v>
      </c>
      <c r="B3" s="104" t="s">
        <v>13</v>
      </c>
      <c r="C3" s="105" t="s">
        <v>6</v>
      </c>
      <c r="D3" s="105">
        <v>7.0</v>
      </c>
      <c r="E3" s="105">
        <v>0.0</v>
      </c>
      <c r="F3" s="105">
        <v>7.0</v>
      </c>
      <c r="G3" s="106">
        <v>1.0</v>
      </c>
    </row>
    <row r="4" ht="22.5" customHeight="1">
      <c r="A4" s="103" t="s">
        <v>14</v>
      </c>
      <c r="B4" s="104" t="s">
        <v>15</v>
      </c>
      <c r="C4" s="105" t="s">
        <v>6</v>
      </c>
      <c r="D4" s="105">
        <v>20.0</v>
      </c>
      <c r="E4" s="105">
        <v>0.0</v>
      </c>
      <c r="F4" s="105">
        <v>20.0</v>
      </c>
      <c r="G4" s="106">
        <v>1.0</v>
      </c>
    </row>
    <row r="5" ht="22.5" customHeight="1">
      <c r="A5" s="103" t="s">
        <v>16</v>
      </c>
      <c r="B5" s="104" t="s">
        <v>17</v>
      </c>
      <c r="C5" s="105" t="s">
        <v>6</v>
      </c>
      <c r="D5" s="105">
        <v>1.0</v>
      </c>
      <c r="E5" s="105">
        <v>0.0</v>
      </c>
      <c r="F5" s="105">
        <v>1.0</v>
      </c>
      <c r="G5" s="106">
        <v>1.0</v>
      </c>
    </row>
    <row r="6" ht="22.5" customHeight="1">
      <c r="A6" s="107" t="s">
        <v>18</v>
      </c>
      <c r="B6" s="108" t="s">
        <v>19</v>
      </c>
      <c r="C6" s="109" t="s">
        <v>6</v>
      </c>
      <c r="D6" s="109">
        <v>2.0</v>
      </c>
      <c r="E6" s="109">
        <v>0.0</v>
      </c>
      <c r="F6" s="109">
        <v>2.0</v>
      </c>
      <c r="G6" s="110">
        <v>1.0</v>
      </c>
    </row>
    <row r="7" ht="22.5" customHeight="1">
      <c r="A7" s="107" t="s">
        <v>20</v>
      </c>
      <c r="B7" s="108" t="s">
        <v>21</v>
      </c>
      <c r="C7" s="109" t="s">
        <v>6</v>
      </c>
      <c r="D7" s="109">
        <v>0.0</v>
      </c>
      <c r="E7" s="109">
        <v>0.0</v>
      </c>
      <c r="F7" s="109">
        <v>0.0</v>
      </c>
      <c r="G7" s="110">
        <v>0.0</v>
      </c>
    </row>
    <row r="8" ht="22.5" customHeight="1">
      <c r="A8" s="107" t="s">
        <v>22</v>
      </c>
      <c r="B8" s="108" t="s">
        <v>23</v>
      </c>
      <c r="C8" s="109" t="s">
        <v>6</v>
      </c>
      <c r="D8" s="109">
        <v>2.0</v>
      </c>
      <c r="E8" s="109">
        <v>0.0</v>
      </c>
      <c r="F8" s="109">
        <v>2.0</v>
      </c>
      <c r="G8" s="110">
        <v>1.0</v>
      </c>
    </row>
    <row r="9" ht="22.5" customHeight="1">
      <c r="A9" s="107" t="s">
        <v>24</v>
      </c>
      <c r="B9" s="108" t="s">
        <v>25</v>
      </c>
      <c r="C9" s="109" t="s">
        <v>6</v>
      </c>
      <c r="D9" s="109">
        <v>6.0</v>
      </c>
      <c r="E9" s="109">
        <v>0.0</v>
      </c>
      <c r="F9" s="109">
        <v>6.0</v>
      </c>
      <c r="G9" s="110">
        <v>1.0</v>
      </c>
    </row>
    <row r="10" ht="22.5" customHeight="1">
      <c r="A10" s="107" t="s">
        <v>26</v>
      </c>
      <c r="B10" s="108" t="s">
        <v>27</v>
      </c>
      <c r="C10" s="109" t="s">
        <v>6</v>
      </c>
      <c r="D10" s="109">
        <v>0.0</v>
      </c>
      <c r="E10" s="109">
        <v>0.0</v>
      </c>
      <c r="F10" s="109">
        <v>0.0</v>
      </c>
      <c r="G10" s="110">
        <v>0.0</v>
      </c>
    </row>
    <row r="11" ht="22.5" customHeight="1">
      <c r="A11" s="107" t="s">
        <v>28</v>
      </c>
      <c r="B11" s="108" t="s">
        <v>29</v>
      </c>
      <c r="C11" s="109" t="s">
        <v>6</v>
      </c>
      <c r="D11" s="109">
        <v>0.0</v>
      </c>
      <c r="E11" s="109">
        <v>0.0</v>
      </c>
      <c r="F11" s="109">
        <v>0.0</v>
      </c>
      <c r="G11" s="110">
        <v>0.0</v>
      </c>
    </row>
    <row r="12" ht="22.5" customHeight="1">
      <c r="A12" s="107" t="s">
        <v>30</v>
      </c>
      <c r="B12" s="108" t="s">
        <v>31</v>
      </c>
      <c r="C12" s="109" t="s">
        <v>6</v>
      </c>
      <c r="D12" s="109">
        <v>0.0</v>
      </c>
      <c r="E12" s="109">
        <v>0.0</v>
      </c>
      <c r="F12" s="109">
        <v>0.0</v>
      </c>
      <c r="G12" s="110">
        <v>0.0</v>
      </c>
    </row>
    <row r="13" ht="22.5" customHeight="1">
      <c r="A13" s="107" t="s">
        <v>32</v>
      </c>
      <c r="B13" s="108" t="s">
        <v>33</v>
      </c>
      <c r="C13" s="109" t="s">
        <v>6</v>
      </c>
      <c r="D13" s="109">
        <v>9.0</v>
      </c>
      <c r="E13" s="109">
        <v>0.0</v>
      </c>
      <c r="F13" s="109">
        <v>9.0</v>
      </c>
      <c r="G13" s="110">
        <v>1.0</v>
      </c>
    </row>
    <row r="14" ht="22.5" customHeight="1">
      <c r="A14" s="107" t="s">
        <v>34</v>
      </c>
      <c r="B14" s="108" t="s">
        <v>35</v>
      </c>
      <c r="C14" s="109" t="s">
        <v>6</v>
      </c>
      <c r="D14" s="109">
        <v>0.0</v>
      </c>
      <c r="E14" s="109">
        <v>0.0</v>
      </c>
      <c r="F14" s="109">
        <v>0.0</v>
      </c>
      <c r="G14" s="110">
        <v>0.0</v>
      </c>
    </row>
    <row r="15" ht="22.5" customHeight="1">
      <c r="A15" s="107" t="s">
        <v>36</v>
      </c>
      <c r="B15" s="108" t="s">
        <v>37</v>
      </c>
      <c r="C15" s="109" t="s">
        <v>6</v>
      </c>
      <c r="D15" s="109">
        <v>76.0</v>
      </c>
      <c r="E15" s="109">
        <v>0.0</v>
      </c>
      <c r="F15" s="109">
        <v>76.0</v>
      </c>
      <c r="G15" s="110">
        <v>1.0</v>
      </c>
    </row>
    <row r="16" ht="22.5" customHeight="1">
      <c r="A16" s="107" t="s">
        <v>38</v>
      </c>
      <c r="B16" s="108" t="s">
        <v>39</v>
      </c>
      <c r="C16" s="109" t="s">
        <v>6</v>
      </c>
      <c r="D16" s="109">
        <v>0.0</v>
      </c>
      <c r="E16" s="109">
        <v>0.0</v>
      </c>
      <c r="F16" s="109">
        <v>0.0</v>
      </c>
      <c r="G16" s="110">
        <v>0.0</v>
      </c>
    </row>
    <row r="17" ht="22.5" customHeight="1">
      <c r="A17" s="107" t="s">
        <v>40</v>
      </c>
      <c r="B17" s="108" t="s">
        <v>41</v>
      </c>
      <c r="C17" s="109" t="s">
        <v>6</v>
      </c>
      <c r="D17" s="109">
        <v>0.0</v>
      </c>
      <c r="E17" s="109">
        <v>0.0</v>
      </c>
      <c r="F17" s="109">
        <v>0.0</v>
      </c>
      <c r="G17" s="110">
        <v>0.0</v>
      </c>
    </row>
    <row r="18" ht="22.5" customHeight="1">
      <c r="A18" s="107" t="s">
        <v>42</v>
      </c>
      <c r="B18" s="108" t="s">
        <v>43</v>
      </c>
      <c r="C18" s="109" t="s">
        <v>6</v>
      </c>
      <c r="D18" s="109">
        <v>13.0</v>
      </c>
      <c r="E18" s="109">
        <v>0.0</v>
      </c>
      <c r="F18" s="109">
        <v>13.0</v>
      </c>
      <c r="G18" s="110">
        <v>1.0</v>
      </c>
    </row>
    <row r="19" ht="22.5" customHeight="1">
      <c r="A19" s="107" t="s">
        <v>44</v>
      </c>
      <c r="B19" s="108" t="s">
        <v>45</v>
      </c>
      <c r="C19" s="109" t="s">
        <v>6</v>
      </c>
      <c r="D19" s="109">
        <v>0.0</v>
      </c>
      <c r="E19" s="109">
        <v>0.0</v>
      </c>
      <c r="F19" s="109">
        <v>0.0</v>
      </c>
      <c r="G19" s="110">
        <v>0.0</v>
      </c>
    </row>
    <row r="20" ht="22.5" customHeight="1">
      <c r="A20" s="107" t="s">
        <v>46</v>
      </c>
      <c r="B20" s="108" t="s">
        <v>47</v>
      </c>
      <c r="C20" s="109" t="s">
        <v>6</v>
      </c>
      <c r="D20" s="109">
        <v>734.0</v>
      </c>
      <c r="E20" s="109">
        <v>0.0</v>
      </c>
      <c r="F20" s="109">
        <v>734.0</v>
      </c>
      <c r="G20" s="110">
        <v>1.0</v>
      </c>
    </row>
    <row r="21" ht="22.5" customHeight="1">
      <c r="A21" s="107" t="s">
        <v>48</v>
      </c>
      <c r="B21" s="108" t="s">
        <v>49</v>
      </c>
      <c r="C21" s="109" t="s">
        <v>6</v>
      </c>
      <c r="D21" s="109">
        <v>28.0</v>
      </c>
      <c r="E21" s="109">
        <v>0.0</v>
      </c>
      <c r="F21" s="109">
        <v>28.0</v>
      </c>
      <c r="G21" s="110">
        <v>1.0</v>
      </c>
    </row>
    <row r="22" ht="22.5" customHeight="1">
      <c r="A22" s="107" t="s">
        <v>50</v>
      </c>
      <c r="B22" s="108" t="s">
        <v>51</v>
      </c>
      <c r="C22" s="109" t="s">
        <v>6</v>
      </c>
      <c r="D22" s="109">
        <v>2.0</v>
      </c>
      <c r="E22" s="109">
        <v>0.0</v>
      </c>
      <c r="F22" s="109">
        <v>2.0</v>
      </c>
      <c r="G22" s="110">
        <v>1.0</v>
      </c>
    </row>
    <row r="23" ht="22.5" customHeight="1">
      <c r="A23" s="107" t="s">
        <v>52</v>
      </c>
      <c r="B23" s="108" t="s">
        <v>53</v>
      </c>
      <c r="C23" s="109" t="s">
        <v>6</v>
      </c>
      <c r="D23" s="109">
        <v>11.0</v>
      </c>
      <c r="E23" s="109">
        <v>0.0</v>
      </c>
      <c r="F23" s="109">
        <v>11.0</v>
      </c>
      <c r="G23" s="110">
        <v>1.0</v>
      </c>
    </row>
    <row r="24" ht="22.5" customHeight="1">
      <c r="A24" s="107" t="s">
        <v>54</v>
      </c>
      <c r="B24" s="108" t="s">
        <v>55</v>
      </c>
      <c r="C24" s="109" t="s">
        <v>6</v>
      </c>
      <c r="D24" s="109">
        <v>0.0</v>
      </c>
      <c r="E24" s="109">
        <v>0.0</v>
      </c>
      <c r="F24" s="109">
        <v>0.0</v>
      </c>
      <c r="G24" s="110">
        <v>0.0</v>
      </c>
    </row>
    <row r="25" ht="22.5" customHeight="1">
      <c r="A25" s="107" t="s">
        <v>56</v>
      </c>
      <c r="B25" s="108" t="s">
        <v>57</v>
      </c>
      <c r="C25" s="109" t="s">
        <v>6</v>
      </c>
      <c r="D25" s="109">
        <v>1.0</v>
      </c>
      <c r="E25" s="109">
        <v>0.0</v>
      </c>
      <c r="F25" s="109">
        <v>1.0</v>
      </c>
      <c r="G25" s="110">
        <v>1.0</v>
      </c>
    </row>
    <row r="26" ht="22.5" customHeight="1">
      <c r="A26" s="107" t="s">
        <v>58</v>
      </c>
      <c r="B26" s="108" t="s">
        <v>59</v>
      </c>
      <c r="C26" s="109" t="s">
        <v>6</v>
      </c>
      <c r="D26" s="109">
        <v>7.0</v>
      </c>
      <c r="E26" s="109">
        <v>0.0</v>
      </c>
      <c r="F26" s="109">
        <v>7.0</v>
      </c>
      <c r="G26" s="110">
        <v>1.0</v>
      </c>
    </row>
    <row r="27" ht="22.5" customHeight="1">
      <c r="A27" s="107" t="s">
        <v>60</v>
      </c>
      <c r="B27" s="108" t="s">
        <v>61</v>
      </c>
      <c r="C27" s="109" t="s">
        <v>6</v>
      </c>
      <c r="D27" s="109">
        <v>2.0</v>
      </c>
      <c r="E27" s="109">
        <v>0.0</v>
      </c>
      <c r="F27" s="109">
        <v>2.0</v>
      </c>
      <c r="G27" s="110">
        <v>1.0</v>
      </c>
    </row>
    <row r="28" ht="22.5" customHeight="1">
      <c r="A28" s="107" t="s">
        <v>62</v>
      </c>
      <c r="B28" s="108" t="s">
        <v>63</v>
      </c>
      <c r="C28" s="109" t="s">
        <v>6</v>
      </c>
      <c r="D28" s="109">
        <v>0.0</v>
      </c>
      <c r="E28" s="109">
        <v>0.0</v>
      </c>
      <c r="F28" s="109">
        <v>0.0</v>
      </c>
      <c r="G28" s="110">
        <v>0.0</v>
      </c>
    </row>
    <row r="29" ht="22.5" customHeight="1">
      <c r="A29" s="107" t="s">
        <v>64</v>
      </c>
      <c r="B29" s="108" t="s">
        <v>65</v>
      </c>
      <c r="C29" s="109" t="s">
        <v>6</v>
      </c>
      <c r="D29" s="109">
        <v>73.0</v>
      </c>
      <c r="E29" s="109">
        <v>0.0</v>
      </c>
      <c r="F29" s="109">
        <v>73.0</v>
      </c>
      <c r="G29" s="110">
        <v>1.0</v>
      </c>
    </row>
    <row r="30" ht="22.5" customHeight="1">
      <c r="A30" s="107" t="s">
        <v>66</v>
      </c>
      <c r="B30" s="108" t="s">
        <v>67</v>
      </c>
      <c r="C30" s="109" t="s">
        <v>6</v>
      </c>
      <c r="D30" s="109">
        <v>0.0</v>
      </c>
      <c r="E30" s="109">
        <v>0.0</v>
      </c>
      <c r="F30" s="109">
        <v>0.0</v>
      </c>
      <c r="G30" s="110">
        <v>0.0</v>
      </c>
    </row>
    <row r="31" ht="22.5" customHeight="1">
      <c r="A31" s="107" t="s">
        <v>68</v>
      </c>
      <c r="B31" s="108" t="s">
        <v>69</v>
      </c>
      <c r="C31" s="109" t="s">
        <v>6</v>
      </c>
      <c r="D31" s="109">
        <v>7.0</v>
      </c>
      <c r="E31" s="109">
        <v>0.0</v>
      </c>
      <c r="F31" s="109">
        <v>7.0</v>
      </c>
      <c r="G31" s="110">
        <v>1.0</v>
      </c>
    </row>
    <row r="32" ht="22.5" customHeight="1">
      <c r="A32" s="107" t="s">
        <v>70</v>
      </c>
      <c r="B32" s="108" t="s">
        <v>71</v>
      </c>
      <c r="C32" s="109" t="s">
        <v>6</v>
      </c>
      <c r="D32" s="109">
        <v>0.0</v>
      </c>
      <c r="E32" s="109">
        <v>0.0</v>
      </c>
      <c r="F32" s="109">
        <v>0.0</v>
      </c>
      <c r="G32" s="110">
        <v>0.0</v>
      </c>
    </row>
    <row r="33" ht="22.5" customHeight="1">
      <c r="A33" s="107" t="s">
        <v>72</v>
      </c>
      <c r="B33" s="108" t="s">
        <v>73</v>
      </c>
      <c r="C33" s="109" t="s">
        <v>6</v>
      </c>
      <c r="D33" s="109">
        <v>3.0</v>
      </c>
      <c r="E33" s="109">
        <v>0.0</v>
      </c>
      <c r="F33" s="109">
        <v>3.0</v>
      </c>
      <c r="G33" s="110">
        <v>1.0</v>
      </c>
    </row>
    <row r="34" ht="22.5" customHeight="1">
      <c r="A34" s="107" t="s">
        <v>74</v>
      </c>
      <c r="B34" s="108" t="s">
        <v>75</v>
      </c>
      <c r="C34" s="109" t="s">
        <v>6</v>
      </c>
      <c r="D34" s="109">
        <v>1.0</v>
      </c>
      <c r="E34" s="109">
        <v>0.0</v>
      </c>
      <c r="F34" s="109">
        <v>1.0</v>
      </c>
      <c r="G34" s="110">
        <v>1.0</v>
      </c>
    </row>
    <row r="35" ht="22.5" customHeight="1">
      <c r="A35" s="107" t="s">
        <v>76</v>
      </c>
      <c r="B35" s="108" t="s">
        <v>77</v>
      </c>
      <c r="C35" s="109" t="s">
        <v>6</v>
      </c>
      <c r="D35" s="109">
        <v>0.0</v>
      </c>
      <c r="E35" s="109">
        <v>0.0</v>
      </c>
      <c r="F35" s="109">
        <v>0.0</v>
      </c>
      <c r="G35" s="110">
        <v>0.0</v>
      </c>
    </row>
    <row r="36" ht="22.5" customHeight="1">
      <c r="A36" s="107" t="s">
        <v>78</v>
      </c>
      <c r="B36" s="108" t="s">
        <v>79</v>
      </c>
      <c r="C36" s="109" t="s">
        <v>6</v>
      </c>
      <c r="D36" s="109">
        <v>5.0</v>
      </c>
      <c r="E36" s="109">
        <v>0.0</v>
      </c>
      <c r="F36" s="109">
        <v>5.0</v>
      </c>
      <c r="G36" s="110">
        <v>1.0</v>
      </c>
    </row>
    <row r="37" ht="22.5" customHeight="1">
      <c r="A37" s="107" t="s">
        <v>80</v>
      </c>
      <c r="B37" s="108" t="s">
        <v>81</v>
      </c>
      <c r="C37" s="109" t="s">
        <v>6</v>
      </c>
      <c r="D37" s="109">
        <v>2.0</v>
      </c>
      <c r="E37" s="109">
        <v>0.0</v>
      </c>
      <c r="F37" s="109">
        <v>2.0</v>
      </c>
      <c r="G37" s="110">
        <v>1.0</v>
      </c>
    </row>
    <row r="38" ht="22.5" customHeight="1">
      <c r="A38" s="107" t="s">
        <v>82</v>
      </c>
      <c r="B38" s="108" t="s">
        <v>83</v>
      </c>
      <c r="C38" s="109" t="s">
        <v>6</v>
      </c>
      <c r="D38" s="109">
        <v>15.0</v>
      </c>
      <c r="E38" s="109">
        <v>0.0</v>
      </c>
      <c r="F38" s="109">
        <v>15.0</v>
      </c>
      <c r="G38" s="110">
        <v>1.0</v>
      </c>
    </row>
    <row r="39" ht="22.5" customHeight="1">
      <c r="A39" s="107" t="s">
        <v>84</v>
      </c>
      <c r="B39" s="108" t="s">
        <v>85</v>
      </c>
      <c r="C39" s="109" t="s">
        <v>6</v>
      </c>
      <c r="D39" s="109">
        <v>8.0</v>
      </c>
      <c r="E39" s="109">
        <v>0.0</v>
      </c>
      <c r="F39" s="109">
        <v>8.0</v>
      </c>
      <c r="G39" s="110">
        <v>1.0</v>
      </c>
    </row>
    <row r="40" ht="22.5" customHeight="1">
      <c r="A40" s="107" t="s">
        <v>86</v>
      </c>
      <c r="B40" s="108" t="s">
        <v>87</v>
      </c>
      <c r="C40" s="109" t="s">
        <v>6</v>
      </c>
      <c r="D40" s="109">
        <v>1.0</v>
      </c>
      <c r="E40" s="109">
        <v>0.0</v>
      </c>
      <c r="F40" s="109">
        <v>1.0</v>
      </c>
      <c r="G40" s="110">
        <v>1.0</v>
      </c>
    </row>
    <row r="41" ht="22.5" customHeight="1">
      <c r="A41" s="107" t="s">
        <v>88</v>
      </c>
      <c r="B41" s="108" t="s">
        <v>89</v>
      </c>
      <c r="C41" s="109" t="s">
        <v>6</v>
      </c>
      <c r="D41" s="109">
        <v>6.0</v>
      </c>
      <c r="E41" s="109">
        <v>0.0</v>
      </c>
      <c r="F41" s="109">
        <v>6.0</v>
      </c>
      <c r="G41" s="110">
        <v>1.0</v>
      </c>
    </row>
    <row r="42" ht="22.5" customHeight="1">
      <c r="A42" s="107" t="s">
        <v>90</v>
      </c>
      <c r="B42" s="108" t="s">
        <v>91</v>
      </c>
      <c r="C42" s="109" t="s">
        <v>6</v>
      </c>
      <c r="D42" s="109">
        <v>2.0</v>
      </c>
      <c r="E42" s="109">
        <v>0.0</v>
      </c>
      <c r="F42" s="109">
        <v>2.0</v>
      </c>
      <c r="G42" s="110">
        <v>1.0</v>
      </c>
    </row>
    <row r="43" ht="22.5" customHeight="1">
      <c r="A43" s="107" t="s">
        <v>92</v>
      </c>
      <c r="B43" s="108" t="s">
        <v>93</v>
      </c>
      <c r="C43" s="109" t="s">
        <v>6</v>
      </c>
      <c r="D43" s="109">
        <v>0.0</v>
      </c>
      <c r="E43" s="109">
        <v>0.0</v>
      </c>
      <c r="F43" s="109">
        <v>0.0</v>
      </c>
      <c r="G43" s="110">
        <v>0.0</v>
      </c>
    </row>
    <row r="44" ht="22.5" customHeight="1">
      <c r="A44" s="107" t="s">
        <v>94</v>
      </c>
      <c r="B44" s="108" t="s">
        <v>95</v>
      </c>
      <c r="C44" s="109" t="s">
        <v>6</v>
      </c>
      <c r="D44" s="109">
        <v>0.0</v>
      </c>
      <c r="E44" s="109">
        <v>0.0</v>
      </c>
      <c r="F44" s="109">
        <v>0.0</v>
      </c>
      <c r="G44" s="110">
        <v>0.0</v>
      </c>
    </row>
    <row r="45" ht="22.5" customHeight="1">
      <c r="A45" s="107" t="s">
        <v>96</v>
      </c>
      <c r="B45" s="108" t="s">
        <v>97</v>
      </c>
      <c r="C45" s="109" t="s">
        <v>6</v>
      </c>
      <c r="D45" s="109">
        <v>0.0</v>
      </c>
      <c r="E45" s="109">
        <v>0.0</v>
      </c>
      <c r="F45" s="109">
        <v>0.0</v>
      </c>
      <c r="G45" s="110">
        <v>0.0</v>
      </c>
    </row>
    <row r="46" ht="22.5" customHeight="1">
      <c r="A46" s="107" t="s">
        <v>98</v>
      </c>
      <c r="B46" s="108" t="s">
        <v>99</v>
      </c>
      <c r="C46" s="109" t="s">
        <v>6</v>
      </c>
      <c r="D46" s="109">
        <v>0.0</v>
      </c>
      <c r="E46" s="109">
        <v>0.0</v>
      </c>
      <c r="F46" s="109">
        <v>0.0</v>
      </c>
      <c r="G46" s="110">
        <v>0.0</v>
      </c>
    </row>
    <row r="47" ht="22.5" customHeight="1">
      <c r="A47" s="107" t="s">
        <v>100</v>
      </c>
      <c r="B47" s="108" t="s">
        <v>101</v>
      </c>
      <c r="C47" s="109" t="s">
        <v>6</v>
      </c>
      <c r="D47" s="109">
        <v>30.0</v>
      </c>
      <c r="E47" s="109">
        <v>0.0</v>
      </c>
      <c r="F47" s="109">
        <v>30.0</v>
      </c>
      <c r="G47" s="110">
        <v>1.0</v>
      </c>
    </row>
    <row r="48" ht="22.5" customHeight="1">
      <c r="A48" s="107" t="s">
        <v>102</v>
      </c>
      <c r="B48" s="108" t="s">
        <v>103</v>
      </c>
      <c r="C48" s="109" t="s">
        <v>6</v>
      </c>
      <c r="D48" s="109">
        <v>0.0</v>
      </c>
      <c r="E48" s="109">
        <v>0.0</v>
      </c>
      <c r="F48" s="109">
        <v>0.0</v>
      </c>
      <c r="G48" s="110">
        <v>0.0</v>
      </c>
    </row>
    <row r="49" ht="22.5" customHeight="1">
      <c r="A49" s="107" t="s">
        <v>104</v>
      </c>
      <c r="B49" s="108" t="s">
        <v>105</v>
      </c>
      <c r="C49" s="109" t="s">
        <v>6</v>
      </c>
      <c r="D49" s="109">
        <v>45.0</v>
      </c>
      <c r="E49" s="109">
        <v>0.0</v>
      </c>
      <c r="F49" s="109">
        <v>45.0</v>
      </c>
      <c r="G49" s="110">
        <v>1.0</v>
      </c>
    </row>
    <row r="50" ht="22.5" customHeight="1">
      <c r="A50" s="107" t="s">
        <v>106</v>
      </c>
      <c r="B50" s="108" t="s">
        <v>107</v>
      </c>
      <c r="C50" s="109" t="s">
        <v>6</v>
      </c>
      <c r="D50" s="109">
        <v>20.0</v>
      </c>
      <c r="E50" s="109">
        <v>0.0</v>
      </c>
      <c r="F50" s="109">
        <v>20.0</v>
      </c>
      <c r="G50" s="110">
        <v>1.0</v>
      </c>
    </row>
    <row r="51" ht="22.5" customHeight="1">
      <c r="A51" s="107" t="s">
        <v>108</v>
      </c>
      <c r="B51" s="108" t="s">
        <v>109</v>
      </c>
      <c r="C51" s="109" t="s">
        <v>6</v>
      </c>
      <c r="D51" s="109">
        <v>0.0</v>
      </c>
      <c r="E51" s="109">
        <v>0.0</v>
      </c>
      <c r="F51" s="109">
        <v>0.0</v>
      </c>
      <c r="G51" s="110">
        <v>0.0</v>
      </c>
    </row>
    <row r="52" ht="22.5" customHeight="1">
      <c r="A52" s="107" t="s">
        <v>110</v>
      </c>
      <c r="B52" s="108" t="s">
        <v>111</v>
      </c>
      <c r="C52" s="109" t="s">
        <v>6</v>
      </c>
      <c r="D52" s="109">
        <v>15.0</v>
      </c>
      <c r="E52" s="109">
        <v>0.0</v>
      </c>
      <c r="F52" s="109">
        <v>15.0</v>
      </c>
      <c r="G52" s="110">
        <v>1.0</v>
      </c>
    </row>
    <row r="53" ht="22.5" customHeight="1">
      <c r="A53" s="107" t="s">
        <v>112</v>
      </c>
      <c r="B53" s="108" t="s">
        <v>113</v>
      </c>
      <c r="C53" s="109" t="s">
        <v>6</v>
      </c>
      <c r="D53" s="109">
        <v>0.0</v>
      </c>
      <c r="E53" s="109">
        <v>0.0</v>
      </c>
      <c r="F53" s="109">
        <v>0.0</v>
      </c>
      <c r="G53" s="110">
        <v>0.0</v>
      </c>
    </row>
    <row r="54" ht="22.5" customHeight="1">
      <c r="A54" s="107" t="s">
        <v>114</v>
      </c>
      <c r="B54" s="108" t="s">
        <v>115</v>
      </c>
      <c r="C54" s="109" t="s">
        <v>6</v>
      </c>
      <c r="D54" s="109">
        <v>3.0</v>
      </c>
      <c r="E54" s="109">
        <v>0.0</v>
      </c>
      <c r="F54" s="109">
        <v>3.0</v>
      </c>
      <c r="G54" s="110">
        <v>1.0</v>
      </c>
    </row>
    <row r="55" ht="22.5" customHeight="1">
      <c r="A55" s="107" t="s">
        <v>116</v>
      </c>
      <c r="B55" s="108" t="s">
        <v>117</v>
      </c>
      <c r="C55" s="109" t="s">
        <v>6</v>
      </c>
      <c r="D55" s="109">
        <v>3.0</v>
      </c>
      <c r="E55" s="109">
        <v>0.0</v>
      </c>
      <c r="F55" s="109">
        <v>3.0</v>
      </c>
      <c r="G55" s="110">
        <v>1.0</v>
      </c>
    </row>
    <row r="56" ht="22.5" customHeight="1">
      <c r="A56" s="107" t="s">
        <v>118</v>
      </c>
      <c r="B56" s="108" t="s">
        <v>119</v>
      </c>
      <c r="C56" s="109" t="s">
        <v>6</v>
      </c>
      <c r="D56" s="109">
        <v>0.0</v>
      </c>
      <c r="E56" s="109">
        <v>0.0</v>
      </c>
      <c r="F56" s="109">
        <v>0.0</v>
      </c>
      <c r="G56" s="110">
        <v>0.0</v>
      </c>
    </row>
    <row r="57" ht="22.5" customHeight="1">
      <c r="A57" s="107" t="s">
        <v>120</v>
      </c>
      <c r="B57" s="108" t="s">
        <v>121</v>
      </c>
      <c r="C57" s="109" t="s">
        <v>6</v>
      </c>
      <c r="D57" s="109">
        <v>0.0</v>
      </c>
      <c r="E57" s="109">
        <v>0.0</v>
      </c>
      <c r="F57" s="109">
        <v>0.0</v>
      </c>
      <c r="G57" s="110">
        <v>0.0</v>
      </c>
    </row>
    <row r="58" ht="22.5" customHeight="1">
      <c r="A58" s="107" t="s">
        <v>122</v>
      </c>
      <c r="B58" s="108" t="s">
        <v>123</v>
      </c>
      <c r="C58" s="109" t="s">
        <v>6</v>
      </c>
      <c r="D58" s="109">
        <v>0.0</v>
      </c>
      <c r="E58" s="109">
        <v>0.0</v>
      </c>
      <c r="F58" s="109">
        <v>0.0</v>
      </c>
      <c r="G58" s="110">
        <v>0.0</v>
      </c>
    </row>
    <row r="59" ht="22.5" customHeight="1">
      <c r="A59" s="107" t="s">
        <v>124</v>
      </c>
      <c r="B59" s="108" t="s">
        <v>125</v>
      </c>
      <c r="C59" s="109" t="s">
        <v>6</v>
      </c>
      <c r="D59" s="109">
        <v>0.0</v>
      </c>
      <c r="E59" s="109">
        <v>0.0</v>
      </c>
      <c r="F59" s="109">
        <v>0.0</v>
      </c>
      <c r="G59" s="110">
        <v>0.0</v>
      </c>
    </row>
    <row r="60" ht="22.5" customHeight="1">
      <c r="A60" s="107" t="s">
        <v>126</v>
      </c>
      <c r="B60" s="108" t="s">
        <v>127</v>
      </c>
      <c r="C60" s="109" t="s">
        <v>6</v>
      </c>
      <c r="D60" s="109">
        <v>5.0</v>
      </c>
      <c r="E60" s="109">
        <v>0.0</v>
      </c>
      <c r="F60" s="109">
        <v>5.0</v>
      </c>
      <c r="G60" s="110">
        <v>1.0</v>
      </c>
    </row>
    <row r="61" ht="22.5" customHeight="1">
      <c r="A61" s="107" t="s">
        <v>128</v>
      </c>
      <c r="B61" s="108" t="s">
        <v>129</v>
      </c>
      <c r="C61" s="109" t="s">
        <v>6</v>
      </c>
      <c r="D61" s="109">
        <v>0.0</v>
      </c>
      <c r="E61" s="109">
        <v>0.0</v>
      </c>
      <c r="F61" s="109">
        <v>0.0</v>
      </c>
      <c r="G61" s="110">
        <v>0.0</v>
      </c>
    </row>
    <row r="62" ht="22.5" customHeight="1">
      <c r="A62" s="107" t="s">
        <v>130</v>
      </c>
      <c r="B62" s="108" t="s">
        <v>131</v>
      </c>
      <c r="C62" s="109" t="s">
        <v>6</v>
      </c>
      <c r="D62" s="109">
        <v>0.0</v>
      </c>
      <c r="E62" s="109">
        <v>0.0</v>
      </c>
      <c r="F62" s="109">
        <v>0.0</v>
      </c>
      <c r="G62" s="110">
        <v>0.0</v>
      </c>
    </row>
    <row r="63" ht="22.5" customHeight="1">
      <c r="A63" s="107" t="s">
        <v>132</v>
      </c>
      <c r="B63" s="108" t="s">
        <v>133</v>
      </c>
      <c r="C63" s="109" t="s">
        <v>6</v>
      </c>
      <c r="D63" s="109">
        <v>0.0</v>
      </c>
      <c r="E63" s="109">
        <v>0.0</v>
      </c>
      <c r="F63" s="109">
        <v>0.0</v>
      </c>
      <c r="G63" s="110">
        <v>0.0</v>
      </c>
    </row>
    <row r="64" ht="22.5" customHeight="1">
      <c r="A64" s="107" t="s">
        <v>134</v>
      </c>
      <c r="B64" s="108" t="s">
        <v>135</v>
      </c>
      <c r="C64" s="109" t="s">
        <v>6</v>
      </c>
      <c r="D64" s="109">
        <v>1.0</v>
      </c>
      <c r="E64" s="109">
        <v>0.0</v>
      </c>
      <c r="F64" s="109">
        <v>1.0</v>
      </c>
      <c r="G64" s="110">
        <v>1.0</v>
      </c>
    </row>
    <row r="65" ht="22.5" customHeight="1">
      <c r="A65" s="107" t="s">
        <v>136</v>
      </c>
      <c r="B65" s="108" t="s">
        <v>137</v>
      </c>
      <c r="C65" s="109" t="s">
        <v>6</v>
      </c>
      <c r="D65" s="109">
        <v>0.0</v>
      </c>
      <c r="E65" s="109">
        <v>0.0</v>
      </c>
      <c r="F65" s="109">
        <v>0.0</v>
      </c>
      <c r="G65" s="110">
        <v>0.0</v>
      </c>
    </row>
    <row r="66" ht="22.5" customHeight="1">
      <c r="A66" s="107" t="s">
        <v>138</v>
      </c>
      <c r="B66" s="108" t="s">
        <v>139</v>
      </c>
      <c r="C66" s="109" t="s">
        <v>6</v>
      </c>
      <c r="D66" s="109">
        <v>0.0</v>
      </c>
      <c r="E66" s="109">
        <v>0.0</v>
      </c>
      <c r="F66" s="109">
        <v>0.0</v>
      </c>
      <c r="G66" s="110">
        <v>0.0</v>
      </c>
    </row>
    <row r="67" ht="22.5" customHeight="1">
      <c r="A67" s="107" t="s">
        <v>140</v>
      </c>
      <c r="B67" s="108" t="s">
        <v>141</v>
      </c>
      <c r="C67" s="109" t="s">
        <v>6</v>
      </c>
      <c r="D67" s="109">
        <v>0.0</v>
      </c>
      <c r="E67" s="109">
        <v>0.0</v>
      </c>
      <c r="F67" s="109">
        <v>0.0</v>
      </c>
      <c r="G67" s="110">
        <v>0.0</v>
      </c>
    </row>
    <row r="68" ht="22.5" customHeight="1">
      <c r="A68" s="107" t="s">
        <v>142</v>
      </c>
      <c r="B68" s="108" t="s">
        <v>143</v>
      </c>
      <c r="C68" s="109" t="s">
        <v>6</v>
      </c>
      <c r="D68" s="109">
        <v>2.0</v>
      </c>
      <c r="E68" s="109">
        <v>0.0</v>
      </c>
      <c r="F68" s="109">
        <v>2.0</v>
      </c>
      <c r="G68" s="110">
        <v>1.0</v>
      </c>
    </row>
    <row r="69" ht="22.5" customHeight="1">
      <c r="A69" s="107" t="s">
        <v>144</v>
      </c>
      <c r="B69" s="108" t="s">
        <v>145</v>
      </c>
      <c r="C69" s="109" t="s">
        <v>6</v>
      </c>
      <c r="D69" s="109">
        <v>20.0</v>
      </c>
      <c r="E69" s="109">
        <v>0.0</v>
      </c>
      <c r="F69" s="109">
        <v>20.0</v>
      </c>
      <c r="G69" s="110">
        <v>1.0</v>
      </c>
    </row>
    <row r="70" ht="22.5" customHeight="1">
      <c r="A70" s="107" t="s">
        <v>146</v>
      </c>
      <c r="B70" s="108" t="s">
        <v>147</v>
      </c>
      <c r="C70" s="109" t="s">
        <v>6</v>
      </c>
      <c r="D70" s="109">
        <v>0.0</v>
      </c>
      <c r="E70" s="109">
        <v>0.0</v>
      </c>
      <c r="F70" s="109">
        <v>0.0</v>
      </c>
      <c r="G70" s="110">
        <v>0.0</v>
      </c>
    </row>
    <row r="71" ht="22.5" customHeight="1">
      <c r="A71" s="107" t="s">
        <v>148</v>
      </c>
      <c r="B71" s="108" t="s">
        <v>149</v>
      </c>
      <c r="C71" s="109" t="s">
        <v>6</v>
      </c>
      <c r="D71" s="109">
        <v>17.0</v>
      </c>
      <c r="E71" s="109">
        <v>0.0</v>
      </c>
      <c r="F71" s="109">
        <v>17.0</v>
      </c>
      <c r="G71" s="110">
        <v>1.0</v>
      </c>
    </row>
    <row r="72" ht="22.5" customHeight="1">
      <c r="A72" s="107" t="s">
        <v>150</v>
      </c>
      <c r="B72" s="108" t="s">
        <v>151</v>
      </c>
      <c r="C72" s="109" t="s">
        <v>6</v>
      </c>
      <c r="D72" s="109">
        <v>1.0</v>
      </c>
      <c r="E72" s="109">
        <v>0.0</v>
      </c>
      <c r="F72" s="109">
        <v>1.0</v>
      </c>
      <c r="G72" s="110">
        <v>1.0</v>
      </c>
    </row>
    <row r="73" ht="22.5" customHeight="1">
      <c r="A73" s="107" t="s">
        <v>152</v>
      </c>
      <c r="B73" s="108" t="s">
        <v>153</v>
      </c>
      <c r="C73" s="109" t="s">
        <v>6</v>
      </c>
      <c r="D73" s="109">
        <v>0.0</v>
      </c>
      <c r="E73" s="109">
        <v>0.0</v>
      </c>
      <c r="F73" s="109">
        <v>0.0</v>
      </c>
      <c r="G73" s="110">
        <v>0.0</v>
      </c>
    </row>
    <row r="74" ht="22.5" customHeight="1">
      <c r="A74" s="107" t="s">
        <v>154</v>
      </c>
      <c r="B74" s="108" t="s">
        <v>155</v>
      </c>
      <c r="C74" s="109" t="s">
        <v>6</v>
      </c>
      <c r="D74" s="109">
        <v>0.0</v>
      </c>
      <c r="E74" s="109">
        <v>0.0</v>
      </c>
      <c r="F74" s="109">
        <v>0.0</v>
      </c>
      <c r="G74" s="110">
        <v>0.0</v>
      </c>
    </row>
    <row r="75" ht="22.5" customHeight="1">
      <c r="A75" s="107" t="s">
        <v>156</v>
      </c>
      <c r="B75" s="108" t="s">
        <v>157</v>
      </c>
      <c r="C75" s="109" t="s">
        <v>6</v>
      </c>
      <c r="D75" s="109">
        <v>0.0</v>
      </c>
      <c r="E75" s="109">
        <v>0.0</v>
      </c>
      <c r="F75" s="109">
        <v>0.0</v>
      </c>
      <c r="G75" s="110">
        <v>0.0</v>
      </c>
    </row>
    <row r="76" ht="22.5" customHeight="1">
      <c r="A76" s="107" t="s">
        <v>158</v>
      </c>
      <c r="B76" s="108" t="s">
        <v>159</v>
      </c>
      <c r="C76" s="109" t="s">
        <v>6</v>
      </c>
      <c r="D76" s="109">
        <v>0.0</v>
      </c>
      <c r="E76" s="109">
        <v>0.0</v>
      </c>
      <c r="F76" s="109">
        <v>0.0</v>
      </c>
      <c r="G76" s="110">
        <v>0.0</v>
      </c>
    </row>
    <row r="77" ht="22.5" customHeight="1">
      <c r="A77" s="107" t="s">
        <v>160</v>
      </c>
      <c r="B77" s="108" t="s">
        <v>161</v>
      </c>
      <c r="C77" s="109" t="s">
        <v>6</v>
      </c>
      <c r="D77" s="109">
        <v>0.0</v>
      </c>
      <c r="E77" s="109">
        <v>0.0</v>
      </c>
      <c r="F77" s="109">
        <v>0.0</v>
      </c>
      <c r="G77" s="110">
        <v>0.0</v>
      </c>
    </row>
    <row r="78" ht="22.5" customHeight="1">
      <c r="A78" s="107" t="s">
        <v>162</v>
      </c>
      <c r="B78" s="108" t="s">
        <v>163</v>
      </c>
      <c r="C78" s="109" t="s">
        <v>6</v>
      </c>
      <c r="D78" s="109">
        <v>3.0</v>
      </c>
      <c r="E78" s="109">
        <v>0.0</v>
      </c>
      <c r="F78" s="109">
        <v>3.0</v>
      </c>
      <c r="G78" s="110">
        <v>1.0</v>
      </c>
    </row>
    <row r="79" ht="22.5" customHeight="1">
      <c r="A79" s="107" t="s">
        <v>165</v>
      </c>
      <c r="B79" s="108" t="s">
        <v>166</v>
      </c>
      <c r="C79" s="109" t="s">
        <v>6</v>
      </c>
      <c r="D79" s="109">
        <v>0.0</v>
      </c>
      <c r="E79" s="109">
        <v>0.0</v>
      </c>
      <c r="F79" s="109">
        <v>0.0</v>
      </c>
      <c r="G79" s="110">
        <v>0.0</v>
      </c>
    </row>
    <row r="80" ht="22.5" customHeight="1">
      <c r="A80" s="107" t="s">
        <v>167</v>
      </c>
      <c r="B80" s="108" t="s">
        <v>168</v>
      </c>
      <c r="C80" s="109" t="s">
        <v>6</v>
      </c>
      <c r="D80" s="109">
        <v>0.0</v>
      </c>
      <c r="E80" s="109">
        <v>0.0</v>
      </c>
      <c r="F80" s="109">
        <v>0.0</v>
      </c>
      <c r="G80" s="110">
        <v>0.0</v>
      </c>
    </row>
    <row r="81" ht="22.5" customHeight="1">
      <c r="A81" s="107" t="s">
        <v>169</v>
      </c>
      <c r="B81" s="108" t="s">
        <v>170</v>
      </c>
      <c r="C81" s="109" t="s">
        <v>6</v>
      </c>
      <c r="D81" s="109">
        <v>1.0</v>
      </c>
      <c r="E81" s="109">
        <v>0.0</v>
      </c>
      <c r="F81" s="109">
        <v>1.0</v>
      </c>
      <c r="G81" s="110">
        <v>1.0</v>
      </c>
    </row>
    <row r="82" ht="22.5" customHeight="1">
      <c r="A82" s="107" t="s">
        <v>171</v>
      </c>
      <c r="B82" s="108" t="s">
        <v>172</v>
      </c>
      <c r="C82" s="109" t="s">
        <v>6</v>
      </c>
      <c r="D82" s="109">
        <v>0.0</v>
      </c>
      <c r="E82" s="109">
        <v>0.0</v>
      </c>
      <c r="F82" s="109">
        <v>0.0</v>
      </c>
      <c r="G82" s="110">
        <v>0.0</v>
      </c>
    </row>
    <row r="83" ht="22.5" customHeight="1">
      <c r="A83" s="107" t="s">
        <v>173</v>
      </c>
      <c r="B83" s="108" t="s">
        <v>174</v>
      </c>
      <c r="C83" s="109" t="s">
        <v>6</v>
      </c>
      <c r="D83" s="109">
        <v>27.0</v>
      </c>
      <c r="E83" s="109">
        <v>0.0</v>
      </c>
      <c r="F83" s="109">
        <v>27.0</v>
      </c>
      <c r="G83" s="110">
        <v>1.0</v>
      </c>
    </row>
    <row r="84" ht="22.5" customHeight="1">
      <c r="A84" s="107" t="s">
        <v>175</v>
      </c>
      <c r="B84" s="108" t="s">
        <v>176</v>
      </c>
      <c r="C84" s="109" t="s">
        <v>6</v>
      </c>
      <c r="D84" s="109">
        <v>0.0</v>
      </c>
      <c r="E84" s="109">
        <v>0.0</v>
      </c>
      <c r="F84" s="109">
        <v>0.0</v>
      </c>
      <c r="G84" s="110">
        <v>0.0</v>
      </c>
    </row>
    <row r="85" ht="22.5" customHeight="1">
      <c r="A85" s="107" t="s">
        <v>177</v>
      </c>
      <c r="B85" s="108" t="s">
        <v>178</v>
      </c>
      <c r="C85" s="109" t="s">
        <v>6</v>
      </c>
      <c r="D85" s="109">
        <v>0.0</v>
      </c>
      <c r="E85" s="109">
        <v>0.0</v>
      </c>
      <c r="F85" s="109">
        <v>0.0</v>
      </c>
      <c r="G85" s="110">
        <v>0.0</v>
      </c>
    </row>
    <row r="86" ht="22.5" customHeight="1">
      <c r="A86" s="107" t="s">
        <v>179</v>
      </c>
      <c r="B86" s="108" t="s">
        <v>180</v>
      </c>
      <c r="C86" s="109" t="s">
        <v>6</v>
      </c>
      <c r="D86" s="109">
        <v>0.0</v>
      </c>
      <c r="E86" s="109">
        <v>0.0</v>
      </c>
      <c r="F86" s="109">
        <v>0.0</v>
      </c>
      <c r="G86" s="110">
        <v>0.0</v>
      </c>
    </row>
    <row r="87" ht="22.5" customHeight="1">
      <c r="A87" s="107" t="s">
        <v>181</v>
      </c>
      <c r="B87" s="108" t="s">
        <v>182</v>
      </c>
      <c r="C87" s="109" t="s">
        <v>6</v>
      </c>
      <c r="D87" s="109">
        <v>0.0</v>
      </c>
      <c r="E87" s="109">
        <v>0.0</v>
      </c>
      <c r="F87" s="109">
        <v>0.0</v>
      </c>
      <c r="G87" s="110">
        <v>0.0</v>
      </c>
    </row>
    <row r="88" ht="22.5" customHeight="1">
      <c r="A88" s="107" t="s">
        <v>183</v>
      </c>
      <c r="B88" s="108" t="s">
        <v>184</v>
      </c>
      <c r="C88" s="109" t="s">
        <v>6</v>
      </c>
      <c r="D88" s="109">
        <v>0.0</v>
      </c>
      <c r="E88" s="109">
        <v>0.0</v>
      </c>
      <c r="F88" s="109">
        <v>0.0</v>
      </c>
      <c r="G88" s="110">
        <v>0.0</v>
      </c>
    </row>
    <row r="89" ht="22.5" customHeight="1">
      <c r="A89" s="107" t="s">
        <v>185</v>
      </c>
      <c r="B89" s="108" t="s">
        <v>186</v>
      </c>
      <c r="C89" s="109" t="s">
        <v>6</v>
      </c>
      <c r="D89" s="109">
        <v>0.0</v>
      </c>
      <c r="E89" s="109">
        <v>0.0</v>
      </c>
      <c r="F89" s="109">
        <v>0.0</v>
      </c>
      <c r="G89" s="110">
        <v>0.0</v>
      </c>
    </row>
    <row r="90" ht="22.5" customHeight="1">
      <c r="A90" s="107" t="s">
        <v>187</v>
      </c>
      <c r="B90" s="108" t="s">
        <v>188</v>
      </c>
      <c r="C90" s="109" t="s">
        <v>6</v>
      </c>
      <c r="D90" s="109">
        <v>0.0</v>
      </c>
      <c r="E90" s="109">
        <v>0.0</v>
      </c>
      <c r="F90" s="109">
        <v>0.0</v>
      </c>
      <c r="G90" s="110">
        <v>0.0</v>
      </c>
    </row>
    <row r="91" ht="22.5" customHeight="1">
      <c r="A91" s="107" t="s">
        <v>189</v>
      </c>
      <c r="B91" s="108" t="s">
        <v>190</v>
      </c>
      <c r="C91" s="109" t="s">
        <v>6</v>
      </c>
      <c r="D91" s="109">
        <v>0.0</v>
      </c>
      <c r="E91" s="109">
        <v>0.0</v>
      </c>
      <c r="F91" s="109">
        <v>0.0</v>
      </c>
      <c r="G91" s="110">
        <v>0.0</v>
      </c>
    </row>
    <row r="92" ht="22.5" customHeight="1">
      <c r="A92" s="107" t="s">
        <v>191</v>
      </c>
      <c r="B92" s="108" t="s">
        <v>192</v>
      </c>
      <c r="C92" s="109" t="s">
        <v>6</v>
      </c>
      <c r="D92" s="109">
        <v>0.0</v>
      </c>
      <c r="E92" s="109">
        <v>0.0</v>
      </c>
      <c r="F92" s="109">
        <v>0.0</v>
      </c>
      <c r="G92" s="110">
        <v>0.0</v>
      </c>
    </row>
    <row r="93" ht="22.5" customHeight="1">
      <c r="A93" s="107" t="s">
        <v>193</v>
      </c>
      <c r="B93" s="108" t="s">
        <v>194</v>
      </c>
      <c r="C93" s="109" t="s">
        <v>6</v>
      </c>
      <c r="D93" s="109">
        <v>0.0</v>
      </c>
      <c r="E93" s="109">
        <v>0.0</v>
      </c>
      <c r="F93" s="109">
        <v>0.0</v>
      </c>
      <c r="G93" s="110">
        <v>0.0</v>
      </c>
    </row>
    <row r="94" ht="22.5" customHeight="1">
      <c r="A94" s="107" t="s">
        <v>195</v>
      </c>
      <c r="B94" s="108" t="s">
        <v>196</v>
      </c>
      <c r="C94" s="109" t="s">
        <v>6</v>
      </c>
      <c r="D94" s="109">
        <v>0.0</v>
      </c>
      <c r="E94" s="109">
        <v>0.0</v>
      </c>
      <c r="F94" s="109">
        <v>0.0</v>
      </c>
      <c r="G94" s="110">
        <v>0.0</v>
      </c>
    </row>
    <row r="95" ht="22.5" customHeight="1">
      <c r="A95" s="107" t="s">
        <v>197</v>
      </c>
      <c r="B95" s="108" t="s">
        <v>198</v>
      </c>
      <c r="C95" s="109" t="s">
        <v>6</v>
      </c>
      <c r="D95" s="109">
        <v>0.0</v>
      </c>
      <c r="E95" s="109">
        <v>0.0</v>
      </c>
      <c r="F95" s="109">
        <v>0.0</v>
      </c>
      <c r="G95" s="110">
        <v>0.0</v>
      </c>
    </row>
    <row r="96" ht="22.5" customHeight="1">
      <c r="A96" s="107" t="s">
        <v>199</v>
      </c>
      <c r="B96" s="108" t="s">
        <v>200</v>
      </c>
      <c r="C96" s="109" t="s">
        <v>6</v>
      </c>
      <c r="D96" s="109">
        <v>0.0</v>
      </c>
      <c r="E96" s="109">
        <v>0.0</v>
      </c>
      <c r="F96" s="109">
        <v>0.0</v>
      </c>
      <c r="G96" s="110">
        <v>0.0</v>
      </c>
    </row>
    <row r="97" ht="22.5" customHeight="1">
      <c r="A97" s="107" t="s">
        <v>201</v>
      </c>
      <c r="B97" s="108" t="s">
        <v>202</v>
      </c>
      <c r="C97" s="109" t="s">
        <v>6</v>
      </c>
      <c r="D97" s="109">
        <v>0.0</v>
      </c>
      <c r="E97" s="109">
        <v>0.0</v>
      </c>
      <c r="F97" s="109">
        <v>0.0</v>
      </c>
      <c r="G97" s="110">
        <v>0.0</v>
      </c>
    </row>
    <row r="98" ht="22.5" customHeight="1">
      <c r="A98" s="107" t="s">
        <v>203</v>
      </c>
      <c r="B98" s="108" t="s">
        <v>204</v>
      </c>
      <c r="C98" s="109" t="s">
        <v>6</v>
      </c>
      <c r="D98" s="109">
        <v>0.0</v>
      </c>
      <c r="E98" s="109">
        <v>0.0</v>
      </c>
      <c r="F98" s="109">
        <v>0.0</v>
      </c>
      <c r="G98" s="110">
        <v>0.0</v>
      </c>
    </row>
    <row r="99" ht="22.5" customHeight="1">
      <c r="A99" s="107" t="s">
        <v>205</v>
      </c>
      <c r="B99" s="108" t="s">
        <v>206</v>
      </c>
      <c r="C99" s="109" t="s">
        <v>6</v>
      </c>
      <c r="D99" s="109">
        <v>0.0</v>
      </c>
      <c r="E99" s="109">
        <v>0.0</v>
      </c>
      <c r="F99" s="109">
        <v>0.0</v>
      </c>
      <c r="G99" s="110">
        <v>0.0</v>
      </c>
    </row>
    <row r="100" ht="22.5" customHeight="1">
      <c r="A100" s="107" t="s">
        <v>207</v>
      </c>
      <c r="B100" s="108" t="s">
        <v>208</v>
      </c>
      <c r="C100" s="109" t="s">
        <v>6</v>
      </c>
      <c r="D100" s="109">
        <v>8.0</v>
      </c>
      <c r="E100" s="109">
        <v>0.0</v>
      </c>
      <c r="F100" s="109">
        <v>8.0</v>
      </c>
      <c r="G100" s="110">
        <v>1.0</v>
      </c>
    </row>
    <row r="101" ht="22.5" customHeight="1">
      <c r="A101" s="107" t="s">
        <v>209</v>
      </c>
      <c r="B101" s="108" t="s">
        <v>210</v>
      </c>
      <c r="C101" s="109" t="s">
        <v>6</v>
      </c>
      <c r="D101" s="109">
        <v>0.0</v>
      </c>
      <c r="E101" s="109">
        <v>0.0</v>
      </c>
      <c r="F101" s="109">
        <v>0.0</v>
      </c>
      <c r="G101" s="110">
        <v>0.0</v>
      </c>
    </row>
    <row r="102" ht="22.5" customHeight="1">
      <c r="A102" s="107" t="s">
        <v>211</v>
      </c>
      <c r="B102" s="108" t="s">
        <v>212</v>
      </c>
      <c r="C102" s="109" t="s">
        <v>6</v>
      </c>
      <c r="D102" s="109">
        <v>0.0</v>
      </c>
      <c r="E102" s="109">
        <v>0.0</v>
      </c>
      <c r="F102" s="109">
        <v>0.0</v>
      </c>
      <c r="G102" s="110">
        <v>0.0</v>
      </c>
    </row>
    <row r="103" ht="22.5" customHeight="1">
      <c r="A103" s="107" t="s">
        <v>213</v>
      </c>
      <c r="B103" s="108" t="s">
        <v>214</v>
      </c>
      <c r="C103" s="109" t="s">
        <v>6</v>
      </c>
      <c r="D103" s="109">
        <v>0.0</v>
      </c>
      <c r="E103" s="109">
        <v>0.0</v>
      </c>
      <c r="F103" s="109">
        <v>0.0</v>
      </c>
      <c r="G103" s="110">
        <v>0.0</v>
      </c>
    </row>
    <row r="104" ht="22.5" customHeight="1">
      <c r="A104" s="107" t="s">
        <v>215</v>
      </c>
      <c r="B104" s="108" t="s">
        <v>216</v>
      </c>
      <c r="C104" s="109" t="s">
        <v>6</v>
      </c>
      <c r="D104" s="109">
        <v>0.0</v>
      </c>
      <c r="E104" s="109">
        <v>0.0</v>
      </c>
      <c r="F104" s="109">
        <v>0.0</v>
      </c>
      <c r="G104" s="110">
        <v>0.0</v>
      </c>
    </row>
    <row r="105" ht="22.5" customHeight="1">
      <c r="A105" s="107" t="s">
        <v>217</v>
      </c>
      <c r="B105" s="108" t="s">
        <v>218</v>
      </c>
      <c r="C105" s="109" t="s">
        <v>6</v>
      </c>
      <c r="D105" s="109">
        <v>0.0</v>
      </c>
      <c r="E105" s="109">
        <v>0.0</v>
      </c>
      <c r="F105" s="109">
        <v>0.0</v>
      </c>
      <c r="G105" s="110">
        <v>0.0</v>
      </c>
    </row>
    <row r="106" ht="22.5" customHeight="1">
      <c r="A106" s="107" t="s">
        <v>219</v>
      </c>
      <c r="B106" s="108" t="s">
        <v>220</v>
      </c>
      <c r="C106" s="109" t="s">
        <v>6</v>
      </c>
      <c r="D106" s="109">
        <v>0.0</v>
      </c>
      <c r="E106" s="109">
        <v>0.0</v>
      </c>
      <c r="F106" s="109">
        <v>0.0</v>
      </c>
      <c r="G106" s="110">
        <v>0.0</v>
      </c>
    </row>
    <row r="107" ht="22.5" customHeight="1">
      <c r="A107" s="107" t="s">
        <v>221</v>
      </c>
      <c r="B107" s="108" t="s">
        <v>222</v>
      </c>
      <c r="C107" s="109" t="s">
        <v>6</v>
      </c>
      <c r="D107" s="109">
        <v>0.0</v>
      </c>
      <c r="E107" s="109">
        <v>0.0</v>
      </c>
      <c r="F107" s="109">
        <v>0.0</v>
      </c>
      <c r="G107" s="110">
        <v>0.0</v>
      </c>
    </row>
    <row r="108" ht="22.5" customHeight="1">
      <c r="A108" s="107" t="s">
        <v>223</v>
      </c>
      <c r="B108" s="108" t="s">
        <v>224</v>
      </c>
      <c r="C108" s="109" t="s">
        <v>6</v>
      </c>
      <c r="D108" s="109">
        <v>0.0</v>
      </c>
      <c r="E108" s="109">
        <v>0.0</v>
      </c>
      <c r="F108" s="109">
        <v>0.0</v>
      </c>
      <c r="G108" s="110">
        <v>0.0</v>
      </c>
    </row>
    <row r="109" ht="22.5" customHeight="1">
      <c r="A109" s="107" t="s">
        <v>225</v>
      </c>
      <c r="B109" s="108" t="s">
        <v>226</v>
      </c>
      <c r="C109" s="109" t="s">
        <v>6</v>
      </c>
      <c r="D109" s="109">
        <v>0.0</v>
      </c>
      <c r="E109" s="109">
        <v>0.0</v>
      </c>
      <c r="F109" s="109">
        <v>0.0</v>
      </c>
      <c r="G109" s="110">
        <v>0.0</v>
      </c>
    </row>
    <row r="110" ht="22.5" customHeight="1">
      <c r="A110" s="107" t="s">
        <v>227</v>
      </c>
      <c r="B110" s="108" t="s">
        <v>228</v>
      </c>
      <c r="C110" s="109" t="s">
        <v>6</v>
      </c>
      <c r="D110" s="109">
        <v>0.0</v>
      </c>
      <c r="E110" s="109">
        <v>0.0</v>
      </c>
      <c r="F110" s="109">
        <v>0.0</v>
      </c>
      <c r="G110" s="110">
        <v>0.0</v>
      </c>
    </row>
    <row r="111" ht="22.5" customHeight="1">
      <c r="A111" s="107" t="s">
        <v>229</v>
      </c>
      <c r="B111" s="108" t="s">
        <v>230</v>
      </c>
      <c r="C111" s="109" t="s">
        <v>6</v>
      </c>
      <c r="D111" s="109">
        <v>0.0</v>
      </c>
      <c r="E111" s="109">
        <v>0.0</v>
      </c>
      <c r="F111" s="109">
        <v>0.0</v>
      </c>
      <c r="G111" s="110">
        <v>0.0</v>
      </c>
    </row>
    <row r="112" ht="22.5" customHeight="1">
      <c r="A112" s="107" t="s">
        <v>231</v>
      </c>
      <c r="B112" s="108" t="s">
        <v>232</v>
      </c>
      <c r="C112" s="109" t="s">
        <v>6</v>
      </c>
      <c r="D112" s="109">
        <v>0.0</v>
      </c>
      <c r="E112" s="109">
        <v>0.0</v>
      </c>
      <c r="F112" s="109">
        <v>0.0</v>
      </c>
      <c r="G112" s="110">
        <v>0.0</v>
      </c>
    </row>
    <row r="113" ht="22.5" customHeight="1">
      <c r="A113" s="107" t="s">
        <v>233</v>
      </c>
      <c r="B113" s="108" t="s">
        <v>234</v>
      </c>
      <c r="C113" s="109" t="s">
        <v>6</v>
      </c>
      <c r="D113" s="109">
        <v>0.0</v>
      </c>
      <c r="E113" s="109">
        <v>0.0</v>
      </c>
      <c r="F113" s="109">
        <v>0.0</v>
      </c>
      <c r="G113" s="110">
        <v>0.0</v>
      </c>
    </row>
    <row r="114" ht="22.5" customHeight="1">
      <c r="A114" s="107" t="s">
        <v>235</v>
      </c>
      <c r="B114" s="108" t="s">
        <v>236</v>
      </c>
      <c r="C114" s="109" t="s">
        <v>6</v>
      </c>
      <c r="D114" s="109">
        <v>0.0</v>
      </c>
      <c r="E114" s="109">
        <v>0.0</v>
      </c>
      <c r="F114" s="109">
        <v>0.0</v>
      </c>
      <c r="G114" s="110">
        <v>0.0</v>
      </c>
    </row>
    <row r="115" ht="22.5" customHeight="1">
      <c r="A115" s="107" t="s">
        <v>237</v>
      </c>
      <c r="B115" s="108" t="s">
        <v>238</v>
      </c>
      <c r="C115" s="109" t="s">
        <v>6</v>
      </c>
      <c r="D115" s="109">
        <v>0.0</v>
      </c>
      <c r="E115" s="109">
        <v>0.0</v>
      </c>
      <c r="F115" s="109">
        <v>0.0</v>
      </c>
      <c r="G115" s="110">
        <v>0.0</v>
      </c>
    </row>
    <row r="116" ht="22.5" customHeight="1">
      <c r="A116" s="107" t="s">
        <v>239</v>
      </c>
      <c r="B116" s="108" t="s">
        <v>240</v>
      </c>
      <c r="C116" s="109" t="s">
        <v>6</v>
      </c>
      <c r="D116" s="109">
        <v>0.0</v>
      </c>
      <c r="E116" s="109">
        <v>0.0</v>
      </c>
      <c r="F116" s="109">
        <v>0.0</v>
      </c>
      <c r="G116" s="110">
        <v>0.0</v>
      </c>
    </row>
    <row r="117" ht="22.5" customHeight="1">
      <c r="A117" s="107" t="s">
        <v>241</v>
      </c>
      <c r="B117" s="108" t="s">
        <v>242</v>
      </c>
      <c r="C117" s="109" t="s">
        <v>6</v>
      </c>
      <c r="D117" s="109">
        <v>0.0</v>
      </c>
      <c r="E117" s="109">
        <v>0.0</v>
      </c>
      <c r="F117" s="109">
        <v>0.0</v>
      </c>
      <c r="G117" s="110">
        <v>0.0</v>
      </c>
    </row>
    <row r="118" ht="22.5" customHeight="1">
      <c r="A118" s="107" t="s">
        <v>243</v>
      </c>
      <c r="B118" s="108" t="s">
        <v>244</v>
      </c>
      <c r="C118" s="109" t="s">
        <v>6</v>
      </c>
      <c r="D118" s="109">
        <v>0.0</v>
      </c>
      <c r="E118" s="109">
        <v>0.0</v>
      </c>
      <c r="F118" s="109">
        <v>0.0</v>
      </c>
      <c r="G118" s="110">
        <v>0.0</v>
      </c>
    </row>
    <row r="119" ht="22.5" customHeight="1">
      <c r="A119" s="107" t="s">
        <v>245</v>
      </c>
      <c r="B119" s="108" t="s">
        <v>246</v>
      </c>
      <c r="C119" s="109" t="s">
        <v>6</v>
      </c>
      <c r="D119" s="109">
        <v>0.0</v>
      </c>
      <c r="E119" s="109">
        <v>0.0</v>
      </c>
      <c r="F119" s="109">
        <v>0.0</v>
      </c>
      <c r="G119" s="110">
        <v>0.0</v>
      </c>
    </row>
    <row r="120" ht="22.5" customHeight="1">
      <c r="A120" s="107" t="s">
        <v>247</v>
      </c>
      <c r="B120" s="108" t="s">
        <v>248</v>
      </c>
      <c r="C120" s="109" t="s">
        <v>6</v>
      </c>
      <c r="D120" s="109">
        <v>0.0</v>
      </c>
      <c r="E120" s="109">
        <v>0.0</v>
      </c>
      <c r="F120" s="109">
        <v>0.0</v>
      </c>
      <c r="G120" s="110">
        <v>0.0</v>
      </c>
    </row>
    <row r="121" ht="22.5" customHeight="1">
      <c r="A121" s="107" t="s">
        <v>249</v>
      </c>
      <c r="B121" s="108" t="s">
        <v>250</v>
      </c>
      <c r="C121" s="109" t="s">
        <v>6</v>
      </c>
      <c r="D121" s="109">
        <v>0.0</v>
      </c>
      <c r="E121" s="109">
        <v>0.0</v>
      </c>
      <c r="F121" s="109">
        <v>0.0</v>
      </c>
      <c r="G121" s="110">
        <v>0.0</v>
      </c>
    </row>
    <row r="122" ht="22.5" customHeight="1">
      <c r="A122" s="107" t="s">
        <v>251</v>
      </c>
      <c r="B122" s="108" t="s">
        <v>252</v>
      </c>
      <c r="C122" s="109" t="s">
        <v>6</v>
      </c>
      <c r="D122" s="109">
        <v>0.0</v>
      </c>
      <c r="E122" s="109">
        <v>0.0</v>
      </c>
      <c r="F122" s="109">
        <v>0.0</v>
      </c>
      <c r="G122" s="110">
        <v>0.0</v>
      </c>
    </row>
    <row r="123" ht="22.5" customHeight="1">
      <c r="A123" s="107" t="s">
        <v>253</v>
      </c>
      <c r="B123" s="108" t="s">
        <v>254</v>
      </c>
      <c r="C123" s="109" t="s">
        <v>6</v>
      </c>
      <c r="D123" s="109">
        <v>0.0</v>
      </c>
      <c r="E123" s="109">
        <v>0.0</v>
      </c>
      <c r="F123" s="109">
        <v>0.0</v>
      </c>
      <c r="G123" s="110">
        <v>0.0</v>
      </c>
    </row>
    <row r="124" ht="22.5" customHeight="1">
      <c r="A124" s="107" t="s">
        <v>255</v>
      </c>
      <c r="B124" s="108" t="s">
        <v>256</v>
      </c>
      <c r="C124" s="109" t="s">
        <v>6</v>
      </c>
      <c r="D124" s="109">
        <v>0.0</v>
      </c>
      <c r="E124" s="109">
        <v>0.0</v>
      </c>
      <c r="F124" s="109">
        <v>0.0</v>
      </c>
      <c r="G124" s="110">
        <v>0.0</v>
      </c>
    </row>
    <row r="125" ht="22.5" customHeight="1">
      <c r="A125" s="107" t="s">
        <v>257</v>
      </c>
      <c r="B125" s="108" t="s">
        <v>258</v>
      </c>
      <c r="C125" s="109" t="s">
        <v>6</v>
      </c>
      <c r="D125" s="109">
        <v>0.0</v>
      </c>
      <c r="E125" s="109">
        <v>0.0</v>
      </c>
      <c r="F125" s="109">
        <v>0.0</v>
      </c>
      <c r="G125" s="110">
        <v>0.0</v>
      </c>
    </row>
    <row r="126" ht="22.5" customHeight="1">
      <c r="A126" s="107" t="s">
        <v>259</v>
      </c>
      <c r="B126" s="108" t="s">
        <v>260</v>
      </c>
      <c r="C126" s="109" t="s">
        <v>6</v>
      </c>
      <c r="D126" s="109">
        <v>0.0</v>
      </c>
      <c r="E126" s="109">
        <v>0.0</v>
      </c>
      <c r="F126" s="109">
        <v>0.0</v>
      </c>
      <c r="G126" s="110">
        <v>0.0</v>
      </c>
    </row>
    <row r="127" ht="22.5" customHeight="1">
      <c r="A127" s="107" t="s">
        <v>261</v>
      </c>
      <c r="B127" s="108" t="s">
        <v>262</v>
      </c>
      <c r="C127" s="109" t="s">
        <v>6</v>
      </c>
      <c r="D127" s="109">
        <v>0.0</v>
      </c>
      <c r="E127" s="109">
        <v>0.0</v>
      </c>
      <c r="F127" s="109">
        <v>0.0</v>
      </c>
      <c r="G127" s="110">
        <v>0.0</v>
      </c>
    </row>
    <row r="128" ht="22.5" customHeight="1">
      <c r="A128" s="107" t="s">
        <v>263</v>
      </c>
      <c r="B128" s="108" t="s">
        <v>264</v>
      </c>
      <c r="C128" s="109" t="s">
        <v>6</v>
      </c>
      <c r="D128" s="109">
        <v>0.0</v>
      </c>
      <c r="E128" s="109">
        <v>0.0</v>
      </c>
      <c r="F128" s="109">
        <v>0.0</v>
      </c>
      <c r="G128" s="110">
        <v>0.0</v>
      </c>
    </row>
    <row r="129" ht="22.5" customHeight="1">
      <c r="A129" s="107" t="s">
        <v>265</v>
      </c>
      <c r="B129" s="108" t="s">
        <v>266</v>
      </c>
      <c r="C129" s="109" t="s">
        <v>6</v>
      </c>
      <c r="D129" s="109">
        <v>0.0</v>
      </c>
      <c r="E129" s="109">
        <v>0.0</v>
      </c>
      <c r="F129" s="109">
        <v>0.0</v>
      </c>
      <c r="G129" s="110">
        <v>0.0</v>
      </c>
    </row>
    <row r="130" ht="22.5" customHeight="1">
      <c r="A130" s="107" t="s">
        <v>267</v>
      </c>
      <c r="B130" s="108" t="s">
        <v>268</v>
      </c>
      <c r="C130" s="109" t="s">
        <v>6</v>
      </c>
      <c r="D130" s="109">
        <v>0.0</v>
      </c>
      <c r="E130" s="109">
        <v>0.0</v>
      </c>
      <c r="F130" s="109">
        <v>0.0</v>
      </c>
      <c r="G130" s="110">
        <v>0.0</v>
      </c>
    </row>
    <row r="131" ht="22.5" customHeight="1">
      <c r="A131" s="107" t="s">
        <v>269</v>
      </c>
      <c r="B131" s="108" t="s">
        <v>270</v>
      </c>
      <c r="C131" s="109" t="s">
        <v>6</v>
      </c>
      <c r="D131" s="109">
        <v>0.0</v>
      </c>
      <c r="E131" s="109">
        <v>0.0</v>
      </c>
      <c r="F131" s="109">
        <v>0.0</v>
      </c>
      <c r="G131" s="110">
        <v>0.0</v>
      </c>
    </row>
    <row r="132" ht="22.5" customHeight="1">
      <c r="A132" s="107" t="s">
        <v>271</v>
      </c>
      <c r="B132" s="108" t="s">
        <v>272</v>
      </c>
      <c r="C132" s="109" t="s">
        <v>6</v>
      </c>
      <c r="D132" s="109">
        <v>0.0</v>
      </c>
      <c r="E132" s="109">
        <v>0.0</v>
      </c>
      <c r="F132" s="109">
        <v>0.0</v>
      </c>
      <c r="G132" s="110">
        <v>0.0</v>
      </c>
    </row>
    <row r="133" ht="22.5" customHeight="1">
      <c r="A133" s="107" t="s">
        <v>273</v>
      </c>
      <c r="B133" s="108" t="s">
        <v>274</v>
      </c>
      <c r="C133" s="109" t="s">
        <v>6</v>
      </c>
      <c r="D133" s="109">
        <v>0.0</v>
      </c>
      <c r="E133" s="109">
        <v>0.0</v>
      </c>
      <c r="F133" s="109">
        <v>0.0</v>
      </c>
      <c r="G133" s="110">
        <v>0.0</v>
      </c>
    </row>
    <row r="134" ht="22.5" customHeight="1">
      <c r="A134" s="107" t="s">
        <v>275</v>
      </c>
      <c r="B134" s="108" t="s">
        <v>276</v>
      </c>
      <c r="C134" s="109" t="s">
        <v>6</v>
      </c>
      <c r="D134" s="109">
        <v>0.0</v>
      </c>
      <c r="E134" s="109">
        <v>0.0</v>
      </c>
      <c r="F134" s="109">
        <v>0.0</v>
      </c>
      <c r="G134" s="110">
        <v>0.0</v>
      </c>
    </row>
    <row r="135" ht="22.5" customHeight="1">
      <c r="A135" s="107" t="s">
        <v>277</v>
      </c>
      <c r="B135" s="108" t="s">
        <v>278</v>
      </c>
      <c r="C135" s="109" t="s">
        <v>6</v>
      </c>
      <c r="D135" s="109">
        <v>0.0</v>
      </c>
      <c r="E135" s="109">
        <v>0.0</v>
      </c>
      <c r="F135" s="109">
        <v>0.0</v>
      </c>
      <c r="G135" s="110">
        <v>0.0</v>
      </c>
    </row>
    <row r="136" ht="22.5" customHeight="1">
      <c r="A136" s="107" t="s">
        <v>279</v>
      </c>
      <c r="B136" s="108" t="s">
        <v>280</v>
      </c>
      <c r="C136" s="109" t="s">
        <v>6</v>
      </c>
      <c r="D136" s="109">
        <v>0.0</v>
      </c>
      <c r="E136" s="109">
        <v>0.0</v>
      </c>
      <c r="F136" s="109">
        <v>0.0</v>
      </c>
      <c r="G136" s="110">
        <v>0.0</v>
      </c>
    </row>
    <row r="137" ht="22.5" customHeight="1">
      <c r="A137" s="107" t="s">
        <v>281</v>
      </c>
      <c r="B137" s="108" t="s">
        <v>282</v>
      </c>
      <c r="C137" s="109" t="s">
        <v>6</v>
      </c>
      <c r="D137" s="109">
        <v>0.0</v>
      </c>
      <c r="E137" s="109">
        <v>0.0</v>
      </c>
      <c r="F137" s="109">
        <v>0.0</v>
      </c>
      <c r="G137" s="110">
        <v>0.0</v>
      </c>
    </row>
    <row r="138" ht="22.5" customHeight="1">
      <c r="A138" s="107" t="s">
        <v>283</v>
      </c>
      <c r="B138" s="108" t="s">
        <v>282</v>
      </c>
      <c r="C138" s="109" t="s">
        <v>6</v>
      </c>
      <c r="D138" s="109">
        <v>0.0</v>
      </c>
      <c r="E138" s="109">
        <v>0.0</v>
      </c>
      <c r="F138" s="109">
        <v>0.0</v>
      </c>
      <c r="G138" s="110">
        <v>0.0</v>
      </c>
    </row>
    <row r="139" ht="22.5" customHeight="1">
      <c r="A139" s="107" t="s">
        <v>284</v>
      </c>
      <c r="B139" s="108" t="s">
        <v>285</v>
      </c>
      <c r="C139" s="109" t="s">
        <v>6</v>
      </c>
      <c r="D139" s="109">
        <v>0.0</v>
      </c>
      <c r="E139" s="109">
        <v>0.0</v>
      </c>
      <c r="F139" s="109">
        <v>0.0</v>
      </c>
      <c r="G139" s="110">
        <v>0.0</v>
      </c>
    </row>
    <row r="140" ht="22.5" customHeight="1">
      <c r="A140" s="107" t="s">
        <v>286</v>
      </c>
      <c r="B140" s="108" t="s">
        <v>287</v>
      </c>
      <c r="C140" s="109" t="s">
        <v>6</v>
      </c>
      <c r="D140" s="109">
        <v>0.0</v>
      </c>
      <c r="E140" s="109">
        <v>0.0</v>
      </c>
      <c r="F140" s="109">
        <v>0.0</v>
      </c>
      <c r="G140" s="110">
        <v>0.0</v>
      </c>
    </row>
    <row r="141" ht="22.5" customHeight="1">
      <c r="A141" s="107" t="s">
        <v>288</v>
      </c>
      <c r="B141" s="108" t="s">
        <v>289</v>
      </c>
      <c r="C141" s="109" t="s">
        <v>6</v>
      </c>
      <c r="D141" s="109">
        <v>0.0</v>
      </c>
      <c r="E141" s="109">
        <v>0.0</v>
      </c>
      <c r="F141" s="109">
        <v>0.0</v>
      </c>
      <c r="G141" s="110">
        <v>0.0</v>
      </c>
    </row>
    <row r="142" ht="22.5" customHeight="1">
      <c r="A142" s="107" t="s">
        <v>4</v>
      </c>
      <c r="B142" s="108" t="s">
        <v>5</v>
      </c>
      <c r="C142" s="109" t="s">
        <v>6</v>
      </c>
      <c r="D142" s="109">
        <v>0.0</v>
      </c>
      <c r="E142" s="109">
        <v>1.0</v>
      </c>
      <c r="F142" s="109">
        <v>-1.0</v>
      </c>
      <c r="G142" s="110">
        <v>0.0</v>
      </c>
    </row>
    <row r="143" ht="22.5" customHeight="1">
      <c r="A143" s="107" t="s">
        <v>291</v>
      </c>
      <c r="B143" s="108" t="s">
        <v>292</v>
      </c>
      <c r="C143" s="109" t="s">
        <v>6</v>
      </c>
      <c r="D143" s="109">
        <v>0.0</v>
      </c>
      <c r="E143" s="109">
        <v>0.0</v>
      </c>
      <c r="F143" s="109">
        <v>0.0</v>
      </c>
      <c r="G143" s="110">
        <v>0.0</v>
      </c>
    </row>
    <row r="144" ht="22.5" customHeight="1">
      <c r="A144" s="107" t="s">
        <v>293</v>
      </c>
      <c r="B144" s="108" t="s">
        <v>294</v>
      </c>
      <c r="C144" s="109" t="s">
        <v>6</v>
      </c>
      <c r="D144" s="109">
        <v>0.0</v>
      </c>
      <c r="E144" s="109">
        <v>0.0</v>
      </c>
      <c r="F144" s="109">
        <v>0.0</v>
      </c>
      <c r="G144" s="110">
        <v>0.0</v>
      </c>
    </row>
    <row r="145" ht="22.5" customHeight="1">
      <c r="A145" s="107" t="s">
        <v>295</v>
      </c>
      <c r="B145" s="108" t="s">
        <v>296</v>
      </c>
      <c r="C145" s="109" t="s">
        <v>6</v>
      </c>
      <c r="D145" s="109">
        <v>0.0</v>
      </c>
      <c r="E145" s="109">
        <v>0.0</v>
      </c>
      <c r="F145" s="109">
        <v>0.0</v>
      </c>
      <c r="G145" s="110">
        <v>0.0</v>
      </c>
    </row>
    <row r="146" ht="22.5" customHeight="1">
      <c r="A146" s="107" t="s">
        <v>297</v>
      </c>
      <c r="B146" s="108" t="s">
        <v>298</v>
      </c>
      <c r="C146" s="109" t="s">
        <v>6</v>
      </c>
      <c r="D146" s="109">
        <v>0.0</v>
      </c>
      <c r="E146" s="109">
        <v>0.0</v>
      </c>
      <c r="F146" s="109">
        <v>0.0</v>
      </c>
      <c r="G146" s="110">
        <v>0.0</v>
      </c>
    </row>
    <row r="147" ht="22.5" customHeight="1">
      <c r="A147" s="107" t="s">
        <v>299</v>
      </c>
      <c r="B147" s="108" t="s">
        <v>300</v>
      </c>
      <c r="C147" s="109" t="s">
        <v>6</v>
      </c>
      <c r="D147" s="109">
        <v>0.0</v>
      </c>
      <c r="E147" s="109">
        <v>0.0</v>
      </c>
      <c r="F147" s="109">
        <v>0.0</v>
      </c>
      <c r="G147" s="110">
        <v>0.0</v>
      </c>
    </row>
    <row r="148" ht="22.5" customHeight="1">
      <c r="A148" s="107" t="s">
        <v>301</v>
      </c>
      <c r="B148" s="108" t="s">
        <v>302</v>
      </c>
      <c r="C148" s="109" t="s">
        <v>6</v>
      </c>
      <c r="D148" s="109">
        <v>0.0</v>
      </c>
      <c r="E148" s="109">
        <v>0.0</v>
      </c>
      <c r="F148" s="109">
        <v>0.0</v>
      </c>
      <c r="G148" s="110">
        <v>0.0</v>
      </c>
    </row>
    <row r="149" ht="22.5" customHeight="1">
      <c r="A149" s="107" t="s">
        <v>303</v>
      </c>
      <c r="B149" s="108" t="s">
        <v>304</v>
      </c>
      <c r="C149" s="109" t="s">
        <v>6</v>
      </c>
      <c r="D149" s="109">
        <v>0.0</v>
      </c>
      <c r="E149" s="109">
        <v>0.0</v>
      </c>
      <c r="F149" s="109">
        <v>0.0</v>
      </c>
      <c r="G149" s="110">
        <v>0.0</v>
      </c>
    </row>
    <row r="150" ht="22.5" customHeight="1">
      <c r="A150" s="107" t="s">
        <v>305</v>
      </c>
      <c r="B150" s="108" t="s">
        <v>306</v>
      </c>
      <c r="C150" s="109" t="s">
        <v>6</v>
      </c>
      <c r="D150" s="109">
        <v>0.0</v>
      </c>
      <c r="E150" s="109">
        <v>0.0</v>
      </c>
      <c r="F150" s="109">
        <v>0.0</v>
      </c>
      <c r="G150" s="110">
        <v>0.0</v>
      </c>
    </row>
    <row r="151" ht="22.5" customHeight="1">
      <c r="A151" s="107" t="s">
        <v>307</v>
      </c>
      <c r="B151" s="108" t="s">
        <v>308</v>
      </c>
      <c r="C151" s="109" t="s">
        <v>6</v>
      </c>
      <c r="D151" s="109">
        <v>0.0</v>
      </c>
      <c r="E151" s="109">
        <v>0.0</v>
      </c>
      <c r="F151" s="109">
        <v>0.0</v>
      </c>
      <c r="G151" s="110">
        <v>0.0</v>
      </c>
    </row>
    <row r="152" ht="22.5" customHeight="1">
      <c r="A152" s="107" t="s">
        <v>309</v>
      </c>
      <c r="B152" s="108" t="s">
        <v>310</v>
      </c>
      <c r="C152" s="109" t="s">
        <v>6</v>
      </c>
      <c r="D152" s="109">
        <v>0.0</v>
      </c>
      <c r="E152" s="109">
        <v>0.0</v>
      </c>
      <c r="F152" s="109">
        <v>0.0</v>
      </c>
      <c r="G152" s="110">
        <v>0.0</v>
      </c>
    </row>
    <row r="153" ht="22.5" customHeight="1">
      <c r="A153" s="107" t="s">
        <v>311</v>
      </c>
      <c r="B153" s="108" t="s">
        <v>312</v>
      </c>
      <c r="C153" s="109" t="s">
        <v>6</v>
      </c>
      <c r="D153" s="109">
        <v>0.0</v>
      </c>
      <c r="E153" s="109">
        <v>0.0</v>
      </c>
      <c r="F153" s="109">
        <v>0.0</v>
      </c>
      <c r="G153" s="110">
        <v>0.0</v>
      </c>
    </row>
    <row r="154" ht="22.5" customHeight="1">
      <c r="A154" s="107" t="s">
        <v>313</v>
      </c>
      <c r="B154" s="108" t="s">
        <v>314</v>
      </c>
      <c r="C154" s="109" t="s">
        <v>6</v>
      </c>
      <c r="D154" s="109">
        <v>0.0</v>
      </c>
      <c r="E154" s="109">
        <v>0.0</v>
      </c>
      <c r="F154" s="109">
        <v>0.0</v>
      </c>
      <c r="G154" s="110">
        <v>0.0</v>
      </c>
    </row>
    <row r="155" ht="22.5" customHeight="1">
      <c r="A155" s="107" t="s">
        <v>315</v>
      </c>
      <c r="B155" s="108" t="s">
        <v>316</v>
      </c>
      <c r="C155" s="109" t="s">
        <v>6</v>
      </c>
      <c r="D155" s="109">
        <v>0.0</v>
      </c>
      <c r="E155" s="109">
        <v>0.0</v>
      </c>
      <c r="F155" s="109">
        <v>0.0</v>
      </c>
      <c r="G155" s="110">
        <v>0.0</v>
      </c>
    </row>
    <row r="156" ht="22.5" customHeight="1">
      <c r="A156" s="107" t="s">
        <v>317</v>
      </c>
      <c r="B156" s="108" t="s">
        <v>318</v>
      </c>
      <c r="C156" s="109" t="s">
        <v>6</v>
      </c>
      <c r="D156" s="109">
        <v>0.0</v>
      </c>
      <c r="E156" s="109">
        <v>0.0</v>
      </c>
      <c r="F156" s="109">
        <v>0.0</v>
      </c>
      <c r="G156" s="110">
        <v>0.0</v>
      </c>
    </row>
    <row r="157" ht="22.5" customHeight="1">
      <c r="A157" s="107" t="s">
        <v>319</v>
      </c>
      <c r="B157" s="108" t="s">
        <v>320</v>
      </c>
      <c r="C157" s="109" t="s">
        <v>6</v>
      </c>
      <c r="D157" s="109">
        <v>0.0</v>
      </c>
      <c r="E157" s="109">
        <v>0.0</v>
      </c>
      <c r="F157" s="109">
        <v>0.0</v>
      </c>
      <c r="G157" s="110">
        <v>0.0</v>
      </c>
    </row>
    <row r="158" ht="22.5" customHeight="1">
      <c r="A158" s="107" t="s">
        <v>321</v>
      </c>
      <c r="B158" s="108" t="s">
        <v>322</v>
      </c>
      <c r="C158" s="109" t="s">
        <v>6</v>
      </c>
      <c r="D158" s="109">
        <v>0.0</v>
      </c>
      <c r="E158" s="109">
        <v>0.0</v>
      </c>
      <c r="F158" s="109">
        <v>0.0</v>
      </c>
      <c r="G158" s="110">
        <v>0.0</v>
      </c>
    </row>
    <row r="159" ht="22.5" customHeight="1">
      <c r="A159" s="107" t="s">
        <v>323</v>
      </c>
      <c r="B159" s="108" t="s">
        <v>324</v>
      </c>
      <c r="C159" s="109" t="s">
        <v>6</v>
      </c>
      <c r="D159" s="109">
        <v>0.0</v>
      </c>
      <c r="E159" s="109">
        <v>0.0</v>
      </c>
      <c r="F159" s="109">
        <v>0.0</v>
      </c>
      <c r="G159" s="110">
        <v>0.0</v>
      </c>
    </row>
    <row r="160" ht="22.5" customHeight="1">
      <c r="A160" s="107" t="s">
        <v>325</v>
      </c>
      <c r="B160" s="108" t="s">
        <v>326</v>
      </c>
      <c r="C160" s="109" t="s">
        <v>6</v>
      </c>
      <c r="D160" s="109">
        <v>0.0</v>
      </c>
      <c r="E160" s="109">
        <v>0.0</v>
      </c>
      <c r="F160" s="109">
        <v>0.0</v>
      </c>
      <c r="G160" s="110">
        <v>0.0</v>
      </c>
    </row>
    <row r="161" ht="22.5" customHeight="1">
      <c r="A161" s="107" t="s">
        <v>327</v>
      </c>
      <c r="B161" s="108" t="s">
        <v>328</v>
      </c>
      <c r="C161" s="109" t="s">
        <v>6</v>
      </c>
      <c r="D161" s="109">
        <v>0.0</v>
      </c>
      <c r="E161" s="109">
        <v>0.0</v>
      </c>
      <c r="F161" s="109">
        <v>0.0</v>
      </c>
      <c r="G161" s="110">
        <v>0.0</v>
      </c>
    </row>
    <row r="162" ht="22.5" customHeight="1">
      <c r="A162" s="107" t="s">
        <v>329</v>
      </c>
      <c r="B162" s="108" t="s">
        <v>330</v>
      </c>
      <c r="C162" s="109" t="s">
        <v>6</v>
      </c>
      <c r="D162" s="109">
        <v>0.0</v>
      </c>
      <c r="E162" s="109">
        <v>0.0</v>
      </c>
      <c r="F162" s="109">
        <v>0.0</v>
      </c>
      <c r="G162" s="110">
        <v>0.0</v>
      </c>
    </row>
    <row r="163" ht="22.5" customHeight="1">
      <c r="A163" s="107" t="s">
        <v>331</v>
      </c>
      <c r="B163" s="108" t="s">
        <v>332</v>
      </c>
      <c r="C163" s="109" t="s">
        <v>6</v>
      </c>
      <c r="D163" s="109">
        <v>0.0</v>
      </c>
      <c r="E163" s="109">
        <v>0.0</v>
      </c>
      <c r="F163" s="109">
        <v>0.0</v>
      </c>
      <c r="G163" s="110">
        <v>0.0</v>
      </c>
    </row>
    <row r="164" ht="22.5" customHeight="1">
      <c r="A164" s="107" t="s">
        <v>333</v>
      </c>
      <c r="B164" s="108" t="s">
        <v>334</v>
      </c>
      <c r="C164" s="109" t="s">
        <v>6</v>
      </c>
      <c r="D164" s="109">
        <v>0.0</v>
      </c>
      <c r="E164" s="109">
        <v>0.0</v>
      </c>
      <c r="F164" s="109">
        <v>0.0</v>
      </c>
      <c r="G164" s="110">
        <v>0.0</v>
      </c>
    </row>
    <row r="165" ht="22.5" customHeight="1">
      <c r="A165" s="107" t="s">
        <v>335</v>
      </c>
      <c r="B165" s="108" t="s">
        <v>336</v>
      </c>
      <c r="C165" s="109" t="s">
        <v>6</v>
      </c>
      <c r="D165" s="109">
        <v>0.0</v>
      </c>
      <c r="E165" s="109">
        <v>0.0</v>
      </c>
      <c r="F165" s="109">
        <v>0.0</v>
      </c>
      <c r="G165" s="110">
        <v>0.0</v>
      </c>
    </row>
    <row r="166" ht="22.5" customHeight="1">
      <c r="A166" s="107" t="s">
        <v>337</v>
      </c>
      <c r="B166" s="108" t="s">
        <v>338</v>
      </c>
      <c r="C166" s="109" t="s">
        <v>6</v>
      </c>
      <c r="D166" s="109">
        <v>0.0</v>
      </c>
      <c r="E166" s="109">
        <v>0.0</v>
      </c>
      <c r="F166" s="109">
        <v>0.0</v>
      </c>
      <c r="G166" s="110">
        <v>0.0</v>
      </c>
    </row>
    <row r="167" ht="22.5" customHeight="1">
      <c r="A167" s="107" t="s">
        <v>339</v>
      </c>
      <c r="B167" s="108" t="s">
        <v>340</v>
      </c>
      <c r="C167" s="109" t="s">
        <v>6</v>
      </c>
      <c r="D167" s="109">
        <v>0.0</v>
      </c>
      <c r="E167" s="109">
        <v>0.0</v>
      </c>
      <c r="F167" s="109">
        <v>0.0</v>
      </c>
      <c r="G167" s="110">
        <v>0.0</v>
      </c>
    </row>
    <row r="168" ht="22.5" customHeight="1">
      <c r="A168" s="107" t="s">
        <v>341</v>
      </c>
      <c r="B168" s="108" t="s">
        <v>342</v>
      </c>
      <c r="C168" s="109" t="s">
        <v>6</v>
      </c>
      <c r="D168" s="109">
        <v>0.0</v>
      </c>
      <c r="E168" s="109">
        <v>0.0</v>
      </c>
      <c r="F168" s="109">
        <v>0.0</v>
      </c>
      <c r="G168" s="110">
        <v>0.0</v>
      </c>
    </row>
    <row r="169" ht="22.5" customHeight="1">
      <c r="A169" s="107" t="s">
        <v>343</v>
      </c>
      <c r="B169" s="108" t="s">
        <v>344</v>
      </c>
      <c r="C169" s="109" t="s">
        <v>6</v>
      </c>
      <c r="D169" s="109">
        <v>0.0</v>
      </c>
      <c r="E169" s="109">
        <v>0.0</v>
      </c>
      <c r="F169" s="109">
        <v>0.0</v>
      </c>
      <c r="G169" s="110">
        <v>0.0</v>
      </c>
    </row>
    <row r="170" ht="22.5" customHeight="1">
      <c r="A170" s="107" t="s">
        <v>345</v>
      </c>
      <c r="B170" s="108" t="s">
        <v>346</v>
      </c>
      <c r="C170" s="109" t="s">
        <v>6</v>
      </c>
      <c r="D170" s="109">
        <v>0.0</v>
      </c>
      <c r="E170" s="109">
        <v>0.0</v>
      </c>
      <c r="F170" s="109">
        <v>0.0</v>
      </c>
      <c r="G170" s="110">
        <v>0.0</v>
      </c>
    </row>
    <row r="171" ht="22.5" customHeight="1">
      <c r="A171" s="107" t="s">
        <v>347</v>
      </c>
      <c r="B171" s="108" t="s">
        <v>348</v>
      </c>
      <c r="C171" s="109" t="s">
        <v>6</v>
      </c>
      <c r="D171" s="109">
        <v>0.0</v>
      </c>
      <c r="E171" s="109">
        <v>0.0</v>
      </c>
      <c r="F171" s="109">
        <v>0.0</v>
      </c>
      <c r="G171" s="110">
        <v>0.0</v>
      </c>
    </row>
    <row r="172" ht="22.5" customHeight="1">
      <c r="A172" s="107" t="s">
        <v>349</v>
      </c>
      <c r="B172" s="108" t="s">
        <v>350</v>
      </c>
      <c r="C172" s="109" t="s">
        <v>6</v>
      </c>
      <c r="D172" s="109">
        <v>0.0</v>
      </c>
      <c r="E172" s="109">
        <v>0.0</v>
      </c>
      <c r="F172" s="109">
        <v>0.0</v>
      </c>
      <c r="G172" s="110">
        <v>0.0</v>
      </c>
    </row>
    <row r="173" ht="22.5" customHeight="1">
      <c r="A173" s="107" t="s">
        <v>352</v>
      </c>
      <c r="B173" s="108" t="s">
        <v>353</v>
      </c>
      <c r="C173" s="109" t="s">
        <v>6</v>
      </c>
      <c r="D173" s="109">
        <v>0.0</v>
      </c>
      <c r="E173" s="109">
        <v>0.0</v>
      </c>
      <c r="F173" s="109">
        <v>0.0</v>
      </c>
      <c r="G173" s="110">
        <v>0.0</v>
      </c>
    </row>
    <row r="174" ht="22.5" customHeight="1">
      <c r="A174" s="107" t="s">
        <v>354</v>
      </c>
      <c r="B174" s="108" t="s">
        <v>355</v>
      </c>
      <c r="C174" s="109" t="s">
        <v>6</v>
      </c>
      <c r="D174" s="109">
        <v>0.0</v>
      </c>
      <c r="E174" s="109">
        <v>0.0</v>
      </c>
      <c r="F174" s="109">
        <v>0.0</v>
      </c>
      <c r="G174" s="110">
        <v>0.0</v>
      </c>
    </row>
    <row r="175" ht="22.5" customHeight="1">
      <c r="A175" s="107" t="s">
        <v>356</v>
      </c>
      <c r="B175" s="108" t="s">
        <v>357</v>
      </c>
      <c r="C175" s="109" t="s">
        <v>6</v>
      </c>
      <c r="D175" s="109">
        <v>0.0</v>
      </c>
      <c r="E175" s="109">
        <v>0.0</v>
      </c>
      <c r="F175" s="109">
        <v>0.0</v>
      </c>
      <c r="G175" s="110">
        <v>0.0</v>
      </c>
    </row>
    <row r="176" ht="22.5" customHeight="1">
      <c r="A176" s="107" t="s">
        <v>358</v>
      </c>
      <c r="B176" s="108" t="s">
        <v>359</v>
      </c>
      <c r="C176" s="109" t="s">
        <v>6</v>
      </c>
      <c r="D176" s="109">
        <v>0.0</v>
      </c>
      <c r="E176" s="109">
        <v>0.0</v>
      </c>
      <c r="F176" s="109">
        <v>0.0</v>
      </c>
      <c r="G176" s="110">
        <v>0.0</v>
      </c>
    </row>
    <row r="177" ht="22.5" customHeight="1">
      <c r="A177" s="107" t="s">
        <v>360</v>
      </c>
      <c r="B177" s="108" t="s">
        <v>361</v>
      </c>
      <c r="C177" s="109" t="s">
        <v>6</v>
      </c>
      <c r="D177" s="109">
        <v>0.0</v>
      </c>
      <c r="E177" s="109">
        <v>0.0</v>
      </c>
      <c r="F177" s="109">
        <v>0.0</v>
      </c>
      <c r="G177" s="110">
        <v>0.0</v>
      </c>
    </row>
    <row r="178" ht="22.5" customHeight="1">
      <c r="A178" s="107" t="s">
        <v>362</v>
      </c>
      <c r="B178" s="108" t="s">
        <v>363</v>
      </c>
      <c r="C178" s="109" t="s">
        <v>6</v>
      </c>
      <c r="D178" s="109">
        <v>0.0</v>
      </c>
      <c r="E178" s="109">
        <v>0.0</v>
      </c>
      <c r="F178" s="109">
        <v>0.0</v>
      </c>
      <c r="G178" s="110">
        <v>0.0</v>
      </c>
    </row>
    <row r="179" ht="22.5" customHeight="1">
      <c r="A179" s="107" t="s">
        <v>364</v>
      </c>
      <c r="B179" s="108" t="s">
        <v>365</v>
      </c>
      <c r="C179" s="109" t="s">
        <v>6</v>
      </c>
      <c r="D179" s="109">
        <v>0.0</v>
      </c>
      <c r="E179" s="109">
        <v>0.0</v>
      </c>
      <c r="F179" s="109">
        <v>0.0</v>
      </c>
      <c r="G179" s="110">
        <v>0.0</v>
      </c>
    </row>
    <row r="180" ht="22.5" customHeight="1">
      <c r="A180" s="107" t="s">
        <v>366</v>
      </c>
      <c r="B180" s="108" t="s">
        <v>367</v>
      </c>
      <c r="C180" s="109" t="s">
        <v>6</v>
      </c>
      <c r="D180" s="109">
        <v>0.0</v>
      </c>
      <c r="E180" s="109">
        <v>0.0</v>
      </c>
      <c r="F180" s="109">
        <v>0.0</v>
      </c>
      <c r="G180" s="110">
        <v>0.0</v>
      </c>
    </row>
    <row r="181" ht="22.5" customHeight="1">
      <c r="A181" s="107" t="s">
        <v>368</v>
      </c>
      <c r="B181" s="108" t="s">
        <v>369</v>
      </c>
      <c r="C181" s="109" t="s">
        <v>6</v>
      </c>
      <c r="D181" s="109">
        <v>0.0</v>
      </c>
      <c r="E181" s="109">
        <v>0.0</v>
      </c>
      <c r="F181" s="109">
        <v>0.0</v>
      </c>
      <c r="G181" s="110">
        <v>0.0</v>
      </c>
    </row>
    <row r="182" ht="22.5" customHeight="1">
      <c r="A182" s="107" t="s">
        <v>370</v>
      </c>
      <c r="B182" s="108" t="s">
        <v>371</v>
      </c>
      <c r="C182" s="109" t="s">
        <v>6</v>
      </c>
      <c r="D182" s="109">
        <v>0.0</v>
      </c>
      <c r="E182" s="109">
        <v>0.0</v>
      </c>
      <c r="F182" s="109">
        <v>0.0</v>
      </c>
      <c r="G182" s="110">
        <v>0.0</v>
      </c>
    </row>
    <row r="183" ht="22.5" customHeight="1">
      <c r="A183" s="107" t="s">
        <v>372</v>
      </c>
      <c r="B183" s="108" t="s">
        <v>373</v>
      </c>
      <c r="C183" s="109" t="s">
        <v>6</v>
      </c>
      <c r="D183" s="109">
        <v>0.0</v>
      </c>
      <c r="E183" s="109">
        <v>0.0</v>
      </c>
      <c r="F183" s="109">
        <v>0.0</v>
      </c>
      <c r="G183" s="110">
        <v>0.0</v>
      </c>
    </row>
    <row r="184" ht="22.5" customHeight="1">
      <c r="A184" s="107" t="s">
        <v>374</v>
      </c>
      <c r="B184" s="108" t="s">
        <v>375</v>
      </c>
      <c r="C184" s="109" t="s">
        <v>6</v>
      </c>
      <c r="D184" s="109">
        <v>0.0</v>
      </c>
      <c r="E184" s="109">
        <v>0.0</v>
      </c>
      <c r="F184" s="109">
        <v>0.0</v>
      </c>
      <c r="G184" s="110">
        <v>0.0</v>
      </c>
    </row>
    <row r="185" ht="22.5" customHeight="1">
      <c r="A185" s="107" t="s">
        <v>376</v>
      </c>
      <c r="B185" s="108" t="s">
        <v>377</v>
      </c>
      <c r="C185" s="109" t="s">
        <v>6</v>
      </c>
      <c r="D185" s="109">
        <v>0.0</v>
      </c>
      <c r="E185" s="109">
        <v>0.0</v>
      </c>
      <c r="F185" s="109">
        <v>0.0</v>
      </c>
      <c r="G185" s="110">
        <v>0.0</v>
      </c>
    </row>
    <row r="186" ht="22.5" customHeight="1">
      <c r="A186" s="107" t="s">
        <v>378</v>
      </c>
      <c r="B186" s="108" t="s">
        <v>379</v>
      </c>
      <c r="C186" s="109" t="s">
        <v>6</v>
      </c>
      <c r="D186" s="109">
        <v>0.0</v>
      </c>
      <c r="E186" s="109">
        <v>0.0</v>
      </c>
      <c r="F186" s="109">
        <v>0.0</v>
      </c>
      <c r="G186" s="110">
        <v>0.0</v>
      </c>
    </row>
    <row r="187" ht="22.5" customHeight="1">
      <c r="A187" s="107" t="s">
        <v>380</v>
      </c>
      <c r="B187" s="108" t="s">
        <v>381</v>
      </c>
      <c r="C187" s="109" t="s">
        <v>6</v>
      </c>
      <c r="D187" s="109">
        <v>0.0</v>
      </c>
      <c r="E187" s="109">
        <v>0.0</v>
      </c>
      <c r="F187" s="109">
        <v>0.0</v>
      </c>
      <c r="G187" s="110">
        <v>0.0</v>
      </c>
    </row>
    <row r="188" ht="22.5" customHeight="1">
      <c r="A188" s="107" t="s">
        <v>382</v>
      </c>
      <c r="B188" s="108" t="s">
        <v>383</v>
      </c>
      <c r="C188" s="109" t="s">
        <v>6</v>
      </c>
      <c r="D188" s="109">
        <v>0.0</v>
      </c>
      <c r="E188" s="109">
        <v>0.0</v>
      </c>
      <c r="F188" s="109">
        <v>0.0</v>
      </c>
      <c r="G188" s="110">
        <v>0.0</v>
      </c>
    </row>
    <row r="189" ht="22.5" customHeight="1">
      <c r="A189" s="107" t="s">
        <v>385</v>
      </c>
      <c r="B189" s="108" t="s">
        <v>386</v>
      </c>
      <c r="C189" s="109" t="s">
        <v>6</v>
      </c>
      <c r="D189" s="109">
        <v>0.0</v>
      </c>
      <c r="E189" s="109">
        <v>0.0</v>
      </c>
      <c r="F189" s="109">
        <v>0.0</v>
      </c>
      <c r="G189" s="110">
        <v>0.0</v>
      </c>
    </row>
    <row r="190" ht="22.5" customHeight="1">
      <c r="A190" s="107" t="s">
        <v>387</v>
      </c>
      <c r="B190" s="108" t="s">
        <v>388</v>
      </c>
      <c r="C190" s="109" t="s">
        <v>6</v>
      </c>
      <c r="D190" s="109">
        <v>0.0</v>
      </c>
      <c r="E190" s="109">
        <v>0.0</v>
      </c>
      <c r="F190" s="109">
        <v>0.0</v>
      </c>
      <c r="G190" s="110">
        <v>0.0</v>
      </c>
    </row>
    <row r="191" ht="22.5" customHeight="1">
      <c r="A191" s="107" t="s">
        <v>389</v>
      </c>
      <c r="B191" s="108" t="s">
        <v>390</v>
      </c>
      <c r="C191" s="109" t="s">
        <v>6</v>
      </c>
      <c r="D191" s="109">
        <v>0.0</v>
      </c>
      <c r="E191" s="109">
        <v>0.0</v>
      </c>
      <c r="F191" s="109">
        <v>0.0</v>
      </c>
      <c r="G191" s="110">
        <v>0.0</v>
      </c>
    </row>
    <row r="192" ht="22.5" customHeight="1">
      <c r="A192" s="107" t="s">
        <v>391</v>
      </c>
      <c r="B192" s="108" t="s">
        <v>392</v>
      </c>
      <c r="C192" s="109" t="s">
        <v>6</v>
      </c>
      <c r="D192" s="109">
        <v>0.0</v>
      </c>
      <c r="E192" s="109">
        <v>0.0</v>
      </c>
      <c r="F192" s="109">
        <v>0.0</v>
      </c>
      <c r="G192" s="110">
        <v>0.0</v>
      </c>
    </row>
    <row r="193" ht="22.5" customHeight="1">
      <c r="A193" s="107" t="s">
        <v>393</v>
      </c>
      <c r="B193" s="108" t="s">
        <v>394</v>
      </c>
      <c r="C193" s="109" t="s">
        <v>6</v>
      </c>
      <c r="D193" s="109">
        <v>0.0</v>
      </c>
      <c r="E193" s="109">
        <v>0.0</v>
      </c>
      <c r="F193" s="109">
        <v>0.0</v>
      </c>
      <c r="G193" s="110">
        <v>0.0</v>
      </c>
    </row>
    <row r="194" ht="22.5" customHeight="1">
      <c r="A194" s="107" t="s">
        <v>395</v>
      </c>
      <c r="B194" s="108" t="s">
        <v>396</v>
      </c>
      <c r="C194" s="109" t="s">
        <v>6</v>
      </c>
      <c r="D194" s="109">
        <v>0.0</v>
      </c>
      <c r="E194" s="109">
        <v>0.0</v>
      </c>
      <c r="F194" s="109">
        <v>0.0</v>
      </c>
      <c r="G194" s="110">
        <v>0.0</v>
      </c>
    </row>
    <row r="195" ht="22.5" customHeight="1">
      <c r="A195" s="107" t="s">
        <v>397</v>
      </c>
      <c r="B195" s="108" t="s">
        <v>398</v>
      </c>
      <c r="C195" s="109" t="s">
        <v>6</v>
      </c>
      <c r="D195" s="109">
        <v>0.0</v>
      </c>
      <c r="E195" s="109">
        <v>0.0</v>
      </c>
      <c r="F195" s="109">
        <v>0.0</v>
      </c>
      <c r="G195" s="110">
        <v>0.0</v>
      </c>
    </row>
    <row r="196" ht="22.5" customHeight="1">
      <c r="A196" s="107" t="s">
        <v>399</v>
      </c>
      <c r="B196" s="108" t="s">
        <v>400</v>
      </c>
      <c r="C196" s="109" t="s">
        <v>6</v>
      </c>
      <c r="D196" s="109">
        <v>0.0</v>
      </c>
      <c r="E196" s="109">
        <v>0.0</v>
      </c>
      <c r="F196" s="109">
        <v>0.0</v>
      </c>
      <c r="G196" s="110">
        <v>0.0</v>
      </c>
    </row>
    <row r="197" ht="22.5" customHeight="1">
      <c r="A197" s="107" t="s">
        <v>401</v>
      </c>
      <c r="B197" s="108" t="s">
        <v>402</v>
      </c>
      <c r="C197" s="109" t="s">
        <v>6</v>
      </c>
      <c r="D197" s="109">
        <v>0.0</v>
      </c>
      <c r="E197" s="109">
        <v>0.0</v>
      </c>
      <c r="F197" s="109">
        <v>0.0</v>
      </c>
      <c r="G197" s="110">
        <v>0.0</v>
      </c>
    </row>
    <row r="198" ht="22.5" customHeight="1">
      <c r="A198" s="107" t="s">
        <v>403</v>
      </c>
      <c r="B198" s="108" t="s">
        <v>404</v>
      </c>
      <c r="C198" s="109" t="s">
        <v>6</v>
      </c>
      <c r="D198" s="109">
        <v>0.0</v>
      </c>
      <c r="E198" s="109">
        <v>0.0</v>
      </c>
      <c r="F198" s="109">
        <v>0.0</v>
      </c>
      <c r="G198" s="110">
        <v>0.0</v>
      </c>
    </row>
    <row r="199" ht="22.5" customHeight="1">
      <c r="A199" s="107" t="s">
        <v>405</v>
      </c>
      <c r="B199" s="108" t="s">
        <v>406</v>
      </c>
      <c r="C199" s="109" t="s">
        <v>6</v>
      </c>
      <c r="D199" s="109">
        <v>0.0</v>
      </c>
      <c r="E199" s="109">
        <v>0.0</v>
      </c>
      <c r="F199" s="109">
        <v>0.0</v>
      </c>
      <c r="G199" s="110">
        <v>0.0</v>
      </c>
    </row>
    <row r="200" ht="22.5" customHeight="1">
      <c r="A200" s="107" t="s">
        <v>407</v>
      </c>
      <c r="B200" s="108" t="s">
        <v>408</v>
      </c>
      <c r="C200" s="109" t="s">
        <v>6</v>
      </c>
      <c r="D200" s="109">
        <v>0.0</v>
      </c>
      <c r="E200" s="109">
        <v>0.0</v>
      </c>
      <c r="F200" s="109">
        <v>0.0</v>
      </c>
      <c r="G200" s="110">
        <v>0.0</v>
      </c>
    </row>
    <row r="201" ht="22.5" customHeight="1">
      <c r="A201" s="107" t="s">
        <v>409</v>
      </c>
      <c r="B201" s="108" t="s">
        <v>410</v>
      </c>
      <c r="C201" s="109" t="s">
        <v>6</v>
      </c>
      <c r="D201" s="109">
        <v>0.0</v>
      </c>
      <c r="E201" s="109">
        <v>0.0</v>
      </c>
      <c r="F201" s="109">
        <v>0.0</v>
      </c>
      <c r="G201" s="110">
        <v>0.0</v>
      </c>
    </row>
    <row r="202" ht="22.5" customHeight="1">
      <c r="A202" s="107" t="s">
        <v>411</v>
      </c>
      <c r="B202" s="108" t="s">
        <v>412</v>
      </c>
      <c r="C202" s="109" t="s">
        <v>6</v>
      </c>
      <c r="D202" s="109">
        <v>0.0</v>
      </c>
      <c r="E202" s="109">
        <v>0.0</v>
      </c>
      <c r="F202" s="109">
        <v>0.0</v>
      </c>
      <c r="G202" s="110">
        <v>0.0</v>
      </c>
    </row>
    <row r="203" ht="22.5" customHeight="1">
      <c r="A203" s="107" t="s">
        <v>413</v>
      </c>
      <c r="B203" s="108" t="s">
        <v>414</v>
      </c>
      <c r="C203" s="109" t="s">
        <v>6</v>
      </c>
      <c r="D203" s="109">
        <v>0.0</v>
      </c>
      <c r="E203" s="109">
        <v>0.0</v>
      </c>
      <c r="F203" s="109">
        <v>0.0</v>
      </c>
      <c r="G203" s="110">
        <v>0.0</v>
      </c>
    </row>
    <row r="204" ht="22.5" customHeight="1">
      <c r="A204" s="107" t="s">
        <v>415</v>
      </c>
      <c r="B204" s="108" t="s">
        <v>416</v>
      </c>
      <c r="C204" s="109" t="s">
        <v>6</v>
      </c>
      <c r="D204" s="109">
        <v>0.0</v>
      </c>
      <c r="E204" s="109">
        <v>0.0</v>
      </c>
      <c r="F204" s="109">
        <v>0.0</v>
      </c>
      <c r="G204" s="110">
        <v>0.0</v>
      </c>
    </row>
    <row r="205" ht="22.5" customHeight="1">
      <c r="A205" s="107" t="s">
        <v>417</v>
      </c>
      <c r="B205" s="108" t="s">
        <v>418</v>
      </c>
      <c r="C205" s="109" t="s">
        <v>6</v>
      </c>
      <c r="D205" s="109">
        <v>0.0</v>
      </c>
      <c r="E205" s="109">
        <v>0.0</v>
      </c>
      <c r="F205" s="109">
        <v>0.0</v>
      </c>
      <c r="G205" s="110">
        <v>0.0</v>
      </c>
    </row>
    <row r="206" ht="22.5" customHeight="1">
      <c r="A206" s="107" t="s">
        <v>419</v>
      </c>
      <c r="B206" s="108" t="s">
        <v>420</v>
      </c>
      <c r="C206" s="109" t="s">
        <v>6</v>
      </c>
      <c r="D206" s="109">
        <v>0.0</v>
      </c>
      <c r="E206" s="109">
        <v>0.0</v>
      </c>
      <c r="F206" s="109">
        <v>0.0</v>
      </c>
      <c r="G206" s="110">
        <v>0.0</v>
      </c>
    </row>
    <row r="207" ht="22.5" customHeight="1">
      <c r="A207" s="107" t="s">
        <v>421</v>
      </c>
      <c r="B207" s="108" t="s">
        <v>422</v>
      </c>
      <c r="C207" s="109" t="s">
        <v>6</v>
      </c>
      <c r="D207" s="109">
        <v>0.0</v>
      </c>
      <c r="E207" s="109">
        <v>0.0</v>
      </c>
      <c r="F207" s="109">
        <v>0.0</v>
      </c>
      <c r="G207" s="110">
        <v>0.0</v>
      </c>
    </row>
    <row r="208" ht="22.5" customHeight="1">
      <c r="A208" s="107" t="s">
        <v>423</v>
      </c>
      <c r="B208" s="108" t="s">
        <v>424</v>
      </c>
      <c r="C208" s="109" t="s">
        <v>6</v>
      </c>
      <c r="D208" s="109">
        <v>0.0</v>
      </c>
      <c r="E208" s="109">
        <v>0.0</v>
      </c>
      <c r="F208" s="109">
        <v>0.0</v>
      </c>
      <c r="G208" s="110">
        <v>0.0</v>
      </c>
    </row>
    <row r="209" ht="22.5" customHeight="1">
      <c r="A209" s="107" t="s">
        <v>425</v>
      </c>
      <c r="B209" s="108" t="s">
        <v>426</v>
      </c>
      <c r="C209" s="109" t="s">
        <v>6</v>
      </c>
      <c r="D209" s="109">
        <v>0.0</v>
      </c>
      <c r="E209" s="109">
        <v>0.0</v>
      </c>
      <c r="F209" s="109">
        <v>0.0</v>
      </c>
      <c r="G209" s="110">
        <v>0.0</v>
      </c>
    </row>
    <row r="210" ht="22.5" customHeight="1">
      <c r="A210" s="107" t="s">
        <v>427</v>
      </c>
      <c r="B210" s="108" t="s">
        <v>428</v>
      </c>
      <c r="C210" s="109" t="s">
        <v>6</v>
      </c>
      <c r="D210" s="109">
        <v>0.0</v>
      </c>
      <c r="E210" s="109">
        <v>0.0</v>
      </c>
      <c r="F210" s="109">
        <v>0.0</v>
      </c>
      <c r="G210" s="110">
        <v>0.0</v>
      </c>
    </row>
    <row r="211" ht="22.5" customHeight="1">
      <c r="A211" s="107" t="s">
        <v>429</v>
      </c>
      <c r="B211" s="108" t="s">
        <v>430</v>
      </c>
      <c r="C211" s="109" t="s">
        <v>6</v>
      </c>
      <c r="D211" s="109">
        <v>0.0</v>
      </c>
      <c r="E211" s="109">
        <v>0.0</v>
      </c>
      <c r="F211" s="109">
        <v>0.0</v>
      </c>
      <c r="G211" s="110">
        <v>0.0</v>
      </c>
    </row>
    <row r="212" ht="22.5" customHeight="1">
      <c r="A212" s="107" t="s">
        <v>431</v>
      </c>
      <c r="B212" s="108" t="s">
        <v>432</v>
      </c>
      <c r="C212" s="109" t="s">
        <v>6</v>
      </c>
      <c r="D212" s="109">
        <v>0.0</v>
      </c>
      <c r="E212" s="109">
        <v>0.0</v>
      </c>
      <c r="F212" s="109">
        <v>0.0</v>
      </c>
      <c r="G212" s="110">
        <v>0.0</v>
      </c>
    </row>
    <row r="213" ht="22.5" customHeight="1">
      <c r="A213" s="107" t="s">
        <v>433</v>
      </c>
      <c r="B213" s="108" t="s">
        <v>434</v>
      </c>
      <c r="C213" s="109" t="s">
        <v>6</v>
      </c>
      <c r="D213" s="109">
        <v>0.0</v>
      </c>
      <c r="E213" s="109">
        <v>0.0</v>
      </c>
      <c r="F213" s="109">
        <v>0.0</v>
      </c>
      <c r="G213" s="110">
        <v>0.0</v>
      </c>
    </row>
    <row r="214" ht="22.5" customHeight="1">
      <c r="A214" s="107" t="s">
        <v>435</v>
      </c>
      <c r="B214" s="108" t="s">
        <v>436</v>
      </c>
      <c r="C214" s="109" t="s">
        <v>6</v>
      </c>
      <c r="D214" s="109">
        <v>0.0</v>
      </c>
      <c r="E214" s="109">
        <v>0.0</v>
      </c>
      <c r="F214" s="109">
        <v>0.0</v>
      </c>
      <c r="G214" s="110">
        <v>0.0</v>
      </c>
    </row>
    <row r="215" ht="22.5" customHeight="1">
      <c r="A215" s="107" t="s">
        <v>437</v>
      </c>
      <c r="B215" s="108" t="s">
        <v>438</v>
      </c>
      <c r="C215" s="109" t="s">
        <v>6</v>
      </c>
      <c r="D215" s="109">
        <v>0.0</v>
      </c>
      <c r="E215" s="109">
        <v>0.0</v>
      </c>
      <c r="F215" s="109">
        <v>0.0</v>
      </c>
      <c r="G215" s="110">
        <v>0.0</v>
      </c>
    </row>
    <row r="216" ht="22.5" customHeight="1">
      <c r="A216" s="107" t="s">
        <v>439</v>
      </c>
      <c r="B216" s="108" t="s">
        <v>440</v>
      </c>
      <c r="C216" s="109" t="s">
        <v>6</v>
      </c>
      <c r="D216" s="109">
        <v>0.0</v>
      </c>
      <c r="E216" s="109">
        <v>0.0</v>
      </c>
      <c r="F216" s="109">
        <v>0.0</v>
      </c>
      <c r="G216" s="110">
        <v>0.0</v>
      </c>
    </row>
    <row r="217" ht="22.5" customHeight="1">
      <c r="A217" s="107" t="s">
        <v>441</v>
      </c>
      <c r="B217" s="108" t="s">
        <v>442</v>
      </c>
      <c r="C217" s="109" t="s">
        <v>6</v>
      </c>
      <c r="D217" s="109">
        <v>0.0</v>
      </c>
      <c r="E217" s="109">
        <v>0.0</v>
      </c>
      <c r="F217" s="109">
        <v>0.0</v>
      </c>
      <c r="G217" s="110">
        <v>0.0</v>
      </c>
    </row>
    <row r="218" ht="22.5" customHeight="1">
      <c r="A218" s="107" t="s">
        <v>443</v>
      </c>
      <c r="B218" s="108" t="s">
        <v>444</v>
      </c>
      <c r="C218" s="109" t="s">
        <v>6</v>
      </c>
      <c r="D218" s="109">
        <v>0.0</v>
      </c>
      <c r="E218" s="109">
        <v>0.0</v>
      </c>
      <c r="F218" s="109">
        <v>0.0</v>
      </c>
      <c r="G218" s="110">
        <v>0.0</v>
      </c>
    </row>
    <row r="219" ht="22.5" customHeight="1">
      <c r="A219" s="107" t="s">
        <v>445</v>
      </c>
      <c r="B219" s="108" t="s">
        <v>446</v>
      </c>
      <c r="C219" s="109" t="s">
        <v>6</v>
      </c>
      <c r="D219" s="109">
        <v>0.0</v>
      </c>
      <c r="E219" s="109">
        <v>0.0</v>
      </c>
      <c r="F219" s="109">
        <v>0.0</v>
      </c>
      <c r="G219" s="110">
        <v>0.0</v>
      </c>
    </row>
    <row r="220" ht="22.5" customHeight="1">
      <c r="A220" s="107" t="s">
        <v>447</v>
      </c>
      <c r="B220" s="108" t="s">
        <v>448</v>
      </c>
      <c r="C220" s="109" t="s">
        <v>6</v>
      </c>
      <c r="D220" s="109">
        <v>0.0</v>
      </c>
      <c r="E220" s="109">
        <v>0.0</v>
      </c>
      <c r="F220" s="109">
        <v>0.0</v>
      </c>
      <c r="G220" s="110">
        <v>0.0</v>
      </c>
    </row>
    <row r="221" ht="22.5" customHeight="1">
      <c r="A221" s="107" t="s">
        <v>449</v>
      </c>
      <c r="B221" s="108" t="s">
        <v>450</v>
      </c>
      <c r="C221" s="109" t="s">
        <v>6</v>
      </c>
      <c r="D221" s="109">
        <v>0.0</v>
      </c>
      <c r="E221" s="109">
        <v>0.0</v>
      </c>
      <c r="F221" s="109">
        <v>0.0</v>
      </c>
      <c r="G221" s="110">
        <v>0.0</v>
      </c>
    </row>
    <row r="222" ht="22.5" customHeight="1">
      <c r="A222" s="107" t="s">
        <v>451</v>
      </c>
      <c r="B222" s="108" t="s">
        <v>452</v>
      </c>
      <c r="C222" s="109" t="s">
        <v>6</v>
      </c>
      <c r="D222" s="109">
        <v>0.0</v>
      </c>
      <c r="E222" s="109">
        <v>0.0</v>
      </c>
      <c r="F222" s="109">
        <v>0.0</v>
      </c>
      <c r="G222" s="110">
        <v>0.0</v>
      </c>
    </row>
    <row r="223" ht="22.5" customHeight="1">
      <c r="A223" s="107" t="s">
        <v>453</v>
      </c>
      <c r="B223" s="108" t="s">
        <v>454</v>
      </c>
      <c r="C223" s="109" t="s">
        <v>6</v>
      </c>
      <c r="D223" s="109">
        <v>0.0</v>
      </c>
      <c r="E223" s="109">
        <v>0.0</v>
      </c>
      <c r="F223" s="109">
        <v>0.0</v>
      </c>
      <c r="G223" s="110">
        <v>0.0</v>
      </c>
    </row>
    <row r="224" ht="22.5" customHeight="1">
      <c r="A224" s="107" t="s">
        <v>455</v>
      </c>
      <c r="B224" s="108" t="s">
        <v>456</v>
      </c>
      <c r="C224" s="109" t="s">
        <v>6</v>
      </c>
      <c r="D224" s="109">
        <v>0.0</v>
      </c>
      <c r="E224" s="109">
        <v>0.0</v>
      </c>
      <c r="F224" s="109">
        <v>0.0</v>
      </c>
      <c r="G224" s="110">
        <v>0.0</v>
      </c>
    </row>
    <row r="225" ht="22.5" customHeight="1">
      <c r="A225" s="107" t="s">
        <v>457</v>
      </c>
      <c r="B225" s="108" t="s">
        <v>458</v>
      </c>
      <c r="C225" s="109" t="s">
        <v>6</v>
      </c>
      <c r="D225" s="109">
        <v>0.0</v>
      </c>
      <c r="E225" s="109">
        <v>0.0</v>
      </c>
      <c r="F225" s="109">
        <v>0.0</v>
      </c>
      <c r="G225" s="110">
        <v>0.0</v>
      </c>
    </row>
    <row r="226" ht="22.5" customHeight="1">
      <c r="A226" s="107" t="s">
        <v>459</v>
      </c>
      <c r="B226" s="108" t="s">
        <v>460</v>
      </c>
      <c r="C226" s="109" t="s">
        <v>6</v>
      </c>
      <c r="D226" s="109">
        <v>0.0</v>
      </c>
      <c r="E226" s="109">
        <v>0.0</v>
      </c>
      <c r="F226" s="109">
        <v>0.0</v>
      </c>
      <c r="G226" s="110">
        <v>0.0</v>
      </c>
    </row>
    <row r="227" ht="22.5" customHeight="1">
      <c r="A227" s="107" t="s">
        <v>461</v>
      </c>
      <c r="B227" s="108" t="s">
        <v>462</v>
      </c>
      <c r="C227" s="109" t="s">
        <v>6</v>
      </c>
      <c r="D227" s="109">
        <v>0.0</v>
      </c>
      <c r="E227" s="109">
        <v>0.0</v>
      </c>
      <c r="F227" s="109">
        <v>0.0</v>
      </c>
      <c r="G227" s="110">
        <v>0.0</v>
      </c>
    </row>
    <row r="228" ht="22.5" customHeight="1">
      <c r="A228" s="107" t="s">
        <v>463</v>
      </c>
      <c r="B228" s="108" t="s">
        <v>464</v>
      </c>
      <c r="C228" s="109" t="s">
        <v>6</v>
      </c>
      <c r="D228" s="109">
        <v>0.0</v>
      </c>
      <c r="E228" s="109">
        <v>0.0</v>
      </c>
      <c r="F228" s="109">
        <v>0.0</v>
      </c>
      <c r="G228" s="110">
        <v>0.0</v>
      </c>
    </row>
    <row r="229" ht="22.5" customHeight="1">
      <c r="A229" s="107" t="s">
        <v>465</v>
      </c>
      <c r="B229" s="108" t="s">
        <v>466</v>
      </c>
      <c r="C229" s="109" t="s">
        <v>6</v>
      </c>
      <c r="D229" s="109">
        <v>0.0</v>
      </c>
      <c r="E229" s="109">
        <v>0.0</v>
      </c>
      <c r="F229" s="109">
        <v>0.0</v>
      </c>
      <c r="G229" s="110">
        <v>0.0</v>
      </c>
    </row>
    <row r="230" ht="22.5" customHeight="1">
      <c r="A230" s="107" t="s">
        <v>467</v>
      </c>
      <c r="B230" s="108" t="s">
        <v>468</v>
      </c>
      <c r="C230" s="109" t="s">
        <v>6</v>
      </c>
      <c r="D230" s="109">
        <v>0.0</v>
      </c>
      <c r="E230" s="109">
        <v>0.0</v>
      </c>
      <c r="F230" s="109">
        <v>0.0</v>
      </c>
      <c r="G230" s="110">
        <v>0.0</v>
      </c>
    </row>
    <row r="231" ht="22.5" customHeight="1">
      <c r="A231" s="107" t="s">
        <v>469</v>
      </c>
      <c r="B231" s="108" t="s">
        <v>470</v>
      </c>
      <c r="C231" s="109" t="s">
        <v>6</v>
      </c>
      <c r="D231" s="109">
        <v>0.0</v>
      </c>
      <c r="E231" s="109">
        <v>0.0</v>
      </c>
      <c r="F231" s="109">
        <v>0.0</v>
      </c>
      <c r="G231" s="110">
        <v>0.0</v>
      </c>
    </row>
    <row r="232" ht="22.5" customHeight="1">
      <c r="A232" s="107" t="s">
        <v>471</v>
      </c>
      <c r="B232" s="108" t="s">
        <v>472</v>
      </c>
      <c r="C232" s="109" t="s">
        <v>6</v>
      </c>
      <c r="D232" s="109">
        <v>0.0</v>
      </c>
      <c r="E232" s="109">
        <v>0.0</v>
      </c>
      <c r="F232" s="109">
        <v>0.0</v>
      </c>
      <c r="G232" s="110">
        <v>0.0</v>
      </c>
    </row>
    <row r="233" ht="22.5" customHeight="1">
      <c r="A233" s="107" t="s">
        <v>474</v>
      </c>
      <c r="B233" s="108" t="s">
        <v>475</v>
      </c>
      <c r="C233" s="109" t="s">
        <v>6</v>
      </c>
      <c r="D233" s="109">
        <v>0.0</v>
      </c>
      <c r="E233" s="109">
        <v>0.0</v>
      </c>
      <c r="F233" s="109">
        <v>0.0</v>
      </c>
      <c r="G233" s="110">
        <v>0.0</v>
      </c>
    </row>
    <row r="234" ht="22.5" customHeight="1">
      <c r="A234" s="107" t="s">
        <v>476</v>
      </c>
      <c r="B234" s="108" t="s">
        <v>477</v>
      </c>
      <c r="C234" s="109" t="s">
        <v>6</v>
      </c>
      <c r="D234" s="109">
        <v>0.0</v>
      </c>
      <c r="E234" s="109">
        <v>0.0</v>
      </c>
      <c r="F234" s="109">
        <v>0.0</v>
      </c>
      <c r="G234" s="110">
        <v>0.0</v>
      </c>
    </row>
    <row r="235" ht="22.5" customHeight="1">
      <c r="A235" s="107" t="s">
        <v>478</v>
      </c>
      <c r="B235" s="108" t="s">
        <v>479</v>
      </c>
      <c r="C235" s="109" t="s">
        <v>6</v>
      </c>
      <c r="D235" s="109">
        <v>0.0</v>
      </c>
      <c r="E235" s="109">
        <v>0.0</v>
      </c>
      <c r="F235" s="109">
        <v>0.0</v>
      </c>
      <c r="G235" s="110">
        <v>0.0</v>
      </c>
    </row>
    <row r="236" ht="22.5" customHeight="1">
      <c r="A236" s="107" t="s">
        <v>480</v>
      </c>
      <c r="B236" s="108" t="s">
        <v>481</v>
      </c>
      <c r="C236" s="109" t="s">
        <v>6</v>
      </c>
      <c r="D236" s="109">
        <v>0.0</v>
      </c>
      <c r="E236" s="109">
        <v>0.0</v>
      </c>
      <c r="F236" s="109">
        <v>0.0</v>
      </c>
      <c r="G236" s="110">
        <v>0.0</v>
      </c>
    </row>
    <row r="237" ht="22.5" customHeight="1">
      <c r="A237" s="107" t="s">
        <v>482</v>
      </c>
      <c r="B237" s="108" t="s">
        <v>483</v>
      </c>
      <c r="C237" s="109" t="s">
        <v>6</v>
      </c>
      <c r="D237" s="109">
        <v>0.0</v>
      </c>
      <c r="E237" s="109">
        <v>0.0</v>
      </c>
      <c r="F237" s="109">
        <v>0.0</v>
      </c>
      <c r="G237" s="110">
        <v>0.0</v>
      </c>
    </row>
    <row r="238" ht="22.5" customHeight="1">
      <c r="A238" s="107" t="s">
        <v>484</v>
      </c>
      <c r="B238" s="108" t="s">
        <v>485</v>
      </c>
      <c r="C238" s="109" t="s">
        <v>6</v>
      </c>
      <c r="D238" s="109">
        <v>0.0</v>
      </c>
      <c r="E238" s="109">
        <v>0.0</v>
      </c>
      <c r="F238" s="109">
        <v>0.0</v>
      </c>
      <c r="G238" s="110">
        <v>0.0</v>
      </c>
    </row>
    <row r="239" ht="22.5" customHeight="1">
      <c r="A239" s="107" t="s">
        <v>486</v>
      </c>
      <c r="B239" s="108" t="s">
        <v>487</v>
      </c>
      <c r="C239" s="109" t="s">
        <v>6</v>
      </c>
      <c r="D239" s="109">
        <v>0.0</v>
      </c>
      <c r="E239" s="109">
        <v>0.0</v>
      </c>
      <c r="F239" s="109">
        <v>0.0</v>
      </c>
      <c r="G239" s="110">
        <v>0.0</v>
      </c>
    </row>
    <row r="240" ht="22.5" customHeight="1">
      <c r="A240" s="107" t="s">
        <v>488</v>
      </c>
      <c r="B240" s="108" t="s">
        <v>489</v>
      </c>
      <c r="C240" s="109" t="s">
        <v>6</v>
      </c>
      <c r="D240" s="109">
        <v>0.0</v>
      </c>
      <c r="E240" s="109">
        <v>0.0</v>
      </c>
      <c r="F240" s="109">
        <v>0.0</v>
      </c>
      <c r="G240" s="110">
        <v>0.0</v>
      </c>
    </row>
    <row r="241" ht="22.5" customHeight="1">
      <c r="A241" s="107"/>
      <c r="B241" s="108"/>
      <c r="C241" s="109"/>
      <c r="D241" s="109" t="s">
        <v>3</v>
      </c>
      <c r="E241" s="109" t="s">
        <v>3</v>
      </c>
      <c r="F241" s="109" t="s">
        <v>3</v>
      </c>
      <c r="G241" s="110" t="s">
        <v>3</v>
      </c>
    </row>
    <row r="242" ht="22.5" customHeight="1">
      <c r="A242" s="107"/>
      <c r="B242" s="108"/>
      <c r="C242" s="109"/>
      <c r="D242" s="109" t="s">
        <v>3</v>
      </c>
      <c r="E242" s="109" t="s">
        <v>3</v>
      </c>
      <c r="F242" s="109" t="s">
        <v>3</v>
      </c>
      <c r="G242" s="110" t="s">
        <v>3</v>
      </c>
    </row>
    <row r="243" ht="22.5" customHeight="1">
      <c r="A243" s="107"/>
      <c r="B243" s="108"/>
      <c r="C243" s="109"/>
      <c r="D243" s="109" t="s">
        <v>3</v>
      </c>
      <c r="E243" s="109" t="s">
        <v>3</v>
      </c>
      <c r="F243" s="109" t="s">
        <v>3</v>
      </c>
      <c r="G243" s="110" t="s">
        <v>3</v>
      </c>
    </row>
    <row r="244" ht="22.5" customHeight="1">
      <c r="A244" s="107"/>
      <c r="B244" s="108"/>
      <c r="C244" s="109"/>
      <c r="D244" s="109" t="s">
        <v>3</v>
      </c>
      <c r="E244" s="109" t="s">
        <v>3</v>
      </c>
      <c r="F244" s="109" t="s">
        <v>3</v>
      </c>
      <c r="G244" s="110" t="s">
        <v>3</v>
      </c>
    </row>
    <row r="245" ht="22.5" customHeight="1">
      <c r="A245" s="107"/>
      <c r="B245" s="108"/>
      <c r="C245" s="109"/>
      <c r="D245" s="109" t="s">
        <v>3</v>
      </c>
      <c r="E245" s="109" t="s">
        <v>3</v>
      </c>
      <c r="F245" s="109" t="s">
        <v>3</v>
      </c>
      <c r="G245" s="110" t="s">
        <v>3</v>
      </c>
    </row>
    <row r="246" ht="22.5" customHeight="1">
      <c r="A246" s="107"/>
      <c r="B246" s="108"/>
      <c r="C246" s="109"/>
      <c r="D246" s="109" t="s">
        <v>3</v>
      </c>
      <c r="E246" s="109" t="s">
        <v>3</v>
      </c>
      <c r="F246" s="109" t="s">
        <v>3</v>
      </c>
      <c r="G246" s="110" t="s">
        <v>3</v>
      </c>
    </row>
    <row r="247" ht="22.5" customHeight="1">
      <c r="A247" s="107"/>
      <c r="B247" s="108"/>
      <c r="C247" s="109"/>
      <c r="D247" s="109" t="s">
        <v>3</v>
      </c>
      <c r="E247" s="109" t="s">
        <v>3</v>
      </c>
      <c r="F247" s="109" t="s">
        <v>3</v>
      </c>
      <c r="G247" s="110" t="s">
        <v>3</v>
      </c>
    </row>
    <row r="248" ht="22.5" customHeight="1">
      <c r="A248" s="107"/>
      <c r="B248" s="108"/>
      <c r="C248" s="109"/>
      <c r="D248" s="109" t="s">
        <v>3</v>
      </c>
      <c r="E248" s="109" t="s">
        <v>3</v>
      </c>
      <c r="F248" s="109" t="s">
        <v>3</v>
      </c>
      <c r="G248" s="110" t="s">
        <v>3</v>
      </c>
    </row>
    <row r="249" ht="22.5" customHeight="1">
      <c r="A249" s="107"/>
      <c r="B249" s="108"/>
      <c r="C249" s="109"/>
      <c r="D249" s="109" t="s">
        <v>3</v>
      </c>
      <c r="E249" s="109" t="s">
        <v>3</v>
      </c>
      <c r="F249" s="109" t="s">
        <v>3</v>
      </c>
      <c r="G249" s="110" t="s">
        <v>3</v>
      </c>
    </row>
    <row r="250" ht="22.5" customHeight="1">
      <c r="A250" s="107"/>
      <c r="B250" s="108"/>
      <c r="C250" s="109"/>
      <c r="D250" s="109" t="s">
        <v>3</v>
      </c>
      <c r="E250" s="109" t="s">
        <v>3</v>
      </c>
      <c r="F250" s="109" t="s">
        <v>3</v>
      </c>
      <c r="G250" s="110" t="s">
        <v>3</v>
      </c>
    </row>
    <row r="251" ht="22.5" customHeight="1">
      <c r="A251" s="107"/>
      <c r="B251" s="108"/>
      <c r="C251" s="109"/>
      <c r="D251" s="109" t="s">
        <v>3</v>
      </c>
      <c r="E251" s="109" t="s">
        <v>3</v>
      </c>
      <c r="F251" s="109" t="s">
        <v>3</v>
      </c>
      <c r="G251" s="110" t="s">
        <v>3</v>
      </c>
    </row>
    <row r="252" ht="22.5" customHeight="1">
      <c r="A252" s="107"/>
      <c r="B252" s="108"/>
      <c r="C252" s="109"/>
      <c r="D252" s="109" t="s">
        <v>3</v>
      </c>
      <c r="E252" s="109" t="s">
        <v>3</v>
      </c>
      <c r="F252" s="109" t="s">
        <v>3</v>
      </c>
      <c r="G252" s="110" t="s">
        <v>3</v>
      </c>
    </row>
    <row r="253" ht="22.5" customHeight="1">
      <c r="A253" s="107"/>
      <c r="B253" s="108"/>
      <c r="C253" s="109"/>
      <c r="D253" s="109" t="s">
        <v>3</v>
      </c>
      <c r="E253" s="109" t="s">
        <v>3</v>
      </c>
      <c r="F253" s="109" t="s">
        <v>3</v>
      </c>
      <c r="G253" s="110" t="s">
        <v>3</v>
      </c>
    </row>
    <row r="254" ht="22.5" customHeight="1">
      <c r="A254" s="107"/>
      <c r="B254" s="108"/>
      <c r="C254" s="109"/>
      <c r="D254" s="109" t="s">
        <v>3</v>
      </c>
      <c r="E254" s="109" t="s">
        <v>3</v>
      </c>
      <c r="F254" s="109" t="s">
        <v>3</v>
      </c>
      <c r="G254" s="110" t="s">
        <v>3</v>
      </c>
    </row>
    <row r="255" ht="22.5" customHeight="1">
      <c r="A255" s="107"/>
      <c r="B255" s="108"/>
      <c r="C255" s="109"/>
      <c r="D255" s="109" t="s">
        <v>3</v>
      </c>
      <c r="E255" s="109" t="s">
        <v>3</v>
      </c>
      <c r="F255" s="109" t="s">
        <v>3</v>
      </c>
      <c r="G255" s="110" t="s">
        <v>3</v>
      </c>
    </row>
    <row r="256" ht="22.5" customHeight="1">
      <c r="A256" s="107"/>
      <c r="B256" s="108"/>
      <c r="C256" s="109"/>
      <c r="D256" s="109" t="s">
        <v>3</v>
      </c>
      <c r="E256" s="109" t="s">
        <v>3</v>
      </c>
      <c r="F256" s="109" t="s">
        <v>3</v>
      </c>
      <c r="G256" s="110" t="s">
        <v>3</v>
      </c>
    </row>
    <row r="257" ht="22.5" customHeight="1">
      <c r="A257" s="107"/>
      <c r="B257" s="108"/>
      <c r="C257" s="109"/>
      <c r="D257" s="109" t="s">
        <v>3</v>
      </c>
      <c r="E257" s="109" t="s">
        <v>3</v>
      </c>
      <c r="F257" s="109" t="s">
        <v>3</v>
      </c>
      <c r="G257" s="110" t="s">
        <v>3</v>
      </c>
    </row>
    <row r="258" ht="22.5" customHeight="1">
      <c r="A258" s="107"/>
      <c r="B258" s="108"/>
      <c r="C258" s="109"/>
      <c r="D258" s="109" t="s">
        <v>3</v>
      </c>
      <c r="E258" s="109" t="s">
        <v>3</v>
      </c>
      <c r="F258" s="109" t="s">
        <v>3</v>
      </c>
      <c r="G258" s="110" t="s">
        <v>3</v>
      </c>
    </row>
    <row r="259" ht="22.5" customHeight="1">
      <c r="A259" s="107"/>
      <c r="B259" s="108"/>
      <c r="C259" s="109"/>
      <c r="D259" s="109" t="s">
        <v>3</v>
      </c>
      <c r="E259" s="109" t="s">
        <v>3</v>
      </c>
      <c r="F259" s="109" t="s">
        <v>3</v>
      </c>
      <c r="G259" s="110" t="s">
        <v>3</v>
      </c>
    </row>
    <row r="260" ht="22.5" customHeight="1">
      <c r="A260" s="107"/>
      <c r="B260" s="108"/>
      <c r="C260" s="109"/>
      <c r="D260" s="109" t="s">
        <v>3</v>
      </c>
      <c r="E260" s="109" t="s">
        <v>3</v>
      </c>
      <c r="F260" s="109" t="s">
        <v>3</v>
      </c>
      <c r="G260" s="110" t="s">
        <v>3</v>
      </c>
    </row>
    <row r="261" ht="22.5" customHeight="1">
      <c r="A261" s="107"/>
      <c r="B261" s="108"/>
      <c r="C261" s="109"/>
      <c r="D261" s="109" t="s">
        <v>3</v>
      </c>
      <c r="E261" s="109" t="s">
        <v>3</v>
      </c>
      <c r="F261" s="109" t="s">
        <v>3</v>
      </c>
      <c r="G261" s="110" t="s">
        <v>3</v>
      </c>
    </row>
    <row r="262" ht="22.5" customHeight="1">
      <c r="A262" s="107"/>
      <c r="B262" s="108"/>
      <c r="C262" s="109"/>
      <c r="D262" s="109" t="s">
        <v>3</v>
      </c>
      <c r="E262" s="109" t="s">
        <v>3</v>
      </c>
      <c r="F262" s="109" t="s">
        <v>3</v>
      </c>
      <c r="G262" s="110" t="s">
        <v>3</v>
      </c>
    </row>
    <row r="263" ht="22.5" customHeight="1">
      <c r="A263" s="107"/>
      <c r="B263" s="108"/>
      <c r="C263" s="109"/>
      <c r="D263" s="109" t="s">
        <v>3</v>
      </c>
      <c r="E263" s="109" t="s">
        <v>3</v>
      </c>
      <c r="F263" s="109" t="s">
        <v>3</v>
      </c>
      <c r="G263" s="110" t="s">
        <v>3</v>
      </c>
    </row>
    <row r="264" ht="22.5" customHeight="1">
      <c r="A264" s="107"/>
      <c r="B264" s="108"/>
      <c r="C264" s="109"/>
      <c r="D264" s="109" t="s">
        <v>3</v>
      </c>
      <c r="E264" s="109" t="s">
        <v>3</v>
      </c>
      <c r="F264" s="109" t="s">
        <v>3</v>
      </c>
      <c r="G264" s="110" t="s">
        <v>3</v>
      </c>
    </row>
    <row r="265" ht="22.5" customHeight="1">
      <c r="A265" s="107"/>
      <c r="B265" s="108"/>
      <c r="C265" s="109"/>
      <c r="D265" s="109" t="s">
        <v>3</v>
      </c>
      <c r="E265" s="109" t="s">
        <v>3</v>
      </c>
      <c r="F265" s="109" t="s">
        <v>3</v>
      </c>
      <c r="G265" s="110" t="s">
        <v>3</v>
      </c>
    </row>
    <row r="266" ht="22.5" customHeight="1">
      <c r="A266" s="107"/>
      <c r="B266" s="108"/>
      <c r="C266" s="109"/>
      <c r="D266" s="109" t="s">
        <v>3</v>
      </c>
      <c r="E266" s="109" t="s">
        <v>3</v>
      </c>
      <c r="F266" s="109" t="s">
        <v>3</v>
      </c>
      <c r="G266" s="110" t="s">
        <v>3</v>
      </c>
    </row>
    <row r="267" ht="22.5" customHeight="1">
      <c r="A267" s="107"/>
      <c r="B267" s="108"/>
      <c r="C267" s="109"/>
      <c r="D267" s="109" t="s">
        <v>3</v>
      </c>
      <c r="E267" s="109" t="s">
        <v>3</v>
      </c>
      <c r="F267" s="109" t="s">
        <v>3</v>
      </c>
      <c r="G267" s="110" t="s">
        <v>3</v>
      </c>
    </row>
    <row r="268" ht="22.5" customHeight="1">
      <c r="A268" s="107"/>
      <c r="B268" s="108"/>
      <c r="C268" s="109"/>
      <c r="D268" s="109" t="s">
        <v>3</v>
      </c>
      <c r="E268" s="109" t="s">
        <v>3</v>
      </c>
      <c r="F268" s="109" t="s">
        <v>3</v>
      </c>
      <c r="G268" s="110" t="s">
        <v>3</v>
      </c>
    </row>
    <row r="269" ht="22.5" customHeight="1">
      <c r="A269" s="107"/>
      <c r="B269" s="108"/>
      <c r="C269" s="109"/>
      <c r="D269" s="109" t="s">
        <v>3</v>
      </c>
      <c r="E269" s="109" t="s">
        <v>3</v>
      </c>
      <c r="F269" s="109" t="s">
        <v>3</v>
      </c>
      <c r="G269" s="110" t="s">
        <v>3</v>
      </c>
    </row>
    <row r="270" ht="22.5" customHeight="1">
      <c r="A270" s="107"/>
      <c r="B270" s="108"/>
      <c r="C270" s="109"/>
      <c r="D270" s="109" t="s">
        <v>3</v>
      </c>
      <c r="E270" s="109" t="s">
        <v>3</v>
      </c>
      <c r="F270" s="109" t="s">
        <v>3</v>
      </c>
      <c r="G270" s="110" t="s">
        <v>3</v>
      </c>
    </row>
    <row r="271" ht="22.5" customHeight="1">
      <c r="A271" s="107"/>
      <c r="B271" s="108"/>
      <c r="C271" s="109"/>
      <c r="D271" s="109" t="s">
        <v>3</v>
      </c>
      <c r="E271" s="109" t="s">
        <v>3</v>
      </c>
      <c r="F271" s="109" t="s">
        <v>3</v>
      </c>
      <c r="G271" s="110" t="s">
        <v>3</v>
      </c>
    </row>
    <row r="272" ht="22.5" customHeight="1">
      <c r="A272" s="107"/>
      <c r="B272" s="108"/>
      <c r="C272" s="109"/>
      <c r="D272" s="109" t="s">
        <v>3</v>
      </c>
      <c r="E272" s="109" t="s">
        <v>3</v>
      </c>
      <c r="F272" s="109" t="s">
        <v>3</v>
      </c>
      <c r="G272" s="110" t="s">
        <v>3</v>
      </c>
    </row>
    <row r="273" ht="22.5" customHeight="1">
      <c r="A273" s="107"/>
      <c r="B273" s="108"/>
      <c r="C273" s="109"/>
      <c r="D273" s="109" t="s">
        <v>3</v>
      </c>
      <c r="E273" s="109" t="s">
        <v>3</v>
      </c>
      <c r="F273" s="109" t="s">
        <v>3</v>
      </c>
      <c r="G273" s="110" t="s">
        <v>3</v>
      </c>
    </row>
    <row r="274" ht="22.5" customHeight="1">
      <c r="A274" s="107"/>
      <c r="B274" s="108"/>
      <c r="C274" s="109"/>
      <c r="D274" s="109" t="s">
        <v>3</v>
      </c>
      <c r="E274" s="109" t="s">
        <v>3</v>
      </c>
      <c r="F274" s="109" t="s">
        <v>3</v>
      </c>
      <c r="G274" s="110" t="s">
        <v>3</v>
      </c>
    </row>
    <row r="275" ht="22.5" customHeight="1">
      <c r="A275" s="107"/>
      <c r="B275" s="108"/>
      <c r="C275" s="109"/>
      <c r="D275" s="109" t="s">
        <v>3</v>
      </c>
      <c r="E275" s="109" t="s">
        <v>3</v>
      </c>
      <c r="F275" s="109" t="s">
        <v>3</v>
      </c>
      <c r="G275" s="110" t="s">
        <v>3</v>
      </c>
    </row>
    <row r="276" ht="22.5" customHeight="1">
      <c r="A276" s="107"/>
      <c r="B276" s="108"/>
      <c r="C276" s="109"/>
      <c r="D276" s="109" t="s">
        <v>3</v>
      </c>
      <c r="E276" s="109" t="s">
        <v>3</v>
      </c>
      <c r="F276" s="109" t="s">
        <v>3</v>
      </c>
      <c r="G276" s="110" t="s">
        <v>3</v>
      </c>
    </row>
    <row r="277" ht="22.5" customHeight="1">
      <c r="A277" s="107"/>
      <c r="B277" s="108"/>
      <c r="C277" s="109"/>
      <c r="D277" s="109" t="s">
        <v>3</v>
      </c>
      <c r="E277" s="109" t="s">
        <v>3</v>
      </c>
      <c r="F277" s="109" t="s">
        <v>3</v>
      </c>
      <c r="G277" s="110" t="s">
        <v>3</v>
      </c>
    </row>
    <row r="278" ht="22.5" customHeight="1">
      <c r="A278" s="107"/>
      <c r="B278" s="108"/>
      <c r="C278" s="109"/>
      <c r="D278" s="109" t="s">
        <v>3</v>
      </c>
      <c r="E278" s="109" t="s">
        <v>3</v>
      </c>
      <c r="F278" s="109" t="s">
        <v>3</v>
      </c>
      <c r="G278" s="110" t="s">
        <v>3</v>
      </c>
    </row>
    <row r="279" ht="22.5" customHeight="1">
      <c r="A279" s="107"/>
      <c r="B279" s="108"/>
      <c r="C279" s="109"/>
      <c r="D279" s="109" t="s">
        <v>3</v>
      </c>
      <c r="E279" s="109" t="s">
        <v>3</v>
      </c>
      <c r="F279" s="109" t="s">
        <v>3</v>
      </c>
      <c r="G279" s="110" t="s">
        <v>3</v>
      </c>
    </row>
    <row r="280" ht="22.5" customHeight="1">
      <c r="A280" s="107"/>
      <c r="B280" s="108"/>
      <c r="C280" s="109"/>
      <c r="D280" s="109" t="s">
        <v>3</v>
      </c>
      <c r="E280" s="109" t="s">
        <v>3</v>
      </c>
      <c r="F280" s="109" t="s">
        <v>3</v>
      </c>
      <c r="G280" s="110" t="s">
        <v>3</v>
      </c>
    </row>
    <row r="281" ht="22.5" customHeight="1">
      <c r="A281" s="107"/>
      <c r="B281" s="108"/>
      <c r="C281" s="109"/>
      <c r="D281" s="109" t="s">
        <v>3</v>
      </c>
      <c r="E281" s="109" t="s">
        <v>3</v>
      </c>
      <c r="F281" s="109" t="s">
        <v>3</v>
      </c>
      <c r="G281" s="110" t="s">
        <v>3</v>
      </c>
    </row>
    <row r="282" ht="22.5" customHeight="1">
      <c r="A282" s="107"/>
      <c r="B282" s="108"/>
      <c r="C282" s="109"/>
      <c r="D282" s="109" t="s">
        <v>3</v>
      </c>
      <c r="E282" s="109" t="s">
        <v>3</v>
      </c>
      <c r="F282" s="109" t="s">
        <v>3</v>
      </c>
      <c r="G282" s="110" t="s">
        <v>3</v>
      </c>
    </row>
    <row r="283" ht="22.5" customHeight="1">
      <c r="A283" s="107"/>
      <c r="B283" s="108"/>
      <c r="C283" s="109"/>
      <c r="D283" s="109" t="s">
        <v>3</v>
      </c>
      <c r="E283" s="109" t="s">
        <v>3</v>
      </c>
      <c r="F283" s="109" t="s">
        <v>3</v>
      </c>
      <c r="G283" s="110" t="s">
        <v>3</v>
      </c>
    </row>
    <row r="284" ht="22.5" customHeight="1">
      <c r="A284" s="107"/>
      <c r="B284" s="108"/>
      <c r="C284" s="109"/>
      <c r="D284" s="109" t="s">
        <v>3</v>
      </c>
      <c r="E284" s="109" t="s">
        <v>3</v>
      </c>
      <c r="F284" s="109" t="s">
        <v>3</v>
      </c>
      <c r="G284" s="110" t="s">
        <v>3</v>
      </c>
    </row>
    <row r="285" ht="22.5" customHeight="1">
      <c r="A285" s="107"/>
      <c r="B285" s="108"/>
      <c r="C285" s="109"/>
      <c r="D285" s="109" t="s">
        <v>3</v>
      </c>
      <c r="E285" s="109" t="s">
        <v>3</v>
      </c>
      <c r="F285" s="109" t="s">
        <v>3</v>
      </c>
      <c r="G285" s="110" t="s">
        <v>3</v>
      </c>
    </row>
    <row r="286" ht="22.5" customHeight="1">
      <c r="A286" s="107"/>
      <c r="B286" s="108"/>
      <c r="C286" s="109"/>
      <c r="D286" s="109" t="s">
        <v>3</v>
      </c>
      <c r="E286" s="109" t="s">
        <v>3</v>
      </c>
      <c r="F286" s="109" t="s">
        <v>3</v>
      </c>
      <c r="G286" s="110" t="s">
        <v>3</v>
      </c>
    </row>
    <row r="287" ht="22.5" customHeight="1">
      <c r="A287" s="107"/>
      <c r="B287" s="108"/>
      <c r="C287" s="109"/>
      <c r="D287" s="109" t="s">
        <v>3</v>
      </c>
      <c r="E287" s="109" t="s">
        <v>3</v>
      </c>
      <c r="F287" s="109" t="s">
        <v>3</v>
      </c>
      <c r="G287" s="110" t="s">
        <v>3</v>
      </c>
    </row>
    <row r="288" ht="22.5" customHeight="1">
      <c r="A288" s="107"/>
      <c r="B288" s="108"/>
      <c r="C288" s="109"/>
      <c r="D288" s="109" t="s">
        <v>3</v>
      </c>
      <c r="E288" s="109" t="s">
        <v>3</v>
      </c>
      <c r="F288" s="109" t="s">
        <v>3</v>
      </c>
      <c r="G288" s="110" t="s">
        <v>3</v>
      </c>
    </row>
    <row r="289" ht="22.5" customHeight="1">
      <c r="A289" s="107"/>
      <c r="B289" s="108"/>
      <c r="C289" s="109"/>
      <c r="D289" s="109" t="s">
        <v>3</v>
      </c>
      <c r="E289" s="109" t="s">
        <v>3</v>
      </c>
      <c r="F289" s="109" t="s">
        <v>3</v>
      </c>
      <c r="G289" s="110" t="s">
        <v>3</v>
      </c>
    </row>
    <row r="290" ht="22.5" customHeight="1">
      <c r="A290" s="107"/>
      <c r="B290" s="108"/>
      <c r="C290" s="109"/>
      <c r="D290" s="109" t="s">
        <v>3</v>
      </c>
      <c r="E290" s="109" t="s">
        <v>3</v>
      </c>
      <c r="F290" s="109" t="s">
        <v>3</v>
      </c>
      <c r="G290" s="110" t="s">
        <v>3</v>
      </c>
    </row>
    <row r="291" ht="22.5" customHeight="1">
      <c r="A291" s="107"/>
      <c r="B291" s="108"/>
      <c r="C291" s="109"/>
      <c r="D291" s="109" t="s">
        <v>3</v>
      </c>
      <c r="E291" s="109" t="s">
        <v>3</v>
      </c>
      <c r="F291" s="109" t="s">
        <v>3</v>
      </c>
      <c r="G291" s="110" t="s">
        <v>3</v>
      </c>
    </row>
    <row r="292" ht="22.5" customHeight="1">
      <c r="A292" s="107"/>
      <c r="B292" s="108"/>
      <c r="C292" s="109"/>
      <c r="D292" s="109" t="s">
        <v>3</v>
      </c>
      <c r="E292" s="109" t="s">
        <v>3</v>
      </c>
      <c r="F292" s="109" t="s">
        <v>3</v>
      </c>
      <c r="G292" s="110" t="s">
        <v>3</v>
      </c>
    </row>
    <row r="293" ht="22.5" customHeight="1">
      <c r="A293" s="107"/>
      <c r="B293" s="108"/>
      <c r="C293" s="109"/>
      <c r="D293" s="109" t="s">
        <v>3</v>
      </c>
      <c r="E293" s="109" t="s">
        <v>3</v>
      </c>
      <c r="F293" s="109" t="s">
        <v>3</v>
      </c>
      <c r="G293" s="110" t="s">
        <v>3</v>
      </c>
    </row>
    <row r="294" ht="22.5" customHeight="1">
      <c r="A294" s="107"/>
      <c r="B294" s="108"/>
      <c r="C294" s="109"/>
      <c r="D294" s="109" t="s">
        <v>3</v>
      </c>
      <c r="E294" s="109" t="s">
        <v>3</v>
      </c>
      <c r="F294" s="109" t="s">
        <v>3</v>
      </c>
      <c r="G294" s="110" t="s">
        <v>3</v>
      </c>
    </row>
    <row r="295" ht="22.5" customHeight="1">
      <c r="A295" s="107"/>
      <c r="B295" s="108"/>
      <c r="C295" s="109"/>
      <c r="D295" s="109" t="s">
        <v>3</v>
      </c>
      <c r="E295" s="109" t="s">
        <v>3</v>
      </c>
      <c r="F295" s="109" t="s">
        <v>3</v>
      </c>
      <c r="G295" s="110" t="s">
        <v>3</v>
      </c>
    </row>
    <row r="296" ht="22.5" customHeight="1">
      <c r="A296" s="107"/>
      <c r="B296" s="108"/>
      <c r="C296" s="109"/>
      <c r="D296" s="109" t="s">
        <v>3</v>
      </c>
      <c r="E296" s="109" t="s">
        <v>3</v>
      </c>
      <c r="F296" s="109" t="s">
        <v>3</v>
      </c>
      <c r="G296" s="110" t="s">
        <v>3</v>
      </c>
    </row>
    <row r="297" ht="22.5" customHeight="1">
      <c r="A297" s="107"/>
      <c r="B297" s="108"/>
      <c r="C297" s="109"/>
      <c r="D297" s="109" t="s">
        <v>3</v>
      </c>
      <c r="E297" s="109" t="s">
        <v>3</v>
      </c>
      <c r="F297" s="109" t="s">
        <v>3</v>
      </c>
      <c r="G297" s="110" t="s">
        <v>3</v>
      </c>
    </row>
    <row r="298" ht="22.5" customHeight="1">
      <c r="A298" s="107"/>
      <c r="B298" s="108"/>
      <c r="C298" s="109"/>
      <c r="D298" s="109" t="s">
        <v>3</v>
      </c>
      <c r="E298" s="109" t="s">
        <v>3</v>
      </c>
      <c r="F298" s="109" t="s">
        <v>3</v>
      </c>
      <c r="G298" s="110" t="s">
        <v>3</v>
      </c>
    </row>
    <row r="299" ht="22.5" customHeight="1">
      <c r="A299" s="107"/>
      <c r="B299" s="108"/>
      <c r="C299" s="109"/>
      <c r="D299" s="109" t="s">
        <v>3</v>
      </c>
      <c r="E299" s="109" t="s">
        <v>3</v>
      </c>
      <c r="F299" s="109" t="s">
        <v>3</v>
      </c>
      <c r="G299" s="110" t="s">
        <v>3</v>
      </c>
    </row>
    <row r="300" ht="22.5" customHeight="1">
      <c r="A300" s="107"/>
      <c r="B300" s="108"/>
      <c r="C300" s="109"/>
      <c r="D300" s="109" t="s">
        <v>3</v>
      </c>
      <c r="E300" s="109" t="s">
        <v>3</v>
      </c>
      <c r="F300" s="109" t="s">
        <v>3</v>
      </c>
      <c r="G300" s="110" t="s">
        <v>3</v>
      </c>
    </row>
    <row r="301" ht="22.5" customHeight="1">
      <c r="A301" s="107"/>
      <c r="B301" s="108"/>
      <c r="C301" s="109"/>
      <c r="D301" s="109" t="s">
        <v>3</v>
      </c>
      <c r="E301" s="109" t="s">
        <v>3</v>
      </c>
      <c r="F301" s="109" t="s">
        <v>3</v>
      </c>
      <c r="G301" s="110" t="s">
        <v>3</v>
      </c>
    </row>
    <row r="302" ht="22.5" customHeight="1">
      <c r="A302" s="107"/>
      <c r="B302" s="108"/>
      <c r="C302" s="109"/>
      <c r="D302" s="109" t="s">
        <v>3</v>
      </c>
      <c r="E302" s="109" t="s">
        <v>3</v>
      </c>
      <c r="F302" s="109" t="s">
        <v>3</v>
      </c>
      <c r="G302" s="110" t="s">
        <v>3</v>
      </c>
    </row>
    <row r="303" ht="22.5" customHeight="1">
      <c r="A303" s="107"/>
      <c r="B303" s="108"/>
      <c r="C303" s="109"/>
      <c r="D303" s="109" t="s">
        <v>3</v>
      </c>
      <c r="E303" s="109" t="s">
        <v>3</v>
      </c>
      <c r="F303" s="109" t="s">
        <v>3</v>
      </c>
      <c r="G303" s="110" t="s">
        <v>3</v>
      </c>
    </row>
    <row r="304" ht="22.5" customHeight="1">
      <c r="A304" s="107"/>
      <c r="B304" s="108"/>
      <c r="C304" s="109"/>
      <c r="D304" s="109" t="s">
        <v>3</v>
      </c>
      <c r="E304" s="109" t="s">
        <v>3</v>
      </c>
      <c r="F304" s="109" t="s">
        <v>3</v>
      </c>
      <c r="G304" s="110" t="s">
        <v>3</v>
      </c>
    </row>
    <row r="305" ht="22.5" customHeight="1">
      <c r="A305" s="107"/>
      <c r="B305" s="108"/>
      <c r="C305" s="109"/>
      <c r="D305" s="109" t="s">
        <v>3</v>
      </c>
      <c r="E305" s="109" t="s">
        <v>3</v>
      </c>
      <c r="F305" s="109" t="s">
        <v>3</v>
      </c>
      <c r="G305" s="110" t="s">
        <v>3</v>
      </c>
    </row>
    <row r="306" ht="22.5" customHeight="1">
      <c r="A306" s="107"/>
      <c r="B306" s="108"/>
      <c r="C306" s="109"/>
      <c r="D306" s="109" t="s">
        <v>3</v>
      </c>
      <c r="E306" s="109" t="s">
        <v>3</v>
      </c>
      <c r="F306" s="109" t="s">
        <v>3</v>
      </c>
      <c r="G306" s="110" t="s">
        <v>3</v>
      </c>
    </row>
    <row r="307" ht="22.5" customHeight="1">
      <c r="A307" s="107"/>
      <c r="B307" s="108"/>
      <c r="C307" s="109"/>
      <c r="D307" s="109" t="s">
        <v>3</v>
      </c>
      <c r="E307" s="109" t="s">
        <v>3</v>
      </c>
      <c r="F307" s="109" t="s">
        <v>3</v>
      </c>
      <c r="G307" s="110" t="s">
        <v>3</v>
      </c>
    </row>
    <row r="308" ht="22.5" customHeight="1">
      <c r="A308" s="107"/>
      <c r="B308" s="108"/>
      <c r="C308" s="109"/>
      <c r="D308" s="109" t="s">
        <v>3</v>
      </c>
      <c r="E308" s="109" t="s">
        <v>3</v>
      </c>
      <c r="F308" s="109" t="s">
        <v>3</v>
      </c>
      <c r="G308" s="110" t="s">
        <v>3</v>
      </c>
    </row>
    <row r="309" ht="22.5" customHeight="1">
      <c r="A309" s="107"/>
      <c r="B309" s="108"/>
      <c r="C309" s="109"/>
      <c r="D309" s="109" t="s">
        <v>3</v>
      </c>
      <c r="E309" s="109" t="s">
        <v>3</v>
      </c>
      <c r="F309" s="109" t="s">
        <v>3</v>
      </c>
      <c r="G309" s="110" t="s">
        <v>3</v>
      </c>
    </row>
    <row r="310" ht="22.5" customHeight="1">
      <c r="A310" s="107"/>
      <c r="B310" s="108"/>
      <c r="C310" s="109"/>
      <c r="D310" s="109" t="s">
        <v>3</v>
      </c>
      <c r="E310" s="109" t="s">
        <v>3</v>
      </c>
      <c r="F310" s="109" t="s">
        <v>3</v>
      </c>
      <c r="G310" s="110" t="s">
        <v>3</v>
      </c>
    </row>
    <row r="311" ht="22.5" customHeight="1">
      <c r="A311" s="107"/>
      <c r="B311" s="108"/>
      <c r="C311" s="109"/>
      <c r="D311" s="109" t="s">
        <v>3</v>
      </c>
      <c r="E311" s="109" t="s">
        <v>3</v>
      </c>
      <c r="F311" s="109" t="s">
        <v>3</v>
      </c>
      <c r="G311" s="110" t="s">
        <v>3</v>
      </c>
    </row>
    <row r="312" ht="22.5" customHeight="1">
      <c r="A312" s="107"/>
      <c r="B312" s="108"/>
      <c r="C312" s="109"/>
      <c r="D312" s="109" t="s">
        <v>3</v>
      </c>
      <c r="E312" s="109" t="s">
        <v>3</v>
      </c>
      <c r="F312" s="109" t="s">
        <v>3</v>
      </c>
      <c r="G312" s="110" t="s">
        <v>3</v>
      </c>
    </row>
    <row r="313" ht="22.5" customHeight="1">
      <c r="A313" s="107"/>
      <c r="B313" s="108"/>
      <c r="C313" s="109"/>
      <c r="D313" s="109" t="s">
        <v>3</v>
      </c>
      <c r="E313" s="109" t="s">
        <v>3</v>
      </c>
      <c r="F313" s="109" t="s">
        <v>3</v>
      </c>
      <c r="G313" s="110" t="s">
        <v>3</v>
      </c>
    </row>
    <row r="314" ht="22.5" customHeight="1">
      <c r="A314" s="107"/>
      <c r="B314" s="108"/>
      <c r="C314" s="109"/>
      <c r="D314" s="109" t="s">
        <v>3</v>
      </c>
      <c r="E314" s="109" t="s">
        <v>3</v>
      </c>
      <c r="F314" s="109" t="s">
        <v>3</v>
      </c>
      <c r="G314" s="110" t="s">
        <v>3</v>
      </c>
    </row>
    <row r="315" ht="22.5" customHeight="1">
      <c r="A315" s="107"/>
      <c r="B315" s="108"/>
      <c r="C315" s="109"/>
      <c r="D315" s="109" t="s">
        <v>3</v>
      </c>
      <c r="E315" s="109" t="s">
        <v>3</v>
      </c>
      <c r="F315" s="109" t="s">
        <v>3</v>
      </c>
      <c r="G315" s="110" t="s">
        <v>3</v>
      </c>
    </row>
    <row r="316" ht="22.5" customHeight="1">
      <c r="A316" s="107"/>
      <c r="B316" s="108"/>
      <c r="C316" s="109"/>
      <c r="D316" s="109" t="s">
        <v>3</v>
      </c>
      <c r="E316" s="109" t="s">
        <v>3</v>
      </c>
      <c r="F316" s="109" t="s">
        <v>3</v>
      </c>
      <c r="G316" s="110" t="s">
        <v>3</v>
      </c>
    </row>
    <row r="317" ht="22.5" customHeight="1">
      <c r="A317" s="107"/>
      <c r="B317" s="108"/>
      <c r="C317" s="109"/>
      <c r="D317" s="109" t="s">
        <v>3</v>
      </c>
      <c r="E317" s="109" t="s">
        <v>3</v>
      </c>
      <c r="F317" s="109" t="s">
        <v>3</v>
      </c>
      <c r="G317" s="110" t="s">
        <v>3</v>
      </c>
    </row>
    <row r="318" ht="22.5" customHeight="1">
      <c r="A318" s="107"/>
      <c r="B318" s="108"/>
      <c r="C318" s="109"/>
      <c r="D318" s="109" t="s">
        <v>3</v>
      </c>
      <c r="E318" s="109" t="s">
        <v>3</v>
      </c>
      <c r="F318" s="109" t="s">
        <v>3</v>
      </c>
      <c r="G318" s="110" t="s">
        <v>3</v>
      </c>
    </row>
    <row r="319" ht="22.5" customHeight="1">
      <c r="A319" s="107"/>
      <c r="B319" s="108"/>
      <c r="C319" s="109"/>
      <c r="D319" s="109" t="s">
        <v>3</v>
      </c>
      <c r="E319" s="109" t="s">
        <v>3</v>
      </c>
      <c r="F319" s="109" t="s">
        <v>3</v>
      </c>
      <c r="G319" s="110" t="s">
        <v>3</v>
      </c>
    </row>
    <row r="320" ht="22.5" customHeight="1">
      <c r="A320" s="107"/>
      <c r="B320" s="108"/>
      <c r="C320" s="109"/>
      <c r="D320" s="109" t="s">
        <v>3</v>
      </c>
      <c r="E320" s="109" t="s">
        <v>3</v>
      </c>
      <c r="F320" s="109" t="s">
        <v>3</v>
      </c>
      <c r="G320" s="110" t="s">
        <v>3</v>
      </c>
    </row>
    <row r="321" ht="22.5" customHeight="1">
      <c r="A321" s="107"/>
      <c r="B321" s="108"/>
      <c r="C321" s="109"/>
      <c r="D321" s="109" t="s">
        <v>3</v>
      </c>
      <c r="E321" s="109" t="s">
        <v>3</v>
      </c>
      <c r="F321" s="109" t="s">
        <v>3</v>
      </c>
      <c r="G321" s="110" t="s">
        <v>3</v>
      </c>
    </row>
    <row r="322" ht="22.5" customHeight="1">
      <c r="A322" s="107"/>
      <c r="B322" s="108"/>
      <c r="C322" s="109"/>
      <c r="D322" s="109" t="s">
        <v>3</v>
      </c>
      <c r="E322" s="109" t="s">
        <v>3</v>
      </c>
      <c r="F322" s="109" t="s">
        <v>3</v>
      </c>
      <c r="G322" s="110" t="s">
        <v>3</v>
      </c>
    </row>
    <row r="323" ht="22.5" customHeight="1">
      <c r="A323" s="107"/>
      <c r="B323" s="108"/>
      <c r="C323" s="109"/>
      <c r="D323" s="109" t="s">
        <v>3</v>
      </c>
      <c r="E323" s="109" t="s">
        <v>3</v>
      </c>
      <c r="F323" s="109" t="s">
        <v>3</v>
      </c>
      <c r="G323" s="110" t="s">
        <v>3</v>
      </c>
    </row>
    <row r="324" ht="22.5" customHeight="1">
      <c r="A324" s="107"/>
      <c r="B324" s="108"/>
      <c r="C324" s="109"/>
      <c r="D324" s="109" t="s">
        <v>3</v>
      </c>
      <c r="E324" s="109" t="s">
        <v>3</v>
      </c>
      <c r="F324" s="109" t="s">
        <v>3</v>
      </c>
      <c r="G324" s="110" t="s">
        <v>3</v>
      </c>
    </row>
    <row r="325" ht="22.5" customHeight="1">
      <c r="A325" s="107"/>
      <c r="B325" s="108"/>
      <c r="C325" s="109"/>
      <c r="D325" s="109" t="s">
        <v>3</v>
      </c>
      <c r="E325" s="109" t="s">
        <v>3</v>
      </c>
      <c r="F325" s="109" t="s">
        <v>3</v>
      </c>
      <c r="G325" s="110" t="s">
        <v>3</v>
      </c>
    </row>
    <row r="326" ht="22.5" customHeight="1">
      <c r="A326" s="107"/>
      <c r="B326" s="108"/>
      <c r="C326" s="109"/>
      <c r="D326" s="109" t="s">
        <v>3</v>
      </c>
      <c r="E326" s="109" t="s">
        <v>3</v>
      </c>
      <c r="F326" s="109" t="s">
        <v>3</v>
      </c>
      <c r="G326" s="110" t="s">
        <v>3</v>
      </c>
    </row>
    <row r="327" ht="22.5" customHeight="1">
      <c r="A327" s="107"/>
      <c r="B327" s="108"/>
      <c r="C327" s="109"/>
      <c r="D327" s="109" t="s">
        <v>3</v>
      </c>
      <c r="E327" s="109" t="s">
        <v>3</v>
      </c>
      <c r="F327" s="109" t="s">
        <v>3</v>
      </c>
      <c r="G327" s="110" t="s">
        <v>3</v>
      </c>
    </row>
    <row r="328" ht="22.5" customHeight="1">
      <c r="A328" s="107"/>
      <c r="B328" s="108"/>
      <c r="C328" s="109"/>
      <c r="D328" s="109" t="s">
        <v>3</v>
      </c>
      <c r="E328" s="109" t="s">
        <v>3</v>
      </c>
      <c r="F328" s="109" t="s">
        <v>3</v>
      </c>
      <c r="G328" s="110" t="s">
        <v>3</v>
      </c>
    </row>
    <row r="329" ht="22.5" customHeight="1">
      <c r="A329" s="107"/>
      <c r="B329" s="108"/>
      <c r="C329" s="109"/>
      <c r="D329" s="109" t="s">
        <v>3</v>
      </c>
      <c r="E329" s="109" t="s">
        <v>3</v>
      </c>
      <c r="F329" s="109" t="s">
        <v>3</v>
      </c>
      <c r="G329" s="110" t="s">
        <v>3</v>
      </c>
    </row>
    <row r="330" ht="22.5" customHeight="1">
      <c r="A330" s="107"/>
      <c r="B330" s="108"/>
      <c r="C330" s="109"/>
      <c r="D330" s="109" t="s">
        <v>3</v>
      </c>
      <c r="E330" s="109" t="s">
        <v>3</v>
      </c>
      <c r="F330" s="109" t="s">
        <v>3</v>
      </c>
      <c r="G330" s="110" t="s">
        <v>3</v>
      </c>
    </row>
    <row r="331" ht="22.5" customHeight="1">
      <c r="A331" s="107"/>
      <c r="B331" s="108"/>
      <c r="C331" s="109"/>
      <c r="D331" s="109" t="s">
        <v>3</v>
      </c>
      <c r="E331" s="109" t="s">
        <v>3</v>
      </c>
      <c r="F331" s="109" t="s">
        <v>3</v>
      </c>
      <c r="G331" s="110" t="s">
        <v>3</v>
      </c>
    </row>
    <row r="332" ht="22.5" customHeight="1">
      <c r="A332" s="107"/>
      <c r="B332" s="108"/>
      <c r="C332" s="109"/>
      <c r="D332" s="109" t="s">
        <v>3</v>
      </c>
      <c r="E332" s="109" t="s">
        <v>3</v>
      </c>
      <c r="F332" s="109" t="s">
        <v>3</v>
      </c>
      <c r="G332" s="110" t="s">
        <v>3</v>
      </c>
    </row>
    <row r="333" ht="22.5" customHeight="1">
      <c r="A333" s="107"/>
      <c r="B333" s="108"/>
      <c r="C333" s="109"/>
      <c r="D333" s="109" t="s">
        <v>3</v>
      </c>
      <c r="E333" s="109" t="s">
        <v>3</v>
      </c>
      <c r="F333" s="109" t="s">
        <v>3</v>
      </c>
      <c r="G333" s="110" t="s">
        <v>3</v>
      </c>
    </row>
    <row r="334" ht="22.5" customHeight="1">
      <c r="A334" s="107"/>
      <c r="B334" s="108"/>
      <c r="C334" s="109"/>
      <c r="D334" s="109" t="s">
        <v>3</v>
      </c>
      <c r="E334" s="109" t="s">
        <v>3</v>
      </c>
      <c r="F334" s="109" t="s">
        <v>3</v>
      </c>
      <c r="G334" s="110" t="s">
        <v>3</v>
      </c>
    </row>
    <row r="335" ht="22.5" customHeight="1">
      <c r="A335" s="107"/>
      <c r="B335" s="108"/>
      <c r="C335" s="109"/>
      <c r="D335" s="109" t="s">
        <v>3</v>
      </c>
      <c r="E335" s="109" t="s">
        <v>3</v>
      </c>
      <c r="F335" s="109" t="s">
        <v>3</v>
      </c>
      <c r="G335" s="110" t="s">
        <v>3</v>
      </c>
    </row>
    <row r="336" ht="22.5" customHeight="1">
      <c r="A336" s="107"/>
      <c r="B336" s="108"/>
      <c r="C336" s="109"/>
      <c r="D336" s="109" t="s">
        <v>3</v>
      </c>
      <c r="E336" s="109" t="s">
        <v>3</v>
      </c>
      <c r="F336" s="109" t="s">
        <v>3</v>
      </c>
      <c r="G336" s="110" t="s">
        <v>3</v>
      </c>
    </row>
    <row r="337" ht="22.5" customHeight="1">
      <c r="A337" s="107"/>
      <c r="B337" s="108"/>
      <c r="C337" s="109"/>
      <c r="D337" s="109" t="s">
        <v>3</v>
      </c>
      <c r="E337" s="109" t="s">
        <v>3</v>
      </c>
      <c r="F337" s="109" t="s">
        <v>3</v>
      </c>
      <c r="G337" s="110" t="s">
        <v>3</v>
      </c>
    </row>
    <row r="338" ht="22.5" customHeight="1">
      <c r="A338" s="107"/>
      <c r="B338" s="108"/>
      <c r="C338" s="109"/>
      <c r="D338" s="109" t="s">
        <v>3</v>
      </c>
      <c r="E338" s="109" t="s">
        <v>3</v>
      </c>
      <c r="F338" s="109" t="s">
        <v>3</v>
      </c>
      <c r="G338" s="110" t="s">
        <v>3</v>
      </c>
    </row>
    <row r="339" ht="22.5" customHeight="1">
      <c r="A339" s="107"/>
      <c r="B339" s="108"/>
      <c r="C339" s="109"/>
      <c r="D339" s="109" t="s">
        <v>3</v>
      </c>
      <c r="E339" s="109" t="s">
        <v>3</v>
      </c>
      <c r="F339" s="109" t="s">
        <v>3</v>
      </c>
      <c r="G339" s="110" t="s">
        <v>3</v>
      </c>
    </row>
    <row r="340" ht="22.5" customHeight="1">
      <c r="A340" s="107"/>
      <c r="B340" s="108"/>
      <c r="C340" s="109"/>
      <c r="D340" s="109" t="s">
        <v>3</v>
      </c>
      <c r="E340" s="109" t="s">
        <v>3</v>
      </c>
      <c r="F340" s="109" t="s">
        <v>3</v>
      </c>
      <c r="G340" s="110" t="s">
        <v>3</v>
      </c>
    </row>
    <row r="341" ht="22.5" customHeight="1">
      <c r="A341" s="107"/>
      <c r="B341" s="108"/>
      <c r="C341" s="109"/>
      <c r="D341" s="109" t="s">
        <v>3</v>
      </c>
      <c r="E341" s="109" t="s">
        <v>3</v>
      </c>
      <c r="F341" s="109" t="s">
        <v>3</v>
      </c>
      <c r="G341" s="110" t="s">
        <v>3</v>
      </c>
    </row>
    <row r="342" ht="22.5" customHeight="1">
      <c r="A342" s="107"/>
      <c r="B342" s="108"/>
      <c r="C342" s="109"/>
      <c r="D342" s="109" t="s">
        <v>3</v>
      </c>
      <c r="E342" s="109" t="s">
        <v>3</v>
      </c>
      <c r="F342" s="109" t="s">
        <v>3</v>
      </c>
      <c r="G342" s="110" t="s">
        <v>3</v>
      </c>
    </row>
    <row r="343" ht="22.5" customHeight="1">
      <c r="A343" s="107"/>
      <c r="B343" s="108"/>
      <c r="C343" s="109"/>
      <c r="D343" s="109" t="s">
        <v>3</v>
      </c>
      <c r="E343" s="109" t="s">
        <v>3</v>
      </c>
      <c r="F343" s="109" t="s">
        <v>3</v>
      </c>
      <c r="G343" s="110" t="s">
        <v>3</v>
      </c>
    </row>
    <row r="344" ht="22.5" customHeight="1">
      <c r="A344" s="107"/>
      <c r="B344" s="108"/>
      <c r="C344" s="109"/>
      <c r="D344" s="109" t="s">
        <v>3</v>
      </c>
      <c r="E344" s="109" t="s">
        <v>3</v>
      </c>
      <c r="F344" s="109" t="s">
        <v>3</v>
      </c>
      <c r="G344" s="110" t="s">
        <v>3</v>
      </c>
    </row>
    <row r="345" ht="22.5" customHeight="1">
      <c r="A345" s="107"/>
      <c r="B345" s="108"/>
      <c r="C345" s="109"/>
      <c r="D345" s="109" t="s">
        <v>3</v>
      </c>
      <c r="E345" s="109" t="s">
        <v>3</v>
      </c>
      <c r="F345" s="109" t="s">
        <v>3</v>
      </c>
      <c r="G345" s="110" t="s">
        <v>3</v>
      </c>
    </row>
    <row r="346" ht="22.5" customHeight="1">
      <c r="A346" s="107"/>
      <c r="B346" s="108"/>
      <c r="C346" s="109"/>
      <c r="D346" s="109" t="s">
        <v>3</v>
      </c>
      <c r="E346" s="109" t="s">
        <v>3</v>
      </c>
      <c r="F346" s="109" t="s">
        <v>3</v>
      </c>
      <c r="G346" s="110" t="s">
        <v>3</v>
      </c>
    </row>
    <row r="347" ht="22.5" customHeight="1">
      <c r="A347" s="107"/>
      <c r="B347" s="108"/>
      <c r="C347" s="109"/>
      <c r="D347" s="109" t="s">
        <v>3</v>
      </c>
      <c r="E347" s="109" t="s">
        <v>3</v>
      </c>
      <c r="F347" s="109" t="s">
        <v>3</v>
      </c>
      <c r="G347" s="110" t="s">
        <v>3</v>
      </c>
    </row>
    <row r="348" ht="22.5" customHeight="1">
      <c r="A348" s="107"/>
      <c r="B348" s="108"/>
      <c r="C348" s="109"/>
      <c r="D348" s="109" t="s">
        <v>3</v>
      </c>
      <c r="E348" s="109" t="s">
        <v>3</v>
      </c>
      <c r="F348" s="109" t="s">
        <v>3</v>
      </c>
      <c r="G348" s="110" t="s">
        <v>3</v>
      </c>
    </row>
    <row r="349" ht="22.5" customHeight="1">
      <c r="A349" s="107"/>
      <c r="B349" s="108"/>
      <c r="C349" s="109"/>
      <c r="D349" s="109" t="s">
        <v>3</v>
      </c>
      <c r="E349" s="109" t="s">
        <v>3</v>
      </c>
      <c r="F349" s="109" t="s">
        <v>3</v>
      </c>
      <c r="G349" s="110" t="s">
        <v>3</v>
      </c>
    </row>
    <row r="350" ht="22.5" customHeight="1">
      <c r="A350" s="107"/>
      <c r="B350" s="108"/>
      <c r="C350" s="109"/>
      <c r="D350" s="109" t="s">
        <v>3</v>
      </c>
      <c r="E350" s="109" t="s">
        <v>3</v>
      </c>
      <c r="F350" s="109" t="s">
        <v>3</v>
      </c>
      <c r="G350" s="110" t="s">
        <v>3</v>
      </c>
    </row>
    <row r="351" ht="22.5" customHeight="1">
      <c r="A351" s="107"/>
      <c r="B351" s="108"/>
      <c r="C351" s="109"/>
      <c r="D351" s="109" t="s">
        <v>3</v>
      </c>
      <c r="E351" s="109" t="s">
        <v>3</v>
      </c>
      <c r="F351" s="109" t="s">
        <v>3</v>
      </c>
      <c r="G351" s="110" t="s">
        <v>3</v>
      </c>
    </row>
    <row r="352" ht="22.5" customHeight="1">
      <c r="A352" s="107"/>
      <c r="B352" s="108"/>
      <c r="C352" s="109"/>
      <c r="D352" s="109" t="s">
        <v>3</v>
      </c>
      <c r="E352" s="109" t="s">
        <v>3</v>
      </c>
      <c r="F352" s="109" t="s">
        <v>3</v>
      </c>
      <c r="G352" s="110" t="s">
        <v>3</v>
      </c>
    </row>
    <row r="353" ht="22.5" customHeight="1">
      <c r="A353" s="107"/>
      <c r="B353" s="108"/>
      <c r="C353" s="109"/>
      <c r="D353" s="109" t="s">
        <v>3</v>
      </c>
      <c r="E353" s="109" t="s">
        <v>3</v>
      </c>
      <c r="F353" s="109" t="s">
        <v>3</v>
      </c>
      <c r="G353" s="110" t="s">
        <v>3</v>
      </c>
    </row>
    <row r="354" ht="22.5" customHeight="1">
      <c r="A354" s="107"/>
      <c r="B354" s="108"/>
      <c r="C354" s="109"/>
      <c r="D354" s="109" t="s">
        <v>3</v>
      </c>
      <c r="E354" s="109" t="s">
        <v>3</v>
      </c>
      <c r="F354" s="109" t="s">
        <v>3</v>
      </c>
      <c r="G354" s="110" t="s">
        <v>3</v>
      </c>
    </row>
    <row r="355" ht="22.5" customHeight="1">
      <c r="A355" s="107"/>
      <c r="B355" s="108"/>
      <c r="C355" s="109"/>
      <c r="D355" s="109" t="s">
        <v>3</v>
      </c>
      <c r="E355" s="109" t="s">
        <v>3</v>
      </c>
      <c r="F355" s="109" t="s">
        <v>3</v>
      </c>
      <c r="G355" s="110" t="s">
        <v>3</v>
      </c>
    </row>
    <row r="356" ht="22.5" customHeight="1">
      <c r="A356" s="107"/>
      <c r="B356" s="108"/>
      <c r="C356" s="109"/>
      <c r="D356" s="109" t="s">
        <v>3</v>
      </c>
      <c r="E356" s="109" t="s">
        <v>3</v>
      </c>
      <c r="F356" s="109" t="s">
        <v>3</v>
      </c>
      <c r="G356" s="110" t="s">
        <v>3</v>
      </c>
    </row>
    <row r="357" ht="22.5" customHeight="1">
      <c r="A357" s="107"/>
      <c r="B357" s="108"/>
      <c r="C357" s="109"/>
      <c r="D357" s="109" t="s">
        <v>3</v>
      </c>
      <c r="E357" s="109" t="s">
        <v>3</v>
      </c>
      <c r="F357" s="109" t="s">
        <v>3</v>
      </c>
      <c r="G357" s="110" t="s">
        <v>3</v>
      </c>
    </row>
    <row r="358" ht="22.5" customHeight="1">
      <c r="A358" s="107"/>
      <c r="B358" s="108"/>
      <c r="C358" s="109"/>
      <c r="D358" s="109" t="s">
        <v>3</v>
      </c>
      <c r="E358" s="109" t="s">
        <v>3</v>
      </c>
      <c r="F358" s="109" t="s">
        <v>3</v>
      </c>
      <c r="G358" s="110" t="s">
        <v>3</v>
      </c>
    </row>
    <row r="359" ht="22.5" customHeight="1">
      <c r="A359" s="107"/>
      <c r="B359" s="108"/>
      <c r="C359" s="109"/>
      <c r="D359" s="109" t="s">
        <v>3</v>
      </c>
      <c r="E359" s="109" t="s">
        <v>3</v>
      </c>
      <c r="F359" s="109" t="s">
        <v>3</v>
      </c>
      <c r="G359" s="110" t="s">
        <v>3</v>
      </c>
    </row>
    <row r="360" ht="22.5" customHeight="1">
      <c r="A360" s="107"/>
      <c r="B360" s="108"/>
      <c r="C360" s="109"/>
      <c r="D360" s="109" t="s">
        <v>3</v>
      </c>
      <c r="E360" s="109" t="s">
        <v>3</v>
      </c>
      <c r="F360" s="109" t="s">
        <v>3</v>
      </c>
      <c r="G360" s="110" t="s">
        <v>3</v>
      </c>
    </row>
    <row r="361" ht="22.5" customHeight="1">
      <c r="A361" s="107"/>
      <c r="B361" s="108"/>
      <c r="C361" s="109"/>
      <c r="D361" s="109" t="s">
        <v>3</v>
      </c>
      <c r="E361" s="109" t="s">
        <v>3</v>
      </c>
      <c r="F361" s="109" t="s">
        <v>3</v>
      </c>
      <c r="G361" s="110" t="s">
        <v>3</v>
      </c>
    </row>
    <row r="362" ht="22.5" customHeight="1">
      <c r="A362" s="107"/>
      <c r="B362" s="108"/>
      <c r="C362" s="109"/>
      <c r="D362" s="109" t="s">
        <v>3</v>
      </c>
      <c r="E362" s="109" t="s">
        <v>3</v>
      </c>
      <c r="F362" s="109" t="s">
        <v>3</v>
      </c>
      <c r="G362" s="110" t="s">
        <v>3</v>
      </c>
    </row>
    <row r="363" ht="22.5" customHeight="1">
      <c r="A363" s="107"/>
      <c r="B363" s="108"/>
      <c r="C363" s="109"/>
      <c r="D363" s="109" t="s">
        <v>3</v>
      </c>
      <c r="E363" s="109" t="s">
        <v>3</v>
      </c>
      <c r="F363" s="109" t="s">
        <v>3</v>
      </c>
      <c r="G363" s="110" t="s">
        <v>3</v>
      </c>
    </row>
    <row r="364" ht="22.5" customHeight="1">
      <c r="A364" s="107"/>
      <c r="B364" s="108"/>
      <c r="C364" s="109"/>
      <c r="D364" s="109" t="s">
        <v>3</v>
      </c>
      <c r="E364" s="109" t="s">
        <v>3</v>
      </c>
      <c r="F364" s="109" t="s">
        <v>3</v>
      </c>
      <c r="G364" s="110" t="s">
        <v>3</v>
      </c>
    </row>
    <row r="365" ht="22.5" customHeight="1">
      <c r="A365" s="107"/>
      <c r="B365" s="108"/>
      <c r="C365" s="109"/>
      <c r="D365" s="109" t="s">
        <v>3</v>
      </c>
      <c r="E365" s="109" t="s">
        <v>3</v>
      </c>
      <c r="F365" s="109" t="s">
        <v>3</v>
      </c>
      <c r="G365" s="110" t="s">
        <v>3</v>
      </c>
    </row>
    <row r="366" ht="22.5" customHeight="1">
      <c r="A366" s="107"/>
      <c r="B366" s="108"/>
      <c r="C366" s="109"/>
      <c r="D366" s="109" t="s">
        <v>3</v>
      </c>
      <c r="E366" s="109" t="s">
        <v>3</v>
      </c>
      <c r="F366" s="109" t="s">
        <v>3</v>
      </c>
      <c r="G366" s="110" t="s">
        <v>3</v>
      </c>
    </row>
    <row r="367" ht="22.5" customHeight="1">
      <c r="A367" s="107"/>
      <c r="B367" s="108"/>
      <c r="C367" s="109"/>
      <c r="D367" s="109" t="s">
        <v>3</v>
      </c>
      <c r="E367" s="109" t="s">
        <v>3</v>
      </c>
      <c r="F367" s="109" t="s">
        <v>3</v>
      </c>
      <c r="G367" s="110" t="s">
        <v>3</v>
      </c>
    </row>
    <row r="368" ht="22.5" customHeight="1">
      <c r="A368" s="107"/>
      <c r="B368" s="108"/>
      <c r="C368" s="109"/>
      <c r="D368" s="109" t="s">
        <v>3</v>
      </c>
      <c r="E368" s="109" t="s">
        <v>3</v>
      </c>
      <c r="F368" s="109" t="s">
        <v>3</v>
      </c>
      <c r="G368" s="110" t="s">
        <v>3</v>
      </c>
    </row>
    <row r="369" ht="22.5" customHeight="1">
      <c r="A369" s="107"/>
      <c r="B369" s="108"/>
      <c r="C369" s="109"/>
      <c r="D369" s="109" t="s">
        <v>3</v>
      </c>
      <c r="E369" s="109" t="s">
        <v>3</v>
      </c>
      <c r="F369" s="109" t="s">
        <v>3</v>
      </c>
      <c r="G369" s="110" t="s">
        <v>3</v>
      </c>
    </row>
    <row r="370" ht="22.5" customHeight="1">
      <c r="A370" s="107"/>
      <c r="B370" s="108"/>
      <c r="C370" s="109"/>
      <c r="D370" s="109" t="s">
        <v>3</v>
      </c>
      <c r="E370" s="109" t="s">
        <v>3</v>
      </c>
      <c r="F370" s="109" t="s">
        <v>3</v>
      </c>
      <c r="G370" s="110" t="s">
        <v>3</v>
      </c>
    </row>
    <row r="371" ht="22.5" customHeight="1">
      <c r="A371" s="107"/>
      <c r="B371" s="108"/>
      <c r="C371" s="109"/>
      <c r="D371" s="109" t="s">
        <v>3</v>
      </c>
      <c r="E371" s="109" t="s">
        <v>3</v>
      </c>
      <c r="F371" s="109" t="s">
        <v>3</v>
      </c>
      <c r="G371" s="110" t="s">
        <v>3</v>
      </c>
    </row>
    <row r="372" ht="22.5" customHeight="1">
      <c r="A372" s="107"/>
      <c r="B372" s="108"/>
      <c r="C372" s="109"/>
      <c r="D372" s="109" t="s">
        <v>3</v>
      </c>
      <c r="E372" s="109" t="s">
        <v>3</v>
      </c>
      <c r="F372" s="109" t="s">
        <v>3</v>
      </c>
      <c r="G372" s="110" t="s">
        <v>3</v>
      </c>
    </row>
    <row r="373" ht="22.5" customHeight="1">
      <c r="A373" s="107"/>
      <c r="B373" s="108"/>
      <c r="C373" s="109"/>
      <c r="D373" s="109" t="s">
        <v>3</v>
      </c>
      <c r="E373" s="109" t="s">
        <v>3</v>
      </c>
      <c r="F373" s="109" t="s">
        <v>3</v>
      </c>
      <c r="G373" s="110" t="s">
        <v>3</v>
      </c>
    </row>
    <row r="374" ht="22.5" customHeight="1">
      <c r="A374" s="107"/>
      <c r="B374" s="108"/>
      <c r="C374" s="109"/>
      <c r="D374" s="109" t="s">
        <v>3</v>
      </c>
      <c r="E374" s="109" t="s">
        <v>3</v>
      </c>
      <c r="F374" s="109" t="s">
        <v>3</v>
      </c>
      <c r="G374" s="110" t="s">
        <v>3</v>
      </c>
    </row>
    <row r="375" ht="22.5" customHeight="1">
      <c r="A375" s="107"/>
      <c r="B375" s="108"/>
      <c r="C375" s="109"/>
      <c r="D375" s="109" t="s">
        <v>3</v>
      </c>
      <c r="E375" s="109" t="s">
        <v>3</v>
      </c>
      <c r="F375" s="109" t="s">
        <v>3</v>
      </c>
      <c r="G375" s="110" t="s">
        <v>3</v>
      </c>
    </row>
    <row r="376" ht="22.5" customHeight="1">
      <c r="A376" s="107"/>
      <c r="B376" s="108"/>
      <c r="C376" s="109"/>
      <c r="D376" s="109" t="s">
        <v>3</v>
      </c>
      <c r="E376" s="109" t="s">
        <v>3</v>
      </c>
      <c r="F376" s="109" t="s">
        <v>3</v>
      </c>
      <c r="G376" s="110" t="s">
        <v>3</v>
      </c>
    </row>
    <row r="377" ht="22.5" customHeight="1">
      <c r="A377" s="107"/>
      <c r="B377" s="108"/>
      <c r="C377" s="109"/>
      <c r="D377" s="109" t="s">
        <v>3</v>
      </c>
      <c r="E377" s="109" t="s">
        <v>3</v>
      </c>
      <c r="F377" s="109" t="s">
        <v>3</v>
      </c>
      <c r="G377" s="110" t="s">
        <v>3</v>
      </c>
    </row>
    <row r="378" ht="22.5" customHeight="1">
      <c r="A378" s="107"/>
      <c r="B378" s="108"/>
      <c r="C378" s="109"/>
      <c r="D378" s="109" t="s">
        <v>3</v>
      </c>
      <c r="E378" s="109" t="s">
        <v>3</v>
      </c>
      <c r="F378" s="109" t="s">
        <v>3</v>
      </c>
      <c r="G378" s="110" t="s">
        <v>3</v>
      </c>
    </row>
    <row r="379" ht="22.5" customHeight="1">
      <c r="A379" s="107"/>
      <c r="B379" s="108"/>
      <c r="C379" s="109"/>
      <c r="D379" s="109" t="s">
        <v>3</v>
      </c>
      <c r="E379" s="109" t="s">
        <v>3</v>
      </c>
      <c r="F379" s="109" t="s">
        <v>3</v>
      </c>
      <c r="G379" s="110" t="s">
        <v>3</v>
      </c>
    </row>
    <row r="380" ht="22.5" customHeight="1">
      <c r="A380" s="107"/>
      <c r="B380" s="108"/>
      <c r="C380" s="109"/>
      <c r="D380" s="109" t="s">
        <v>3</v>
      </c>
      <c r="E380" s="109" t="s">
        <v>3</v>
      </c>
      <c r="F380" s="109" t="s">
        <v>3</v>
      </c>
      <c r="G380" s="110" t="s">
        <v>3</v>
      </c>
    </row>
    <row r="381" ht="22.5" customHeight="1">
      <c r="A381" s="107"/>
      <c r="B381" s="108"/>
      <c r="C381" s="109"/>
      <c r="D381" s="109" t="s">
        <v>3</v>
      </c>
      <c r="E381" s="109" t="s">
        <v>3</v>
      </c>
      <c r="F381" s="109" t="s">
        <v>3</v>
      </c>
      <c r="G381" s="110" t="s">
        <v>3</v>
      </c>
    </row>
    <row r="382" ht="22.5" customHeight="1">
      <c r="A382" s="107"/>
      <c r="B382" s="108"/>
      <c r="C382" s="109"/>
      <c r="D382" s="109" t="s">
        <v>3</v>
      </c>
      <c r="E382" s="109" t="s">
        <v>3</v>
      </c>
      <c r="F382" s="109" t="s">
        <v>3</v>
      </c>
      <c r="G382" s="110" t="s">
        <v>3</v>
      </c>
    </row>
    <row r="383" ht="22.5" customHeight="1">
      <c r="A383" s="107"/>
      <c r="B383" s="108"/>
      <c r="C383" s="109"/>
      <c r="D383" s="109" t="s">
        <v>3</v>
      </c>
      <c r="E383" s="109" t="s">
        <v>3</v>
      </c>
      <c r="F383" s="109" t="s">
        <v>3</v>
      </c>
      <c r="G383" s="110" t="s">
        <v>3</v>
      </c>
    </row>
    <row r="384" ht="22.5" customHeight="1">
      <c r="A384" s="107"/>
      <c r="B384" s="108"/>
      <c r="C384" s="109"/>
      <c r="D384" s="109" t="s">
        <v>3</v>
      </c>
      <c r="E384" s="109" t="s">
        <v>3</v>
      </c>
      <c r="F384" s="109" t="s">
        <v>3</v>
      </c>
      <c r="G384" s="110" t="s">
        <v>3</v>
      </c>
    </row>
    <row r="385" ht="22.5" customHeight="1">
      <c r="A385" s="107"/>
      <c r="B385" s="108"/>
      <c r="C385" s="109"/>
      <c r="D385" s="109" t="s">
        <v>3</v>
      </c>
      <c r="E385" s="109" t="s">
        <v>3</v>
      </c>
      <c r="F385" s="109" t="s">
        <v>3</v>
      </c>
      <c r="G385" s="110" t="s">
        <v>3</v>
      </c>
    </row>
    <row r="386" ht="22.5" customHeight="1">
      <c r="A386" s="107"/>
      <c r="B386" s="108"/>
      <c r="C386" s="109"/>
      <c r="D386" s="109" t="s">
        <v>3</v>
      </c>
      <c r="E386" s="109" t="s">
        <v>3</v>
      </c>
      <c r="F386" s="109" t="s">
        <v>3</v>
      </c>
      <c r="G386" s="110" t="s">
        <v>3</v>
      </c>
    </row>
    <row r="387" ht="22.5" customHeight="1">
      <c r="A387" s="107"/>
      <c r="B387" s="108"/>
      <c r="C387" s="109"/>
      <c r="D387" s="109" t="s">
        <v>3</v>
      </c>
      <c r="E387" s="109" t="s">
        <v>3</v>
      </c>
      <c r="F387" s="109" t="s">
        <v>3</v>
      </c>
      <c r="G387" s="110" t="s">
        <v>3</v>
      </c>
    </row>
    <row r="388" ht="22.5" customHeight="1">
      <c r="A388" s="107"/>
      <c r="B388" s="108"/>
      <c r="C388" s="109"/>
      <c r="D388" s="109" t="s">
        <v>3</v>
      </c>
      <c r="E388" s="109" t="s">
        <v>3</v>
      </c>
      <c r="F388" s="109" t="s">
        <v>3</v>
      </c>
      <c r="G388" s="110" t="s">
        <v>3</v>
      </c>
    </row>
    <row r="389" ht="22.5" customHeight="1">
      <c r="A389" s="107"/>
      <c r="B389" s="108"/>
      <c r="C389" s="109"/>
      <c r="D389" s="109" t="s">
        <v>3</v>
      </c>
      <c r="E389" s="109" t="s">
        <v>3</v>
      </c>
      <c r="F389" s="109" t="s">
        <v>3</v>
      </c>
      <c r="G389" s="110" t="s">
        <v>3</v>
      </c>
    </row>
    <row r="390" ht="22.5" customHeight="1">
      <c r="A390" s="107"/>
      <c r="B390" s="108"/>
      <c r="C390" s="109"/>
      <c r="D390" s="109" t="s">
        <v>3</v>
      </c>
      <c r="E390" s="109" t="s">
        <v>3</v>
      </c>
      <c r="F390" s="109" t="s">
        <v>3</v>
      </c>
      <c r="G390" s="110" t="s">
        <v>3</v>
      </c>
    </row>
    <row r="391" ht="22.5" customHeight="1">
      <c r="A391" s="107"/>
      <c r="B391" s="108"/>
      <c r="C391" s="109"/>
      <c r="D391" s="109" t="s">
        <v>3</v>
      </c>
      <c r="E391" s="109" t="s">
        <v>3</v>
      </c>
      <c r="F391" s="109" t="s">
        <v>3</v>
      </c>
      <c r="G391" s="110" t="s">
        <v>3</v>
      </c>
    </row>
    <row r="392" ht="22.5" customHeight="1">
      <c r="A392" s="107"/>
      <c r="B392" s="108"/>
      <c r="C392" s="109"/>
      <c r="D392" s="109" t="s">
        <v>3</v>
      </c>
      <c r="E392" s="109" t="s">
        <v>3</v>
      </c>
      <c r="F392" s="109" t="s">
        <v>3</v>
      </c>
      <c r="G392" s="110" t="s">
        <v>3</v>
      </c>
    </row>
    <row r="393" ht="22.5" customHeight="1">
      <c r="A393" s="107"/>
      <c r="B393" s="108"/>
      <c r="C393" s="109"/>
      <c r="D393" s="109" t="s">
        <v>3</v>
      </c>
      <c r="E393" s="109" t="s">
        <v>3</v>
      </c>
      <c r="F393" s="109" t="s">
        <v>3</v>
      </c>
      <c r="G393" s="110" t="s">
        <v>3</v>
      </c>
    </row>
    <row r="394" ht="22.5" customHeight="1">
      <c r="A394" s="107"/>
      <c r="B394" s="108"/>
      <c r="C394" s="109"/>
      <c r="D394" s="109" t="s">
        <v>3</v>
      </c>
      <c r="E394" s="109" t="s">
        <v>3</v>
      </c>
      <c r="F394" s="109" t="s">
        <v>3</v>
      </c>
      <c r="G394" s="110" t="s">
        <v>3</v>
      </c>
    </row>
    <row r="395" ht="22.5" customHeight="1">
      <c r="A395" s="107"/>
      <c r="B395" s="108"/>
      <c r="C395" s="109"/>
      <c r="D395" s="109" t="s">
        <v>3</v>
      </c>
      <c r="E395" s="109" t="s">
        <v>3</v>
      </c>
      <c r="F395" s="109" t="s">
        <v>3</v>
      </c>
      <c r="G395" s="110" t="s">
        <v>3</v>
      </c>
    </row>
    <row r="396" ht="22.5" customHeight="1">
      <c r="A396" s="107"/>
      <c r="B396" s="108"/>
      <c r="C396" s="109"/>
      <c r="D396" s="109" t="s">
        <v>3</v>
      </c>
      <c r="E396" s="109" t="s">
        <v>3</v>
      </c>
      <c r="F396" s="109" t="s">
        <v>3</v>
      </c>
      <c r="G396" s="110" t="s">
        <v>3</v>
      </c>
    </row>
    <row r="397" ht="22.5" customHeight="1">
      <c r="A397" s="107"/>
      <c r="B397" s="108"/>
      <c r="C397" s="109"/>
      <c r="D397" s="109" t="s">
        <v>3</v>
      </c>
      <c r="E397" s="109" t="s">
        <v>3</v>
      </c>
      <c r="F397" s="109" t="s">
        <v>3</v>
      </c>
      <c r="G397" s="110" t="s">
        <v>3</v>
      </c>
    </row>
    <row r="398" ht="22.5" customHeight="1">
      <c r="A398" s="107"/>
      <c r="B398" s="108"/>
      <c r="C398" s="109"/>
      <c r="D398" s="109" t="s">
        <v>3</v>
      </c>
      <c r="E398" s="109" t="s">
        <v>3</v>
      </c>
      <c r="F398" s="109" t="s">
        <v>3</v>
      </c>
      <c r="G398" s="110" t="s">
        <v>3</v>
      </c>
    </row>
    <row r="399" ht="22.5" customHeight="1">
      <c r="A399" s="107"/>
      <c r="B399" s="108"/>
      <c r="C399" s="109"/>
      <c r="D399" s="109" t="s">
        <v>3</v>
      </c>
      <c r="E399" s="109" t="s">
        <v>3</v>
      </c>
      <c r="F399" s="109" t="s">
        <v>3</v>
      </c>
      <c r="G399" s="110" t="s">
        <v>3</v>
      </c>
    </row>
    <row r="400" ht="22.5" customHeight="1">
      <c r="A400" s="107"/>
      <c r="B400" s="108"/>
      <c r="C400" s="109"/>
      <c r="D400" s="109" t="s">
        <v>3</v>
      </c>
      <c r="E400" s="109" t="s">
        <v>3</v>
      </c>
      <c r="F400" s="109" t="s">
        <v>3</v>
      </c>
      <c r="G400" s="110" t="s">
        <v>3</v>
      </c>
    </row>
    <row r="401" ht="22.5" customHeight="1">
      <c r="A401" s="107"/>
      <c r="B401" s="108"/>
      <c r="C401" s="109"/>
      <c r="D401" s="109" t="s">
        <v>3</v>
      </c>
      <c r="E401" s="109" t="s">
        <v>3</v>
      </c>
      <c r="F401" s="109" t="s">
        <v>3</v>
      </c>
      <c r="G401" s="110" t="s">
        <v>3</v>
      </c>
    </row>
    <row r="402" ht="22.5" customHeight="1">
      <c r="A402" s="107"/>
      <c r="B402" s="108"/>
      <c r="C402" s="109"/>
      <c r="D402" s="109" t="s">
        <v>3</v>
      </c>
      <c r="E402" s="109" t="s">
        <v>3</v>
      </c>
      <c r="F402" s="109" t="s">
        <v>3</v>
      </c>
      <c r="G402" s="110" t="s">
        <v>3</v>
      </c>
    </row>
    <row r="403" ht="22.5" customHeight="1">
      <c r="A403" s="107"/>
      <c r="B403" s="108"/>
      <c r="C403" s="109"/>
      <c r="D403" s="109" t="s">
        <v>3</v>
      </c>
      <c r="E403" s="109" t="s">
        <v>3</v>
      </c>
      <c r="F403" s="109" t="s">
        <v>3</v>
      </c>
      <c r="G403" s="110" t="s">
        <v>3</v>
      </c>
    </row>
    <row r="404" ht="22.5" customHeight="1">
      <c r="A404" s="107"/>
      <c r="B404" s="108"/>
      <c r="C404" s="109"/>
      <c r="D404" s="109" t="s">
        <v>3</v>
      </c>
      <c r="E404" s="109" t="s">
        <v>3</v>
      </c>
      <c r="F404" s="109" t="s">
        <v>3</v>
      </c>
      <c r="G404" s="110" t="s">
        <v>3</v>
      </c>
    </row>
    <row r="405" ht="22.5" customHeight="1">
      <c r="A405" s="107"/>
      <c r="B405" s="108"/>
      <c r="C405" s="109"/>
      <c r="D405" s="109" t="s">
        <v>3</v>
      </c>
      <c r="E405" s="109" t="s">
        <v>3</v>
      </c>
      <c r="F405" s="109" t="s">
        <v>3</v>
      </c>
      <c r="G405" s="110" t="s">
        <v>3</v>
      </c>
    </row>
    <row r="406" ht="22.5" customHeight="1">
      <c r="A406" s="107"/>
      <c r="B406" s="108"/>
      <c r="C406" s="109"/>
      <c r="D406" s="109" t="s">
        <v>3</v>
      </c>
      <c r="E406" s="109" t="s">
        <v>3</v>
      </c>
      <c r="F406" s="109" t="s">
        <v>3</v>
      </c>
      <c r="G406" s="110" t="s">
        <v>3</v>
      </c>
    </row>
    <row r="407" ht="22.5" customHeight="1">
      <c r="A407" s="107"/>
      <c r="B407" s="108"/>
      <c r="C407" s="109"/>
      <c r="D407" s="109" t="s">
        <v>3</v>
      </c>
      <c r="E407" s="109" t="s">
        <v>3</v>
      </c>
      <c r="F407" s="109" t="s">
        <v>3</v>
      </c>
      <c r="G407" s="110" t="s">
        <v>3</v>
      </c>
    </row>
    <row r="408" ht="22.5" customHeight="1">
      <c r="A408" s="107"/>
      <c r="B408" s="108"/>
      <c r="C408" s="109"/>
      <c r="D408" s="109" t="s">
        <v>3</v>
      </c>
      <c r="E408" s="109" t="s">
        <v>3</v>
      </c>
      <c r="F408" s="109" t="s">
        <v>3</v>
      </c>
      <c r="G408" s="110" t="s">
        <v>3</v>
      </c>
    </row>
    <row r="409" ht="22.5" customHeight="1">
      <c r="A409" s="107"/>
      <c r="B409" s="108"/>
      <c r="C409" s="109"/>
      <c r="D409" s="109" t="s">
        <v>3</v>
      </c>
      <c r="E409" s="109" t="s">
        <v>3</v>
      </c>
      <c r="F409" s="109" t="s">
        <v>3</v>
      </c>
      <c r="G409" s="110" t="s">
        <v>3</v>
      </c>
    </row>
    <row r="410" ht="22.5" customHeight="1">
      <c r="A410" s="107"/>
      <c r="B410" s="108"/>
      <c r="C410" s="109"/>
      <c r="D410" s="109" t="s">
        <v>3</v>
      </c>
      <c r="E410" s="109" t="s">
        <v>3</v>
      </c>
      <c r="F410" s="109" t="s">
        <v>3</v>
      </c>
      <c r="G410" s="110" t="s">
        <v>3</v>
      </c>
    </row>
    <row r="411" ht="22.5" customHeight="1">
      <c r="A411" s="107"/>
      <c r="B411" s="108"/>
      <c r="C411" s="109"/>
      <c r="D411" s="109" t="s">
        <v>3</v>
      </c>
      <c r="E411" s="109" t="s">
        <v>3</v>
      </c>
      <c r="F411" s="109" t="s">
        <v>3</v>
      </c>
      <c r="G411" s="110" t="s">
        <v>3</v>
      </c>
    </row>
    <row r="412" ht="22.5" customHeight="1">
      <c r="A412" s="107"/>
      <c r="B412" s="108"/>
      <c r="C412" s="109"/>
      <c r="D412" s="109" t="s">
        <v>3</v>
      </c>
      <c r="E412" s="109" t="s">
        <v>3</v>
      </c>
      <c r="F412" s="109" t="s">
        <v>3</v>
      </c>
      <c r="G412" s="110" t="s">
        <v>3</v>
      </c>
    </row>
    <row r="413" ht="22.5" customHeight="1">
      <c r="A413" s="107"/>
      <c r="B413" s="108"/>
      <c r="C413" s="109"/>
      <c r="D413" s="109" t="s">
        <v>3</v>
      </c>
      <c r="E413" s="109" t="s">
        <v>3</v>
      </c>
      <c r="F413" s="109" t="s">
        <v>3</v>
      </c>
      <c r="G413" s="110" t="s">
        <v>3</v>
      </c>
    </row>
    <row r="414" ht="22.5" customHeight="1">
      <c r="A414" s="107"/>
      <c r="B414" s="108"/>
      <c r="C414" s="109"/>
      <c r="D414" s="109" t="s">
        <v>3</v>
      </c>
      <c r="E414" s="109" t="s">
        <v>3</v>
      </c>
      <c r="F414" s="109" t="s">
        <v>3</v>
      </c>
      <c r="G414" s="110" t="s">
        <v>3</v>
      </c>
    </row>
    <row r="415" ht="22.5" customHeight="1">
      <c r="A415" s="107"/>
      <c r="B415" s="108"/>
      <c r="C415" s="109"/>
      <c r="D415" s="109" t="s">
        <v>3</v>
      </c>
      <c r="E415" s="109" t="s">
        <v>3</v>
      </c>
      <c r="F415" s="109" t="s">
        <v>3</v>
      </c>
      <c r="G415" s="110" t="s">
        <v>3</v>
      </c>
    </row>
    <row r="416" ht="22.5" customHeight="1">
      <c r="A416" s="107"/>
      <c r="B416" s="108"/>
      <c r="C416" s="109"/>
      <c r="D416" s="109" t="s">
        <v>3</v>
      </c>
      <c r="E416" s="109" t="s">
        <v>3</v>
      </c>
      <c r="F416" s="109" t="s">
        <v>3</v>
      </c>
      <c r="G416" s="110" t="s">
        <v>3</v>
      </c>
    </row>
    <row r="417" ht="22.5" customHeight="1">
      <c r="A417" s="107"/>
      <c r="B417" s="108"/>
      <c r="C417" s="109"/>
      <c r="D417" s="109" t="s">
        <v>3</v>
      </c>
      <c r="E417" s="109" t="s">
        <v>3</v>
      </c>
      <c r="F417" s="109" t="s">
        <v>3</v>
      </c>
      <c r="G417" s="110" t="s">
        <v>3</v>
      </c>
    </row>
    <row r="418" ht="22.5" customHeight="1">
      <c r="A418" s="107"/>
      <c r="B418" s="108"/>
      <c r="C418" s="109"/>
      <c r="D418" s="109" t="s">
        <v>3</v>
      </c>
      <c r="E418" s="109" t="s">
        <v>3</v>
      </c>
      <c r="F418" s="109" t="s">
        <v>3</v>
      </c>
      <c r="G418" s="110" t="s">
        <v>3</v>
      </c>
    </row>
    <row r="419" ht="22.5" customHeight="1">
      <c r="A419" s="107"/>
      <c r="B419" s="108"/>
      <c r="C419" s="109"/>
      <c r="D419" s="109" t="s">
        <v>3</v>
      </c>
      <c r="E419" s="109" t="s">
        <v>3</v>
      </c>
      <c r="F419" s="109" t="s">
        <v>3</v>
      </c>
      <c r="G419" s="110" t="s">
        <v>3</v>
      </c>
    </row>
    <row r="420" ht="22.5" customHeight="1">
      <c r="A420" s="107"/>
      <c r="B420" s="108"/>
      <c r="C420" s="109"/>
      <c r="D420" s="109" t="s">
        <v>3</v>
      </c>
      <c r="E420" s="109" t="s">
        <v>3</v>
      </c>
      <c r="F420" s="109" t="s">
        <v>3</v>
      </c>
      <c r="G420" s="110" t="s">
        <v>3</v>
      </c>
    </row>
    <row r="421" ht="22.5" customHeight="1">
      <c r="A421" s="107"/>
      <c r="B421" s="108"/>
      <c r="C421" s="109"/>
      <c r="D421" s="109" t="s">
        <v>3</v>
      </c>
      <c r="E421" s="109" t="s">
        <v>3</v>
      </c>
      <c r="F421" s="109" t="s">
        <v>3</v>
      </c>
      <c r="G421" s="110" t="s">
        <v>3</v>
      </c>
    </row>
    <row r="422" ht="22.5" customHeight="1">
      <c r="A422" s="107"/>
      <c r="B422" s="108"/>
      <c r="C422" s="109"/>
      <c r="D422" s="109" t="s">
        <v>3</v>
      </c>
      <c r="E422" s="109" t="s">
        <v>3</v>
      </c>
      <c r="F422" s="109" t="s">
        <v>3</v>
      </c>
      <c r="G422" s="110" t="s">
        <v>3</v>
      </c>
    </row>
    <row r="423" ht="22.5" customHeight="1">
      <c r="A423" s="107"/>
      <c r="B423" s="108"/>
      <c r="C423" s="109"/>
      <c r="D423" s="109" t="s">
        <v>3</v>
      </c>
      <c r="E423" s="109" t="s">
        <v>3</v>
      </c>
      <c r="F423" s="109" t="s">
        <v>3</v>
      </c>
      <c r="G423" s="110" t="s">
        <v>3</v>
      </c>
    </row>
    <row r="424" ht="22.5" customHeight="1">
      <c r="A424" s="107"/>
      <c r="B424" s="108"/>
      <c r="C424" s="109"/>
      <c r="D424" s="109" t="s">
        <v>3</v>
      </c>
      <c r="E424" s="109" t="s">
        <v>3</v>
      </c>
      <c r="F424" s="109" t="s">
        <v>3</v>
      </c>
      <c r="G424" s="110" t="s">
        <v>3</v>
      </c>
    </row>
    <row r="425" ht="22.5" customHeight="1">
      <c r="A425" s="107"/>
      <c r="B425" s="108"/>
      <c r="C425" s="109"/>
      <c r="D425" s="109" t="s">
        <v>3</v>
      </c>
      <c r="E425" s="109" t="s">
        <v>3</v>
      </c>
      <c r="F425" s="109" t="s">
        <v>3</v>
      </c>
      <c r="G425" s="110" t="s">
        <v>3</v>
      </c>
    </row>
    <row r="426" ht="22.5" customHeight="1">
      <c r="A426" s="107"/>
      <c r="B426" s="108"/>
      <c r="C426" s="109"/>
      <c r="D426" s="109" t="s">
        <v>3</v>
      </c>
      <c r="E426" s="109" t="s">
        <v>3</v>
      </c>
      <c r="F426" s="109" t="s">
        <v>3</v>
      </c>
      <c r="G426" s="110" t="s">
        <v>3</v>
      </c>
    </row>
    <row r="427" ht="22.5" customHeight="1">
      <c r="A427" s="107"/>
      <c r="B427" s="108"/>
      <c r="C427" s="109"/>
      <c r="D427" s="109" t="s">
        <v>3</v>
      </c>
      <c r="E427" s="109" t="s">
        <v>3</v>
      </c>
      <c r="F427" s="109" t="s">
        <v>3</v>
      </c>
      <c r="G427" s="110" t="s">
        <v>3</v>
      </c>
    </row>
    <row r="428" ht="22.5" customHeight="1">
      <c r="A428" s="107"/>
      <c r="B428" s="108"/>
      <c r="C428" s="109"/>
      <c r="D428" s="109" t="s">
        <v>3</v>
      </c>
      <c r="E428" s="109" t="s">
        <v>3</v>
      </c>
      <c r="F428" s="109" t="s">
        <v>3</v>
      </c>
      <c r="G428" s="110" t="s">
        <v>3</v>
      </c>
    </row>
    <row r="429" ht="22.5" customHeight="1">
      <c r="A429" s="107"/>
      <c r="B429" s="108"/>
      <c r="C429" s="109"/>
      <c r="D429" s="109" t="s">
        <v>3</v>
      </c>
      <c r="E429" s="109" t="s">
        <v>3</v>
      </c>
      <c r="F429" s="109" t="s">
        <v>3</v>
      </c>
      <c r="G429" s="110" t="s">
        <v>3</v>
      </c>
    </row>
    <row r="430" ht="22.5" customHeight="1">
      <c r="A430" s="107"/>
      <c r="B430" s="108"/>
      <c r="C430" s="109"/>
      <c r="D430" s="109" t="s">
        <v>3</v>
      </c>
      <c r="E430" s="109" t="s">
        <v>3</v>
      </c>
      <c r="F430" s="109" t="s">
        <v>3</v>
      </c>
      <c r="G430" s="110" t="s">
        <v>3</v>
      </c>
    </row>
    <row r="431" ht="22.5" customHeight="1">
      <c r="A431" s="107"/>
      <c r="B431" s="108"/>
      <c r="C431" s="109"/>
      <c r="D431" s="109" t="s">
        <v>3</v>
      </c>
      <c r="E431" s="109" t="s">
        <v>3</v>
      </c>
      <c r="F431" s="109" t="s">
        <v>3</v>
      </c>
      <c r="G431" s="110" t="s">
        <v>3</v>
      </c>
    </row>
    <row r="432" ht="22.5" customHeight="1">
      <c r="A432" s="107"/>
      <c r="B432" s="108"/>
      <c r="C432" s="109"/>
      <c r="D432" s="109" t="s">
        <v>3</v>
      </c>
      <c r="E432" s="109" t="s">
        <v>3</v>
      </c>
      <c r="F432" s="109" t="s">
        <v>3</v>
      </c>
      <c r="G432" s="110" t="s">
        <v>3</v>
      </c>
    </row>
    <row r="433" ht="22.5" customHeight="1">
      <c r="A433" s="107"/>
      <c r="B433" s="108"/>
      <c r="C433" s="109"/>
      <c r="D433" s="109" t="s">
        <v>3</v>
      </c>
      <c r="E433" s="109" t="s">
        <v>3</v>
      </c>
      <c r="F433" s="109" t="s">
        <v>3</v>
      </c>
      <c r="G433" s="110" t="s">
        <v>3</v>
      </c>
    </row>
    <row r="434" ht="22.5" customHeight="1">
      <c r="A434" s="107"/>
      <c r="B434" s="108"/>
      <c r="C434" s="109"/>
      <c r="D434" s="109" t="s">
        <v>3</v>
      </c>
      <c r="E434" s="109" t="s">
        <v>3</v>
      </c>
      <c r="F434" s="109" t="s">
        <v>3</v>
      </c>
      <c r="G434" s="110" t="s">
        <v>3</v>
      </c>
    </row>
    <row r="435" ht="22.5" customHeight="1">
      <c r="A435" s="107"/>
      <c r="B435" s="108"/>
      <c r="C435" s="109"/>
      <c r="D435" s="109" t="s">
        <v>3</v>
      </c>
      <c r="E435" s="109" t="s">
        <v>3</v>
      </c>
      <c r="F435" s="109" t="s">
        <v>3</v>
      </c>
      <c r="G435" s="110" t="s">
        <v>3</v>
      </c>
    </row>
    <row r="436" ht="22.5" customHeight="1">
      <c r="A436" s="107"/>
      <c r="B436" s="108"/>
      <c r="C436" s="109"/>
      <c r="D436" s="109" t="s">
        <v>3</v>
      </c>
      <c r="E436" s="109" t="s">
        <v>3</v>
      </c>
      <c r="F436" s="109" t="s">
        <v>3</v>
      </c>
      <c r="G436" s="110" t="s">
        <v>3</v>
      </c>
    </row>
    <row r="437" ht="22.5" customHeight="1">
      <c r="A437" s="107"/>
      <c r="B437" s="108"/>
      <c r="C437" s="109"/>
      <c r="D437" s="109" t="s">
        <v>3</v>
      </c>
      <c r="E437" s="109" t="s">
        <v>3</v>
      </c>
      <c r="F437" s="109" t="s">
        <v>3</v>
      </c>
      <c r="G437" s="110" t="s">
        <v>3</v>
      </c>
    </row>
    <row r="438" ht="22.5" customHeight="1">
      <c r="A438" s="107"/>
      <c r="B438" s="108"/>
      <c r="C438" s="109"/>
      <c r="D438" s="109" t="s">
        <v>3</v>
      </c>
      <c r="E438" s="109" t="s">
        <v>3</v>
      </c>
      <c r="F438" s="109" t="s">
        <v>3</v>
      </c>
      <c r="G438" s="110" t="s">
        <v>3</v>
      </c>
    </row>
    <row r="439" ht="22.5" customHeight="1">
      <c r="A439" s="107"/>
      <c r="B439" s="108"/>
      <c r="C439" s="109"/>
      <c r="D439" s="109" t="s">
        <v>3</v>
      </c>
      <c r="E439" s="109" t="s">
        <v>3</v>
      </c>
      <c r="F439" s="109" t="s">
        <v>3</v>
      </c>
      <c r="G439" s="110" t="s">
        <v>3</v>
      </c>
    </row>
    <row r="440" ht="22.5" customHeight="1">
      <c r="A440" s="107"/>
      <c r="B440" s="108"/>
      <c r="C440" s="109"/>
      <c r="D440" s="109" t="s">
        <v>3</v>
      </c>
      <c r="E440" s="109" t="s">
        <v>3</v>
      </c>
      <c r="F440" s="109" t="s">
        <v>3</v>
      </c>
      <c r="G440" s="110" t="s">
        <v>3</v>
      </c>
    </row>
    <row r="441" ht="22.5" customHeight="1">
      <c r="A441" s="107"/>
      <c r="B441" s="108"/>
      <c r="C441" s="109"/>
      <c r="D441" s="109" t="s">
        <v>3</v>
      </c>
      <c r="E441" s="109" t="s">
        <v>3</v>
      </c>
      <c r="F441" s="109" t="s">
        <v>3</v>
      </c>
      <c r="G441" s="110" t="s">
        <v>3</v>
      </c>
    </row>
    <row r="442" ht="22.5" customHeight="1">
      <c r="A442" s="107"/>
      <c r="B442" s="108"/>
      <c r="C442" s="109"/>
      <c r="D442" s="109" t="s">
        <v>3</v>
      </c>
      <c r="E442" s="109" t="s">
        <v>3</v>
      </c>
      <c r="F442" s="109" t="s">
        <v>3</v>
      </c>
      <c r="G442" s="110" t="s">
        <v>3</v>
      </c>
    </row>
    <row r="443" ht="22.5" customHeight="1">
      <c r="A443" s="107"/>
      <c r="B443" s="108"/>
      <c r="C443" s="109"/>
      <c r="D443" s="109" t="s">
        <v>3</v>
      </c>
      <c r="E443" s="109" t="s">
        <v>3</v>
      </c>
      <c r="F443" s="109" t="s">
        <v>3</v>
      </c>
      <c r="G443" s="110" t="s">
        <v>3</v>
      </c>
    </row>
    <row r="444" ht="22.5" customHeight="1">
      <c r="A444" s="107"/>
      <c r="B444" s="108"/>
      <c r="C444" s="109"/>
      <c r="D444" s="109" t="s">
        <v>3</v>
      </c>
      <c r="E444" s="109" t="s">
        <v>3</v>
      </c>
      <c r="F444" s="109" t="s">
        <v>3</v>
      </c>
      <c r="G444" s="110" t="s">
        <v>3</v>
      </c>
    </row>
    <row r="445" ht="22.5" customHeight="1">
      <c r="A445" s="107"/>
      <c r="B445" s="108"/>
      <c r="C445" s="109"/>
      <c r="D445" s="109" t="s">
        <v>3</v>
      </c>
      <c r="E445" s="109" t="s">
        <v>3</v>
      </c>
      <c r="F445" s="109" t="s">
        <v>3</v>
      </c>
      <c r="G445" s="110" t="s">
        <v>3</v>
      </c>
    </row>
    <row r="446" ht="22.5" customHeight="1">
      <c r="A446" s="107"/>
      <c r="B446" s="108"/>
      <c r="C446" s="109"/>
      <c r="D446" s="109" t="s">
        <v>3</v>
      </c>
      <c r="E446" s="109" t="s">
        <v>3</v>
      </c>
      <c r="F446" s="109" t="s">
        <v>3</v>
      </c>
      <c r="G446" s="110" t="s">
        <v>3</v>
      </c>
    </row>
    <row r="447" ht="22.5" customHeight="1">
      <c r="A447" s="107"/>
      <c r="B447" s="108"/>
      <c r="C447" s="109"/>
      <c r="D447" s="109" t="s">
        <v>3</v>
      </c>
      <c r="E447" s="109" t="s">
        <v>3</v>
      </c>
      <c r="F447" s="109" t="s">
        <v>3</v>
      </c>
      <c r="G447" s="110" t="s">
        <v>3</v>
      </c>
    </row>
    <row r="448" ht="22.5" customHeight="1">
      <c r="A448" s="107"/>
      <c r="B448" s="108"/>
      <c r="C448" s="109"/>
      <c r="D448" s="109" t="s">
        <v>3</v>
      </c>
      <c r="E448" s="109" t="s">
        <v>3</v>
      </c>
      <c r="F448" s="109" t="s">
        <v>3</v>
      </c>
      <c r="G448" s="110" t="s">
        <v>3</v>
      </c>
    </row>
    <row r="449" ht="22.5" customHeight="1">
      <c r="A449" s="107"/>
      <c r="B449" s="108"/>
      <c r="C449" s="109"/>
      <c r="D449" s="109" t="s">
        <v>3</v>
      </c>
      <c r="E449" s="109" t="s">
        <v>3</v>
      </c>
      <c r="F449" s="109" t="s">
        <v>3</v>
      </c>
      <c r="G449" s="110" t="s">
        <v>3</v>
      </c>
    </row>
    <row r="450" ht="22.5" customHeight="1">
      <c r="A450" s="107"/>
      <c r="B450" s="108"/>
      <c r="C450" s="109"/>
      <c r="D450" s="109" t="s">
        <v>3</v>
      </c>
      <c r="E450" s="109" t="s">
        <v>3</v>
      </c>
      <c r="F450" s="109" t="s">
        <v>3</v>
      </c>
      <c r="G450" s="110" t="s">
        <v>3</v>
      </c>
    </row>
    <row r="451" ht="22.5" customHeight="1">
      <c r="A451" s="107"/>
      <c r="B451" s="108"/>
      <c r="C451" s="109"/>
      <c r="D451" s="109" t="s">
        <v>3</v>
      </c>
      <c r="E451" s="109" t="s">
        <v>3</v>
      </c>
      <c r="F451" s="109" t="s">
        <v>3</v>
      </c>
      <c r="G451" s="110" t="s">
        <v>3</v>
      </c>
    </row>
    <row r="452" ht="22.5" customHeight="1">
      <c r="A452" s="107"/>
      <c r="B452" s="108"/>
      <c r="C452" s="109"/>
      <c r="D452" s="109" t="s">
        <v>3</v>
      </c>
      <c r="E452" s="109" t="s">
        <v>3</v>
      </c>
      <c r="F452" s="109" t="s">
        <v>3</v>
      </c>
      <c r="G452" s="110" t="s">
        <v>3</v>
      </c>
    </row>
    <row r="453" ht="22.5" customHeight="1">
      <c r="A453" s="107"/>
      <c r="B453" s="108"/>
      <c r="C453" s="109"/>
      <c r="D453" s="109" t="s">
        <v>3</v>
      </c>
      <c r="E453" s="109" t="s">
        <v>3</v>
      </c>
      <c r="F453" s="109" t="s">
        <v>3</v>
      </c>
      <c r="G453" s="110" t="s">
        <v>3</v>
      </c>
    </row>
    <row r="454" ht="22.5" customHeight="1">
      <c r="A454" s="107"/>
      <c r="B454" s="108"/>
      <c r="C454" s="109"/>
      <c r="D454" s="109" t="s">
        <v>3</v>
      </c>
      <c r="E454" s="109" t="s">
        <v>3</v>
      </c>
      <c r="F454" s="109" t="s">
        <v>3</v>
      </c>
      <c r="G454" s="110" t="s">
        <v>3</v>
      </c>
    </row>
    <row r="455" ht="22.5" customHeight="1">
      <c r="A455" s="107"/>
      <c r="B455" s="108"/>
      <c r="C455" s="109"/>
      <c r="D455" s="109" t="s">
        <v>3</v>
      </c>
      <c r="E455" s="109" t="s">
        <v>3</v>
      </c>
      <c r="F455" s="109" t="s">
        <v>3</v>
      </c>
      <c r="G455" s="110" t="s">
        <v>3</v>
      </c>
    </row>
    <row r="456" ht="22.5" customHeight="1">
      <c r="A456" s="107"/>
      <c r="B456" s="108"/>
      <c r="C456" s="109"/>
      <c r="D456" s="109" t="s">
        <v>3</v>
      </c>
      <c r="E456" s="109" t="s">
        <v>3</v>
      </c>
      <c r="F456" s="109" t="s">
        <v>3</v>
      </c>
      <c r="G456" s="110" t="s">
        <v>3</v>
      </c>
    </row>
    <row r="457" ht="22.5" customHeight="1">
      <c r="A457" s="107"/>
      <c r="B457" s="108"/>
      <c r="C457" s="109"/>
      <c r="D457" s="109" t="s">
        <v>3</v>
      </c>
      <c r="E457" s="109" t="s">
        <v>3</v>
      </c>
      <c r="F457" s="109" t="s">
        <v>3</v>
      </c>
      <c r="G457" s="110" t="s">
        <v>3</v>
      </c>
    </row>
    <row r="458" ht="22.5" customHeight="1">
      <c r="A458" s="107"/>
      <c r="B458" s="108"/>
      <c r="C458" s="109"/>
      <c r="D458" s="109" t="s">
        <v>3</v>
      </c>
      <c r="E458" s="109" t="s">
        <v>3</v>
      </c>
      <c r="F458" s="109" t="s">
        <v>3</v>
      </c>
      <c r="G458" s="110" t="s">
        <v>3</v>
      </c>
    </row>
    <row r="459" ht="22.5" customHeight="1">
      <c r="A459" s="107"/>
      <c r="B459" s="108"/>
      <c r="C459" s="109"/>
      <c r="D459" s="109" t="s">
        <v>3</v>
      </c>
      <c r="E459" s="109" t="s">
        <v>3</v>
      </c>
      <c r="F459" s="109" t="s">
        <v>3</v>
      </c>
      <c r="G459" s="110" t="s">
        <v>3</v>
      </c>
    </row>
    <row r="460" ht="22.5" customHeight="1">
      <c r="A460" s="107"/>
      <c r="B460" s="108"/>
      <c r="C460" s="109"/>
      <c r="D460" s="109" t="s">
        <v>3</v>
      </c>
      <c r="E460" s="109" t="s">
        <v>3</v>
      </c>
      <c r="F460" s="109" t="s">
        <v>3</v>
      </c>
      <c r="G460" s="110" t="s">
        <v>3</v>
      </c>
    </row>
    <row r="461" ht="22.5" customHeight="1">
      <c r="A461" s="107"/>
      <c r="B461" s="108"/>
      <c r="C461" s="109"/>
      <c r="D461" s="109" t="s">
        <v>3</v>
      </c>
      <c r="E461" s="109" t="s">
        <v>3</v>
      </c>
      <c r="F461" s="109" t="s">
        <v>3</v>
      </c>
      <c r="G461" s="110" t="s">
        <v>3</v>
      </c>
    </row>
    <row r="462" ht="22.5" customHeight="1">
      <c r="A462" s="107"/>
      <c r="B462" s="108"/>
      <c r="C462" s="109"/>
      <c r="D462" s="109" t="s">
        <v>3</v>
      </c>
      <c r="E462" s="109" t="s">
        <v>3</v>
      </c>
      <c r="F462" s="109" t="s">
        <v>3</v>
      </c>
      <c r="G462" s="110" t="s">
        <v>3</v>
      </c>
    </row>
    <row r="463" ht="22.5" customHeight="1">
      <c r="A463" s="107"/>
      <c r="B463" s="108"/>
      <c r="C463" s="109"/>
      <c r="D463" s="109" t="s">
        <v>3</v>
      </c>
      <c r="E463" s="109" t="s">
        <v>3</v>
      </c>
      <c r="F463" s="109" t="s">
        <v>3</v>
      </c>
      <c r="G463" s="110" t="s">
        <v>3</v>
      </c>
    </row>
    <row r="464" ht="22.5" customHeight="1">
      <c r="A464" s="107"/>
      <c r="B464" s="108"/>
      <c r="C464" s="109"/>
      <c r="D464" s="109" t="s">
        <v>3</v>
      </c>
      <c r="E464" s="109" t="s">
        <v>3</v>
      </c>
      <c r="F464" s="109" t="s">
        <v>3</v>
      </c>
      <c r="G464" s="110" t="s">
        <v>3</v>
      </c>
    </row>
    <row r="465" ht="22.5" customHeight="1">
      <c r="A465" s="107"/>
      <c r="B465" s="108"/>
      <c r="C465" s="109"/>
      <c r="D465" s="109" t="s">
        <v>3</v>
      </c>
      <c r="E465" s="109" t="s">
        <v>3</v>
      </c>
      <c r="F465" s="109" t="s">
        <v>3</v>
      </c>
      <c r="G465" s="110" t="s">
        <v>3</v>
      </c>
    </row>
    <row r="466" ht="22.5" customHeight="1">
      <c r="A466" s="107"/>
      <c r="B466" s="108"/>
      <c r="C466" s="109"/>
      <c r="D466" s="109" t="s">
        <v>3</v>
      </c>
      <c r="E466" s="109" t="s">
        <v>3</v>
      </c>
      <c r="F466" s="109" t="s">
        <v>3</v>
      </c>
      <c r="G466" s="110" t="s">
        <v>3</v>
      </c>
    </row>
    <row r="467" ht="22.5" customHeight="1">
      <c r="A467" s="107"/>
      <c r="B467" s="108"/>
      <c r="C467" s="109"/>
      <c r="D467" s="109" t="s">
        <v>3</v>
      </c>
      <c r="E467" s="109" t="s">
        <v>3</v>
      </c>
      <c r="F467" s="109" t="s">
        <v>3</v>
      </c>
      <c r="G467" s="110" t="s">
        <v>3</v>
      </c>
    </row>
    <row r="468" ht="22.5" customHeight="1">
      <c r="A468" s="107"/>
      <c r="B468" s="108"/>
      <c r="C468" s="109"/>
      <c r="D468" s="109" t="s">
        <v>3</v>
      </c>
      <c r="E468" s="109" t="s">
        <v>3</v>
      </c>
      <c r="F468" s="109" t="s">
        <v>3</v>
      </c>
      <c r="G468" s="110" t="s">
        <v>3</v>
      </c>
    </row>
    <row r="469" ht="22.5" customHeight="1">
      <c r="A469" s="107"/>
      <c r="B469" s="108"/>
      <c r="C469" s="109"/>
      <c r="D469" s="109" t="s">
        <v>3</v>
      </c>
      <c r="E469" s="109" t="s">
        <v>3</v>
      </c>
      <c r="F469" s="109" t="s">
        <v>3</v>
      </c>
      <c r="G469" s="110" t="s">
        <v>3</v>
      </c>
    </row>
    <row r="470" ht="22.5" customHeight="1">
      <c r="A470" s="107"/>
      <c r="B470" s="108"/>
      <c r="C470" s="109"/>
      <c r="D470" s="109" t="s">
        <v>3</v>
      </c>
      <c r="E470" s="109" t="s">
        <v>3</v>
      </c>
      <c r="F470" s="109" t="s">
        <v>3</v>
      </c>
      <c r="G470" s="110" t="s">
        <v>3</v>
      </c>
    </row>
    <row r="471" ht="22.5" customHeight="1">
      <c r="A471" s="107"/>
      <c r="B471" s="108"/>
      <c r="C471" s="109"/>
      <c r="D471" s="109" t="s">
        <v>3</v>
      </c>
      <c r="E471" s="109" t="s">
        <v>3</v>
      </c>
      <c r="F471" s="109" t="s">
        <v>3</v>
      </c>
      <c r="G471" s="110" t="s">
        <v>3</v>
      </c>
    </row>
    <row r="472" ht="22.5" customHeight="1">
      <c r="A472" s="107"/>
      <c r="B472" s="108"/>
      <c r="C472" s="109"/>
      <c r="D472" s="109" t="s">
        <v>3</v>
      </c>
      <c r="E472" s="109" t="s">
        <v>3</v>
      </c>
      <c r="F472" s="109" t="s">
        <v>3</v>
      </c>
      <c r="G472" s="110" t="s">
        <v>3</v>
      </c>
    </row>
    <row r="473" ht="22.5" customHeight="1">
      <c r="A473" s="107"/>
      <c r="B473" s="108"/>
      <c r="C473" s="109"/>
      <c r="D473" s="109" t="s">
        <v>3</v>
      </c>
      <c r="E473" s="109" t="s">
        <v>3</v>
      </c>
      <c r="F473" s="109" t="s">
        <v>3</v>
      </c>
      <c r="G473" s="110" t="s">
        <v>3</v>
      </c>
    </row>
    <row r="474" ht="22.5" customHeight="1">
      <c r="A474" s="107"/>
      <c r="B474" s="108"/>
      <c r="C474" s="109"/>
      <c r="D474" s="109" t="s">
        <v>3</v>
      </c>
      <c r="E474" s="109" t="s">
        <v>3</v>
      </c>
      <c r="F474" s="109" t="s">
        <v>3</v>
      </c>
      <c r="G474" s="110" t="s">
        <v>3</v>
      </c>
    </row>
    <row r="475" ht="22.5" customHeight="1">
      <c r="A475" s="107"/>
      <c r="B475" s="108"/>
      <c r="C475" s="109"/>
      <c r="D475" s="109" t="s">
        <v>3</v>
      </c>
      <c r="E475" s="109" t="s">
        <v>3</v>
      </c>
      <c r="F475" s="109" t="s">
        <v>3</v>
      </c>
      <c r="G475" s="110" t="s">
        <v>3</v>
      </c>
    </row>
    <row r="476" ht="22.5" customHeight="1">
      <c r="A476" s="107"/>
      <c r="B476" s="108"/>
      <c r="C476" s="109"/>
      <c r="D476" s="109" t="s">
        <v>3</v>
      </c>
      <c r="E476" s="109" t="s">
        <v>3</v>
      </c>
      <c r="F476" s="109" t="s">
        <v>3</v>
      </c>
      <c r="G476" s="110" t="s">
        <v>3</v>
      </c>
    </row>
    <row r="477" ht="22.5" customHeight="1">
      <c r="A477" s="107"/>
      <c r="B477" s="108"/>
      <c r="C477" s="109"/>
      <c r="D477" s="109" t="s">
        <v>3</v>
      </c>
      <c r="E477" s="109" t="s">
        <v>3</v>
      </c>
      <c r="F477" s="109" t="s">
        <v>3</v>
      </c>
      <c r="G477" s="110" t="s">
        <v>3</v>
      </c>
    </row>
    <row r="478" ht="22.5" customHeight="1">
      <c r="A478" s="107"/>
      <c r="B478" s="108"/>
      <c r="C478" s="109"/>
      <c r="D478" s="109" t="s">
        <v>3</v>
      </c>
      <c r="E478" s="109" t="s">
        <v>3</v>
      </c>
      <c r="F478" s="109" t="s">
        <v>3</v>
      </c>
      <c r="G478" s="110" t="s">
        <v>3</v>
      </c>
    </row>
    <row r="479" ht="22.5" customHeight="1">
      <c r="A479" s="107"/>
      <c r="B479" s="108"/>
      <c r="C479" s="109"/>
      <c r="D479" s="109" t="s">
        <v>3</v>
      </c>
      <c r="E479" s="109" t="s">
        <v>3</v>
      </c>
      <c r="F479" s="109" t="s">
        <v>3</v>
      </c>
      <c r="G479" s="110" t="s">
        <v>3</v>
      </c>
    </row>
    <row r="480" ht="22.5" customHeight="1">
      <c r="A480" s="107"/>
      <c r="B480" s="108"/>
      <c r="C480" s="109"/>
      <c r="D480" s="109" t="s">
        <v>3</v>
      </c>
      <c r="E480" s="109" t="s">
        <v>3</v>
      </c>
      <c r="F480" s="109" t="s">
        <v>3</v>
      </c>
      <c r="G480" s="110" t="s">
        <v>3</v>
      </c>
    </row>
    <row r="481" ht="22.5" customHeight="1">
      <c r="A481" s="107"/>
      <c r="B481" s="108"/>
      <c r="C481" s="109"/>
      <c r="D481" s="109" t="s">
        <v>3</v>
      </c>
      <c r="E481" s="109" t="s">
        <v>3</v>
      </c>
      <c r="F481" s="109" t="s">
        <v>3</v>
      </c>
      <c r="G481" s="110" t="s">
        <v>3</v>
      </c>
    </row>
    <row r="482" ht="22.5" customHeight="1">
      <c r="A482" s="107"/>
      <c r="B482" s="108"/>
      <c r="C482" s="109"/>
      <c r="D482" s="109" t="s">
        <v>3</v>
      </c>
      <c r="E482" s="109" t="s">
        <v>3</v>
      </c>
      <c r="F482" s="109" t="s">
        <v>3</v>
      </c>
      <c r="G482" s="110" t="s">
        <v>3</v>
      </c>
    </row>
    <row r="483" ht="22.5" customHeight="1">
      <c r="A483" s="107"/>
      <c r="B483" s="108"/>
      <c r="C483" s="109"/>
      <c r="D483" s="109" t="s">
        <v>3</v>
      </c>
      <c r="E483" s="109" t="s">
        <v>3</v>
      </c>
      <c r="F483" s="109" t="s">
        <v>3</v>
      </c>
      <c r="G483" s="110" t="s">
        <v>3</v>
      </c>
    </row>
    <row r="484" ht="22.5" customHeight="1">
      <c r="A484" s="107"/>
      <c r="B484" s="108"/>
      <c r="C484" s="109"/>
      <c r="D484" s="109" t="s">
        <v>3</v>
      </c>
      <c r="E484" s="109" t="s">
        <v>3</v>
      </c>
      <c r="F484" s="109" t="s">
        <v>3</v>
      </c>
      <c r="G484" s="110" t="s">
        <v>3</v>
      </c>
    </row>
    <row r="485" ht="22.5" customHeight="1">
      <c r="A485" s="107"/>
      <c r="B485" s="108"/>
      <c r="C485" s="109"/>
      <c r="D485" s="109" t="s">
        <v>3</v>
      </c>
      <c r="E485" s="109" t="s">
        <v>3</v>
      </c>
      <c r="F485" s="109" t="s">
        <v>3</v>
      </c>
      <c r="G485" s="110" t="s">
        <v>3</v>
      </c>
    </row>
    <row r="486" ht="22.5" customHeight="1">
      <c r="A486" s="107"/>
      <c r="B486" s="108"/>
      <c r="C486" s="109"/>
      <c r="D486" s="109" t="s">
        <v>3</v>
      </c>
      <c r="E486" s="109" t="s">
        <v>3</v>
      </c>
      <c r="F486" s="109" t="s">
        <v>3</v>
      </c>
      <c r="G486" s="110" t="s">
        <v>3</v>
      </c>
    </row>
    <row r="487" ht="22.5" customHeight="1">
      <c r="A487" s="107"/>
      <c r="B487" s="108"/>
      <c r="C487" s="109"/>
      <c r="D487" s="109" t="s">
        <v>3</v>
      </c>
      <c r="E487" s="109" t="s">
        <v>3</v>
      </c>
      <c r="F487" s="109" t="s">
        <v>3</v>
      </c>
      <c r="G487" s="110" t="s">
        <v>3</v>
      </c>
    </row>
    <row r="488" ht="22.5" customHeight="1">
      <c r="A488" s="107"/>
      <c r="B488" s="108"/>
      <c r="C488" s="109"/>
      <c r="D488" s="109" t="s">
        <v>3</v>
      </c>
      <c r="E488" s="109" t="s">
        <v>3</v>
      </c>
      <c r="F488" s="109" t="s">
        <v>3</v>
      </c>
      <c r="G488" s="110" t="s">
        <v>3</v>
      </c>
    </row>
    <row r="489" ht="22.5" customHeight="1">
      <c r="A489" s="107"/>
      <c r="B489" s="108"/>
      <c r="C489" s="109"/>
      <c r="D489" s="109" t="s">
        <v>3</v>
      </c>
      <c r="E489" s="109" t="s">
        <v>3</v>
      </c>
      <c r="F489" s="109" t="s">
        <v>3</v>
      </c>
      <c r="G489" s="110" t="s">
        <v>3</v>
      </c>
    </row>
    <row r="490" ht="22.5" customHeight="1">
      <c r="A490" s="107"/>
      <c r="B490" s="108"/>
      <c r="C490" s="109"/>
      <c r="D490" s="109" t="s">
        <v>3</v>
      </c>
      <c r="E490" s="109" t="s">
        <v>3</v>
      </c>
      <c r="F490" s="109" t="s">
        <v>3</v>
      </c>
      <c r="G490" s="110" t="s">
        <v>3</v>
      </c>
    </row>
    <row r="491" ht="22.5" customHeight="1">
      <c r="A491" s="107"/>
      <c r="B491" s="108"/>
      <c r="C491" s="109"/>
      <c r="D491" s="109" t="s">
        <v>3</v>
      </c>
      <c r="E491" s="109" t="s">
        <v>3</v>
      </c>
      <c r="F491" s="109" t="s">
        <v>3</v>
      </c>
      <c r="G491" s="110" t="s">
        <v>3</v>
      </c>
    </row>
    <row r="492" ht="22.5" customHeight="1">
      <c r="A492" s="107"/>
      <c r="B492" s="108"/>
      <c r="C492" s="109"/>
      <c r="D492" s="109" t="s">
        <v>3</v>
      </c>
      <c r="E492" s="109" t="s">
        <v>3</v>
      </c>
      <c r="F492" s="109" t="s">
        <v>3</v>
      </c>
      <c r="G492" s="110" t="s">
        <v>3</v>
      </c>
    </row>
    <row r="493" ht="22.5" customHeight="1">
      <c r="A493" s="107"/>
      <c r="B493" s="108"/>
      <c r="C493" s="109"/>
      <c r="D493" s="109" t="s">
        <v>3</v>
      </c>
      <c r="E493" s="109" t="s">
        <v>3</v>
      </c>
      <c r="F493" s="109" t="s">
        <v>3</v>
      </c>
      <c r="G493" s="110" t="s">
        <v>3</v>
      </c>
    </row>
    <row r="494" ht="22.5" customHeight="1">
      <c r="A494" s="107"/>
      <c r="B494" s="108"/>
      <c r="C494" s="109"/>
      <c r="D494" s="109" t="s">
        <v>3</v>
      </c>
      <c r="E494" s="109" t="s">
        <v>3</v>
      </c>
      <c r="F494" s="109" t="s">
        <v>3</v>
      </c>
      <c r="G494" s="110" t="s">
        <v>3</v>
      </c>
    </row>
    <row r="495" ht="22.5" customHeight="1">
      <c r="A495" s="107"/>
      <c r="B495" s="108"/>
      <c r="C495" s="109"/>
      <c r="D495" s="109" t="s">
        <v>3</v>
      </c>
      <c r="E495" s="109" t="s">
        <v>3</v>
      </c>
      <c r="F495" s="109" t="s">
        <v>3</v>
      </c>
      <c r="G495" s="110" t="s">
        <v>3</v>
      </c>
    </row>
    <row r="496" ht="22.5" customHeight="1">
      <c r="A496" s="107"/>
      <c r="B496" s="108"/>
      <c r="C496" s="109"/>
      <c r="D496" s="109" t="s">
        <v>3</v>
      </c>
      <c r="E496" s="109" t="s">
        <v>3</v>
      </c>
      <c r="F496" s="109" t="s">
        <v>3</v>
      </c>
      <c r="G496" s="110" t="s">
        <v>3</v>
      </c>
    </row>
    <row r="497" ht="22.5" customHeight="1">
      <c r="A497" s="107"/>
      <c r="B497" s="108"/>
      <c r="C497" s="109"/>
      <c r="D497" s="109" t="s">
        <v>3</v>
      </c>
      <c r="E497" s="109" t="s">
        <v>3</v>
      </c>
      <c r="F497" s="109" t="s">
        <v>3</v>
      </c>
      <c r="G497" s="110" t="s">
        <v>3</v>
      </c>
    </row>
    <row r="498" ht="22.5" customHeight="1">
      <c r="A498" s="107"/>
      <c r="B498" s="108"/>
      <c r="C498" s="109"/>
      <c r="D498" s="109" t="s">
        <v>3</v>
      </c>
      <c r="E498" s="109" t="s">
        <v>3</v>
      </c>
      <c r="F498" s="109" t="s">
        <v>3</v>
      </c>
      <c r="G498" s="110" t="s">
        <v>3</v>
      </c>
    </row>
    <row r="499" ht="22.5" customHeight="1">
      <c r="A499" s="107"/>
      <c r="B499" s="108"/>
      <c r="C499" s="109"/>
      <c r="D499" s="109" t="s">
        <v>3</v>
      </c>
      <c r="E499" s="109" t="s">
        <v>3</v>
      </c>
      <c r="F499" s="109" t="s">
        <v>3</v>
      </c>
      <c r="G499" s="110" t="s">
        <v>3</v>
      </c>
    </row>
    <row r="500" ht="22.5" customHeight="1">
      <c r="A500" s="107"/>
      <c r="B500" s="108"/>
      <c r="C500" s="109"/>
      <c r="D500" s="109" t="s">
        <v>3</v>
      </c>
      <c r="E500" s="109" t="s">
        <v>3</v>
      </c>
      <c r="F500" s="109" t="s">
        <v>3</v>
      </c>
      <c r="G500" s="110" t="s">
        <v>3</v>
      </c>
    </row>
    <row r="501" ht="22.5" customHeight="1">
      <c r="A501" s="107"/>
      <c r="B501" s="108"/>
      <c r="C501" s="109"/>
      <c r="D501" s="109" t="s">
        <v>3</v>
      </c>
      <c r="E501" s="109" t="s">
        <v>3</v>
      </c>
      <c r="F501" s="109" t="s">
        <v>3</v>
      </c>
      <c r="G501" s="110" t="s">
        <v>3</v>
      </c>
    </row>
    <row r="502" ht="22.5" customHeight="1">
      <c r="A502" s="107"/>
      <c r="B502" s="108"/>
      <c r="C502" s="109"/>
      <c r="D502" s="109" t="s">
        <v>3</v>
      </c>
      <c r="E502" s="109" t="s">
        <v>3</v>
      </c>
      <c r="F502" s="109" t="s">
        <v>3</v>
      </c>
      <c r="G502" s="110" t="s">
        <v>3</v>
      </c>
    </row>
    <row r="503" ht="22.5" customHeight="1">
      <c r="A503" s="107"/>
      <c r="B503" s="108"/>
      <c r="C503" s="109"/>
      <c r="D503" s="109" t="s">
        <v>3</v>
      </c>
      <c r="E503" s="109" t="s">
        <v>3</v>
      </c>
      <c r="F503" s="109" t="s">
        <v>3</v>
      </c>
      <c r="G503" s="110" t="s">
        <v>3</v>
      </c>
    </row>
    <row r="504" ht="22.5" customHeight="1">
      <c r="A504" s="107"/>
      <c r="B504" s="108"/>
      <c r="C504" s="109"/>
      <c r="D504" s="109" t="s">
        <v>3</v>
      </c>
      <c r="E504" s="109" t="s">
        <v>3</v>
      </c>
      <c r="F504" s="109" t="s">
        <v>3</v>
      </c>
      <c r="G504" s="110" t="s">
        <v>3</v>
      </c>
    </row>
    <row r="505" ht="22.5" customHeight="1">
      <c r="A505" s="107"/>
      <c r="B505" s="108"/>
      <c r="C505" s="109"/>
      <c r="D505" s="109" t="s">
        <v>3</v>
      </c>
      <c r="E505" s="109" t="s">
        <v>3</v>
      </c>
      <c r="F505" s="109" t="s">
        <v>3</v>
      </c>
      <c r="G505" s="110" t="s">
        <v>3</v>
      </c>
    </row>
    <row r="506" ht="22.5" customHeight="1">
      <c r="A506" s="107"/>
      <c r="B506" s="108"/>
      <c r="C506" s="109"/>
      <c r="D506" s="109" t="s">
        <v>3</v>
      </c>
      <c r="E506" s="109" t="s">
        <v>3</v>
      </c>
      <c r="F506" s="109" t="s">
        <v>3</v>
      </c>
      <c r="G506" s="110" t="s">
        <v>3</v>
      </c>
    </row>
    <row r="507" ht="22.5" customHeight="1">
      <c r="A507" s="107"/>
      <c r="B507" s="108"/>
      <c r="C507" s="109"/>
      <c r="D507" s="109" t="s">
        <v>3</v>
      </c>
      <c r="E507" s="109" t="s">
        <v>3</v>
      </c>
      <c r="F507" s="109" t="s">
        <v>3</v>
      </c>
      <c r="G507" s="110" t="s">
        <v>3</v>
      </c>
    </row>
    <row r="508" ht="22.5" customHeight="1">
      <c r="A508" s="107"/>
      <c r="B508" s="108"/>
      <c r="C508" s="109"/>
      <c r="D508" s="109" t="s">
        <v>3</v>
      </c>
      <c r="E508" s="109" t="s">
        <v>3</v>
      </c>
      <c r="F508" s="109" t="s">
        <v>3</v>
      </c>
      <c r="G508" s="110" t="s">
        <v>3</v>
      </c>
    </row>
    <row r="509" ht="22.5" customHeight="1">
      <c r="A509" s="107"/>
      <c r="B509" s="108"/>
      <c r="C509" s="109"/>
      <c r="D509" s="109" t="s">
        <v>3</v>
      </c>
      <c r="E509" s="109" t="s">
        <v>3</v>
      </c>
      <c r="F509" s="109" t="s">
        <v>3</v>
      </c>
      <c r="G509" s="110" t="s">
        <v>3</v>
      </c>
    </row>
    <row r="510" ht="22.5" customHeight="1">
      <c r="A510" s="107"/>
      <c r="B510" s="108"/>
      <c r="C510" s="109"/>
      <c r="D510" s="109" t="s">
        <v>3</v>
      </c>
      <c r="E510" s="109" t="s">
        <v>3</v>
      </c>
      <c r="F510" s="109" t="s">
        <v>3</v>
      </c>
      <c r="G510" s="110" t="s">
        <v>3</v>
      </c>
    </row>
    <row r="511" ht="22.5" customHeight="1">
      <c r="A511" s="107"/>
      <c r="B511" s="108"/>
      <c r="C511" s="109"/>
      <c r="D511" s="109" t="s">
        <v>3</v>
      </c>
      <c r="E511" s="109" t="s">
        <v>3</v>
      </c>
      <c r="F511" s="109" t="s">
        <v>3</v>
      </c>
      <c r="G511" s="110" t="s">
        <v>3</v>
      </c>
    </row>
    <row r="512" ht="22.5" customHeight="1">
      <c r="A512" s="107"/>
      <c r="B512" s="108"/>
      <c r="C512" s="109"/>
      <c r="D512" s="109" t="s">
        <v>3</v>
      </c>
      <c r="E512" s="109" t="s">
        <v>3</v>
      </c>
      <c r="F512" s="109" t="s">
        <v>3</v>
      </c>
      <c r="G512" s="110" t="s">
        <v>3</v>
      </c>
    </row>
    <row r="513" ht="22.5" customHeight="1">
      <c r="A513" s="107"/>
      <c r="B513" s="108"/>
      <c r="C513" s="109"/>
      <c r="D513" s="109" t="s">
        <v>3</v>
      </c>
      <c r="E513" s="109" t="s">
        <v>3</v>
      </c>
      <c r="F513" s="109" t="s">
        <v>3</v>
      </c>
      <c r="G513" s="110" t="s">
        <v>3</v>
      </c>
    </row>
    <row r="514" ht="22.5" customHeight="1">
      <c r="A514" s="107"/>
      <c r="B514" s="108"/>
      <c r="C514" s="109"/>
      <c r="D514" s="109" t="s">
        <v>3</v>
      </c>
      <c r="E514" s="109" t="s">
        <v>3</v>
      </c>
      <c r="F514" s="109" t="s">
        <v>3</v>
      </c>
      <c r="G514" s="110" t="s">
        <v>3</v>
      </c>
    </row>
    <row r="515" ht="22.5" customHeight="1">
      <c r="A515" s="107"/>
      <c r="B515" s="108"/>
      <c r="C515" s="109"/>
      <c r="D515" s="109" t="s">
        <v>3</v>
      </c>
      <c r="E515" s="109" t="s">
        <v>3</v>
      </c>
      <c r="F515" s="109" t="s">
        <v>3</v>
      </c>
      <c r="G515" s="110" t="s">
        <v>3</v>
      </c>
    </row>
    <row r="516" ht="22.5" customHeight="1">
      <c r="A516" s="107"/>
      <c r="B516" s="108"/>
      <c r="C516" s="109"/>
      <c r="D516" s="109" t="s">
        <v>3</v>
      </c>
      <c r="E516" s="109" t="s">
        <v>3</v>
      </c>
      <c r="F516" s="109" t="s">
        <v>3</v>
      </c>
      <c r="G516" s="110" t="s">
        <v>3</v>
      </c>
    </row>
    <row r="517" ht="22.5" customHeight="1">
      <c r="A517" s="107"/>
      <c r="B517" s="108"/>
      <c r="C517" s="109"/>
      <c r="D517" s="109" t="s">
        <v>3</v>
      </c>
      <c r="E517" s="109" t="s">
        <v>3</v>
      </c>
      <c r="F517" s="109" t="s">
        <v>3</v>
      </c>
      <c r="G517" s="110" t="s">
        <v>3</v>
      </c>
    </row>
    <row r="518" ht="22.5" customHeight="1">
      <c r="A518" s="107"/>
      <c r="B518" s="108"/>
      <c r="C518" s="109"/>
      <c r="D518" s="109" t="s">
        <v>3</v>
      </c>
      <c r="E518" s="109" t="s">
        <v>3</v>
      </c>
      <c r="F518" s="109" t="s">
        <v>3</v>
      </c>
      <c r="G518" s="110" t="s">
        <v>3</v>
      </c>
    </row>
    <row r="519" ht="22.5" customHeight="1">
      <c r="A519" s="107"/>
      <c r="B519" s="108"/>
      <c r="C519" s="109"/>
      <c r="D519" s="109" t="s">
        <v>3</v>
      </c>
      <c r="E519" s="109" t="s">
        <v>3</v>
      </c>
      <c r="F519" s="109" t="s">
        <v>3</v>
      </c>
      <c r="G519" s="110" t="s">
        <v>3</v>
      </c>
    </row>
    <row r="520" ht="22.5" customHeight="1">
      <c r="A520" s="107"/>
      <c r="B520" s="108"/>
      <c r="C520" s="109"/>
      <c r="D520" s="109" t="s">
        <v>3</v>
      </c>
      <c r="E520" s="109" t="s">
        <v>3</v>
      </c>
      <c r="F520" s="109" t="s">
        <v>3</v>
      </c>
      <c r="G520" s="110" t="s">
        <v>3</v>
      </c>
    </row>
    <row r="521" ht="22.5" customHeight="1">
      <c r="A521" s="107"/>
      <c r="B521" s="108"/>
      <c r="C521" s="109"/>
      <c r="D521" s="109" t="s">
        <v>3</v>
      </c>
      <c r="E521" s="109" t="s">
        <v>3</v>
      </c>
      <c r="F521" s="109" t="s">
        <v>3</v>
      </c>
      <c r="G521" s="110" t="s">
        <v>3</v>
      </c>
    </row>
    <row r="522" ht="22.5" customHeight="1">
      <c r="A522" s="107"/>
      <c r="B522" s="108"/>
      <c r="C522" s="109"/>
      <c r="D522" s="109" t="s">
        <v>3</v>
      </c>
      <c r="E522" s="109" t="s">
        <v>3</v>
      </c>
      <c r="F522" s="109" t="s">
        <v>3</v>
      </c>
      <c r="G522" s="110" t="s">
        <v>3</v>
      </c>
    </row>
    <row r="523" ht="22.5" customHeight="1">
      <c r="A523" s="107"/>
      <c r="B523" s="108"/>
      <c r="C523" s="109"/>
      <c r="D523" s="109" t="s">
        <v>3</v>
      </c>
      <c r="E523" s="109" t="s">
        <v>3</v>
      </c>
      <c r="F523" s="109" t="s">
        <v>3</v>
      </c>
      <c r="G523" s="110" t="s">
        <v>3</v>
      </c>
    </row>
    <row r="524" ht="22.5" customHeight="1">
      <c r="A524" s="107"/>
      <c r="B524" s="108"/>
      <c r="C524" s="109"/>
      <c r="D524" s="109" t="s">
        <v>3</v>
      </c>
      <c r="E524" s="109" t="s">
        <v>3</v>
      </c>
      <c r="F524" s="109" t="s">
        <v>3</v>
      </c>
      <c r="G524" s="110" t="s">
        <v>3</v>
      </c>
    </row>
    <row r="525" ht="22.5" customHeight="1">
      <c r="A525" s="107"/>
      <c r="B525" s="108"/>
      <c r="C525" s="109"/>
      <c r="D525" s="109" t="s">
        <v>3</v>
      </c>
      <c r="E525" s="109" t="s">
        <v>3</v>
      </c>
      <c r="F525" s="109" t="s">
        <v>3</v>
      </c>
      <c r="G525" s="110" t="s">
        <v>3</v>
      </c>
    </row>
    <row r="526" ht="22.5" customHeight="1">
      <c r="A526" s="107"/>
      <c r="B526" s="108"/>
      <c r="C526" s="109"/>
      <c r="D526" s="109" t="s">
        <v>3</v>
      </c>
      <c r="E526" s="109" t="s">
        <v>3</v>
      </c>
      <c r="F526" s="109" t="s">
        <v>3</v>
      </c>
      <c r="G526" s="110" t="s">
        <v>3</v>
      </c>
    </row>
    <row r="527" ht="22.5" customHeight="1">
      <c r="A527" s="107"/>
      <c r="B527" s="108"/>
      <c r="C527" s="109"/>
      <c r="D527" s="109" t="s">
        <v>3</v>
      </c>
      <c r="E527" s="109" t="s">
        <v>3</v>
      </c>
      <c r="F527" s="109" t="s">
        <v>3</v>
      </c>
      <c r="G527" s="110" t="s">
        <v>3</v>
      </c>
    </row>
    <row r="528" ht="22.5" customHeight="1">
      <c r="A528" s="107"/>
      <c r="B528" s="108"/>
      <c r="C528" s="109"/>
      <c r="D528" s="109" t="s">
        <v>3</v>
      </c>
      <c r="E528" s="109" t="s">
        <v>3</v>
      </c>
      <c r="F528" s="109" t="s">
        <v>3</v>
      </c>
      <c r="G528" s="110" t="s">
        <v>3</v>
      </c>
    </row>
    <row r="529" ht="22.5" customHeight="1">
      <c r="A529" s="107"/>
      <c r="B529" s="108"/>
      <c r="C529" s="109"/>
      <c r="D529" s="109" t="s">
        <v>3</v>
      </c>
      <c r="E529" s="109" t="s">
        <v>3</v>
      </c>
      <c r="F529" s="109" t="s">
        <v>3</v>
      </c>
      <c r="G529" s="110" t="s">
        <v>3</v>
      </c>
    </row>
    <row r="530" ht="22.5" customHeight="1">
      <c r="A530" s="107"/>
      <c r="B530" s="108"/>
      <c r="C530" s="109"/>
      <c r="D530" s="109" t="s">
        <v>3</v>
      </c>
      <c r="E530" s="109" t="s">
        <v>3</v>
      </c>
      <c r="F530" s="109" t="s">
        <v>3</v>
      </c>
      <c r="G530" s="110" t="s">
        <v>3</v>
      </c>
    </row>
    <row r="531" ht="22.5" customHeight="1">
      <c r="A531" s="107"/>
      <c r="B531" s="108"/>
      <c r="C531" s="109"/>
      <c r="D531" s="109" t="s">
        <v>3</v>
      </c>
      <c r="E531" s="109" t="s">
        <v>3</v>
      </c>
      <c r="F531" s="109" t="s">
        <v>3</v>
      </c>
      <c r="G531" s="110" t="s">
        <v>3</v>
      </c>
    </row>
    <row r="532" ht="22.5" customHeight="1">
      <c r="A532" s="107"/>
      <c r="B532" s="108"/>
      <c r="C532" s="109"/>
      <c r="D532" s="109" t="s">
        <v>3</v>
      </c>
      <c r="E532" s="109" t="s">
        <v>3</v>
      </c>
      <c r="F532" s="109" t="s">
        <v>3</v>
      </c>
      <c r="G532" s="110" t="s">
        <v>3</v>
      </c>
    </row>
    <row r="533" ht="22.5" customHeight="1">
      <c r="A533" s="107"/>
      <c r="B533" s="108"/>
      <c r="C533" s="109"/>
      <c r="D533" s="109" t="s">
        <v>3</v>
      </c>
      <c r="E533" s="109" t="s">
        <v>3</v>
      </c>
      <c r="F533" s="109" t="s">
        <v>3</v>
      </c>
      <c r="G533" s="110" t="s">
        <v>3</v>
      </c>
    </row>
    <row r="534" ht="22.5" customHeight="1">
      <c r="A534" s="107"/>
      <c r="B534" s="108"/>
      <c r="C534" s="109"/>
      <c r="D534" s="109" t="s">
        <v>3</v>
      </c>
      <c r="E534" s="109" t="s">
        <v>3</v>
      </c>
      <c r="F534" s="109" t="s">
        <v>3</v>
      </c>
      <c r="G534" s="110" t="s">
        <v>3</v>
      </c>
    </row>
    <row r="535" ht="22.5" customHeight="1">
      <c r="A535" s="107"/>
      <c r="B535" s="108"/>
      <c r="C535" s="109"/>
      <c r="D535" s="109" t="s">
        <v>3</v>
      </c>
      <c r="E535" s="109" t="s">
        <v>3</v>
      </c>
      <c r="F535" s="109" t="s">
        <v>3</v>
      </c>
      <c r="G535" s="110" t="s">
        <v>3</v>
      </c>
    </row>
    <row r="536" ht="22.5" customHeight="1">
      <c r="A536" s="107"/>
      <c r="B536" s="108"/>
      <c r="C536" s="109"/>
      <c r="D536" s="109" t="s">
        <v>3</v>
      </c>
      <c r="E536" s="109" t="s">
        <v>3</v>
      </c>
      <c r="F536" s="109" t="s">
        <v>3</v>
      </c>
      <c r="G536" s="110" t="s">
        <v>3</v>
      </c>
    </row>
    <row r="537" ht="22.5" customHeight="1">
      <c r="A537" s="107"/>
      <c r="B537" s="108"/>
      <c r="C537" s="109"/>
      <c r="D537" s="109" t="s">
        <v>3</v>
      </c>
      <c r="E537" s="109" t="s">
        <v>3</v>
      </c>
      <c r="F537" s="109" t="s">
        <v>3</v>
      </c>
      <c r="G537" s="110" t="s">
        <v>3</v>
      </c>
    </row>
    <row r="538" ht="22.5" customHeight="1">
      <c r="A538" s="107"/>
      <c r="B538" s="108"/>
      <c r="C538" s="109"/>
      <c r="D538" s="109" t="s">
        <v>3</v>
      </c>
      <c r="E538" s="109" t="s">
        <v>3</v>
      </c>
      <c r="F538" s="109" t="s">
        <v>3</v>
      </c>
      <c r="G538" s="110" t="s">
        <v>3</v>
      </c>
    </row>
    <row r="539" ht="22.5" customHeight="1">
      <c r="A539" s="107"/>
      <c r="B539" s="108"/>
      <c r="C539" s="109"/>
      <c r="D539" s="109" t="s">
        <v>3</v>
      </c>
      <c r="E539" s="109" t="s">
        <v>3</v>
      </c>
      <c r="F539" s="109" t="s">
        <v>3</v>
      </c>
      <c r="G539" s="110" t="s">
        <v>3</v>
      </c>
    </row>
    <row r="540" ht="22.5" customHeight="1">
      <c r="A540" s="107"/>
      <c r="B540" s="108"/>
      <c r="C540" s="109"/>
      <c r="D540" s="109" t="s">
        <v>3</v>
      </c>
      <c r="E540" s="109" t="s">
        <v>3</v>
      </c>
      <c r="F540" s="109" t="s">
        <v>3</v>
      </c>
      <c r="G540" s="110" t="s">
        <v>3</v>
      </c>
    </row>
    <row r="541" ht="22.5" customHeight="1">
      <c r="A541" s="107"/>
      <c r="B541" s="108"/>
      <c r="C541" s="109"/>
      <c r="D541" s="109" t="s">
        <v>3</v>
      </c>
      <c r="E541" s="109" t="s">
        <v>3</v>
      </c>
      <c r="F541" s="109" t="s">
        <v>3</v>
      </c>
      <c r="G541" s="110" t="s">
        <v>3</v>
      </c>
    </row>
    <row r="542" ht="22.5" customHeight="1">
      <c r="A542" s="107"/>
      <c r="B542" s="108"/>
      <c r="C542" s="109"/>
      <c r="D542" s="109" t="s">
        <v>3</v>
      </c>
      <c r="E542" s="109" t="s">
        <v>3</v>
      </c>
      <c r="F542" s="109" t="s">
        <v>3</v>
      </c>
      <c r="G542" s="110" t="s">
        <v>3</v>
      </c>
    </row>
    <row r="543" ht="22.5" customHeight="1">
      <c r="A543" s="107"/>
      <c r="B543" s="108"/>
      <c r="C543" s="109"/>
      <c r="D543" s="109" t="s">
        <v>3</v>
      </c>
      <c r="E543" s="109" t="s">
        <v>3</v>
      </c>
      <c r="F543" s="109" t="s">
        <v>3</v>
      </c>
      <c r="G543" s="110" t="s">
        <v>3</v>
      </c>
    </row>
    <row r="544" ht="22.5" customHeight="1">
      <c r="A544" s="107"/>
      <c r="B544" s="108"/>
      <c r="C544" s="109"/>
      <c r="D544" s="109" t="s">
        <v>3</v>
      </c>
      <c r="E544" s="109" t="s">
        <v>3</v>
      </c>
      <c r="F544" s="109" t="s">
        <v>3</v>
      </c>
      <c r="G544" s="110" t="s">
        <v>3</v>
      </c>
    </row>
    <row r="545" ht="22.5" customHeight="1">
      <c r="A545" s="107"/>
      <c r="B545" s="108"/>
      <c r="C545" s="109"/>
      <c r="D545" s="109" t="s">
        <v>3</v>
      </c>
      <c r="E545" s="109" t="s">
        <v>3</v>
      </c>
      <c r="F545" s="109" t="s">
        <v>3</v>
      </c>
      <c r="G545" s="110" t="s">
        <v>3</v>
      </c>
    </row>
    <row r="546" ht="22.5" customHeight="1">
      <c r="A546" s="107"/>
      <c r="B546" s="108"/>
      <c r="C546" s="109"/>
      <c r="D546" s="109" t="s">
        <v>3</v>
      </c>
      <c r="E546" s="109" t="s">
        <v>3</v>
      </c>
      <c r="F546" s="109" t="s">
        <v>3</v>
      </c>
      <c r="G546" s="110" t="s">
        <v>3</v>
      </c>
    </row>
    <row r="547" ht="22.5" customHeight="1">
      <c r="A547" s="107"/>
      <c r="B547" s="108"/>
      <c r="C547" s="109"/>
      <c r="D547" s="109" t="s">
        <v>3</v>
      </c>
      <c r="E547" s="109" t="s">
        <v>3</v>
      </c>
      <c r="F547" s="109" t="s">
        <v>3</v>
      </c>
      <c r="G547" s="110" t="s">
        <v>3</v>
      </c>
    </row>
    <row r="548" ht="22.5" customHeight="1">
      <c r="A548" s="107"/>
      <c r="B548" s="108"/>
      <c r="C548" s="109"/>
      <c r="D548" s="109" t="s">
        <v>3</v>
      </c>
      <c r="E548" s="109" t="s">
        <v>3</v>
      </c>
      <c r="F548" s="109" t="s">
        <v>3</v>
      </c>
      <c r="G548" s="110" t="s">
        <v>3</v>
      </c>
    </row>
    <row r="549" ht="22.5" customHeight="1">
      <c r="A549" s="107"/>
      <c r="B549" s="108"/>
      <c r="C549" s="109"/>
      <c r="D549" s="109" t="s">
        <v>3</v>
      </c>
      <c r="E549" s="109" t="s">
        <v>3</v>
      </c>
      <c r="F549" s="109" t="s">
        <v>3</v>
      </c>
      <c r="G549" s="110" t="s">
        <v>3</v>
      </c>
    </row>
    <row r="550" ht="22.5" customHeight="1">
      <c r="A550" s="107"/>
      <c r="B550" s="108"/>
      <c r="C550" s="109"/>
      <c r="D550" s="109" t="s">
        <v>3</v>
      </c>
      <c r="E550" s="109" t="s">
        <v>3</v>
      </c>
      <c r="F550" s="109" t="s">
        <v>3</v>
      </c>
      <c r="G550" s="110" t="s">
        <v>3</v>
      </c>
    </row>
    <row r="551" ht="22.5" customHeight="1">
      <c r="A551" s="107"/>
      <c r="B551" s="108"/>
      <c r="C551" s="109"/>
      <c r="D551" s="109" t="s">
        <v>3</v>
      </c>
      <c r="E551" s="109" t="s">
        <v>3</v>
      </c>
      <c r="F551" s="109" t="s">
        <v>3</v>
      </c>
      <c r="G551" s="110" t="s">
        <v>3</v>
      </c>
    </row>
    <row r="552" ht="22.5" customHeight="1">
      <c r="A552" s="107"/>
      <c r="B552" s="108"/>
      <c r="C552" s="109"/>
      <c r="D552" s="109" t="s">
        <v>3</v>
      </c>
      <c r="E552" s="109" t="s">
        <v>3</v>
      </c>
      <c r="F552" s="109" t="s">
        <v>3</v>
      </c>
      <c r="G552" s="110" t="s">
        <v>3</v>
      </c>
    </row>
    <row r="553" ht="22.5" customHeight="1">
      <c r="A553" s="107"/>
      <c r="B553" s="108"/>
      <c r="C553" s="109"/>
      <c r="D553" s="109" t="s">
        <v>3</v>
      </c>
      <c r="E553" s="109" t="s">
        <v>3</v>
      </c>
      <c r="F553" s="109" t="s">
        <v>3</v>
      </c>
      <c r="G553" s="110" t="s">
        <v>3</v>
      </c>
    </row>
    <row r="554" ht="22.5" customHeight="1">
      <c r="A554" s="107"/>
      <c r="B554" s="108"/>
      <c r="C554" s="109"/>
      <c r="D554" s="109" t="s">
        <v>3</v>
      </c>
      <c r="E554" s="109" t="s">
        <v>3</v>
      </c>
      <c r="F554" s="109" t="s">
        <v>3</v>
      </c>
      <c r="G554" s="110" t="s">
        <v>3</v>
      </c>
    </row>
    <row r="555" ht="22.5" customHeight="1">
      <c r="A555" s="107"/>
      <c r="B555" s="108"/>
      <c r="C555" s="109"/>
      <c r="D555" s="109" t="s">
        <v>3</v>
      </c>
      <c r="E555" s="109" t="s">
        <v>3</v>
      </c>
      <c r="F555" s="109" t="s">
        <v>3</v>
      </c>
      <c r="G555" s="110" t="s">
        <v>3</v>
      </c>
    </row>
    <row r="556" ht="22.5" customHeight="1">
      <c r="A556" s="107"/>
      <c r="B556" s="108"/>
      <c r="C556" s="109"/>
      <c r="D556" s="109" t="s">
        <v>3</v>
      </c>
      <c r="E556" s="109" t="s">
        <v>3</v>
      </c>
      <c r="F556" s="109" t="s">
        <v>3</v>
      </c>
      <c r="G556" s="110" t="s">
        <v>3</v>
      </c>
    </row>
    <row r="557" ht="22.5" customHeight="1">
      <c r="A557" s="107"/>
      <c r="B557" s="108"/>
      <c r="C557" s="109"/>
      <c r="D557" s="109" t="s">
        <v>3</v>
      </c>
      <c r="E557" s="109" t="s">
        <v>3</v>
      </c>
      <c r="F557" s="109" t="s">
        <v>3</v>
      </c>
      <c r="G557" s="110" t="s">
        <v>3</v>
      </c>
    </row>
    <row r="558" ht="22.5" customHeight="1">
      <c r="A558" s="107"/>
      <c r="B558" s="108"/>
      <c r="C558" s="109"/>
      <c r="D558" s="109" t="s">
        <v>3</v>
      </c>
      <c r="E558" s="109" t="s">
        <v>3</v>
      </c>
      <c r="F558" s="109" t="s">
        <v>3</v>
      </c>
      <c r="G558" s="110" t="s">
        <v>3</v>
      </c>
    </row>
    <row r="559" ht="22.5" customHeight="1">
      <c r="A559" s="107"/>
      <c r="B559" s="108"/>
      <c r="C559" s="109"/>
      <c r="D559" s="109" t="s">
        <v>3</v>
      </c>
      <c r="E559" s="109" t="s">
        <v>3</v>
      </c>
      <c r="F559" s="109" t="s">
        <v>3</v>
      </c>
      <c r="G559" s="110" t="s">
        <v>3</v>
      </c>
    </row>
    <row r="560" ht="22.5" customHeight="1">
      <c r="A560" s="107"/>
      <c r="B560" s="108"/>
      <c r="C560" s="109"/>
      <c r="D560" s="109" t="s">
        <v>3</v>
      </c>
      <c r="E560" s="109" t="s">
        <v>3</v>
      </c>
      <c r="F560" s="109" t="s">
        <v>3</v>
      </c>
      <c r="G560" s="110" t="s">
        <v>3</v>
      </c>
    </row>
    <row r="561" ht="22.5" customHeight="1">
      <c r="A561" s="107"/>
      <c r="B561" s="108"/>
      <c r="C561" s="109"/>
      <c r="D561" s="109" t="s">
        <v>3</v>
      </c>
      <c r="E561" s="109" t="s">
        <v>3</v>
      </c>
      <c r="F561" s="109" t="s">
        <v>3</v>
      </c>
      <c r="G561" s="110" t="s">
        <v>3</v>
      </c>
    </row>
    <row r="562" ht="22.5" customHeight="1">
      <c r="A562" s="107"/>
      <c r="B562" s="108"/>
      <c r="C562" s="109"/>
      <c r="D562" s="109" t="s">
        <v>3</v>
      </c>
      <c r="E562" s="109" t="s">
        <v>3</v>
      </c>
      <c r="F562" s="109" t="s">
        <v>3</v>
      </c>
      <c r="G562" s="110" t="s">
        <v>3</v>
      </c>
    </row>
    <row r="563" ht="22.5" customHeight="1">
      <c r="A563" s="107"/>
      <c r="B563" s="108"/>
      <c r="C563" s="109"/>
      <c r="D563" s="109" t="s">
        <v>3</v>
      </c>
      <c r="E563" s="109" t="s">
        <v>3</v>
      </c>
      <c r="F563" s="109" t="s">
        <v>3</v>
      </c>
      <c r="G563" s="110" t="s">
        <v>3</v>
      </c>
    </row>
    <row r="564" ht="22.5" customHeight="1">
      <c r="A564" s="107"/>
      <c r="B564" s="108"/>
      <c r="C564" s="109"/>
      <c r="D564" s="109" t="s">
        <v>3</v>
      </c>
      <c r="E564" s="109" t="s">
        <v>3</v>
      </c>
      <c r="F564" s="109" t="s">
        <v>3</v>
      </c>
      <c r="G564" s="110" t="s">
        <v>3</v>
      </c>
    </row>
    <row r="565" ht="22.5" customHeight="1">
      <c r="A565" s="107"/>
      <c r="B565" s="108"/>
      <c r="C565" s="109"/>
      <c r="D565" s="109" t="s">
        <v>3</v>
      </c>
      <c r="E565" s="109" t="s">
        <v>3</v>
      </c>
      <c r="F565" s="109" t="s">
        <v>3</v>
      </c>
      <c r="G565" s="110" t="s">
        <v>3</v>
      </c>
    </row>
    <row r="566" ht="22.5" customHeight="1">
      <c r="A566" s="107"/>
      <c r="B566" s="108"/>
      <c r="C566" s="109"/>
      <c r="D566" s="109" t="s">
        <v>3</v>
      </c>
      <c r="E566" s="109" t="s">
        <v>3</v>
      </c>
      <c r="F566" s="109" t="s">
        <v>3</v>
      </c>
      <c r="G566" s="110" t="s">
        <v>3</v>
      </c>
    </row>
    <row r="567" ht="22.5" customHeight="1">
      <c r="A567" s="107"/>
      <c r="B567" s="108"/>
      <c r="C567" s="109"/>
      <c r="D567" s="109" t="s">
        <v>3</v>
      </c>
      <c r="E567" s="109" t="s">
        <v>3</v>
      </c>
      <c r="F567" s="109" t="s">
        <v>3</v>
      </c>
      <c r="G567" s="110" t="s">
        <v>3</v>
      </c>
    </row>
    <row r="568" ht="22.5" customHeight="1">
      <c r="A568" s="107"/>
      <c r="B568" s="108"/>
      <c r="C568" s="109"/>
      <c r="D568" s="109" t="s">
        <v>3</v>
      </c>
      <c r="E568" s="109" t="s">
        <v>3</v>
      </c>
      <c r="F568" s="109" t="s">
        <v>3</v>
      </c>
      <c r="G568" s="110" t="s">
        <v>3</v>
      </c>
    </row>
    <row r="569" ht="22.5" customHeight="1">
      <c r="A569" s="107"/>
      <c r="B569" s="108"/>
      <c r="C569" s="109"/>
      <c r="D569" s="109" t="s">
        <v>3</v>
      </c>
      <c r="E569" s="109" t="s">
        <v>3</v>
      </c>
      <c r="F569" s="109" t="s">
        <v>3</v>
      </c>
      <c r="G569" s="110" t="s">
        <v>3</v>
      </c>
    </row>
    <row r="570" ht="22.5" customHeight="1">
      <c r="A570" s="107"/>
      <c r="B570" s="108"/>
      <c r="C570" s="109"/>
      <c r="D570" s="109" t="s">
        <v>3</v>
      </c>
      <c r="E570" s="109" t="s">
        <v>3</v>
      </c>
      <c r="F570" s="109" t="s">
        <v>3</v>
      </c>
      <c r="G570" s="110" t="s">
        <v>3</v>
      </c>
    </row>
    <row r="571" ht="22.5" customHeight="1">
      <c r="A571" s="107"/>
      <c r="B571" s="108"/>
      <c r="C571" s="109"/>
      <c r="D571" s="109" t="s">
        <v>3</v>
      </c>
      <c r="E571" s="109" t="s">
        <v>3</v>
      </c>
      <c r="F571" s="109" t="s">
        <v>3</v>
      </c>
      <c r="G571" s="110" t="s">
        <v>3</v>
      </c>
    </row>
    <row r="572" ht="22.5" customHeight="1">
      <c r="A572" s="107"/>
      <c r="B572" s="108"/>
      <c r="C572" s="109"/>
      <c r="D572" s="109" t="s">
        <v>3</v>
      </c>
      <c r="E572" s="109" t="s">
        <v>3</v>
      </c>
      <c r="F572" s="109" t="s">
        <v>3</v>
      </c>
      <c r="G572" s="110" t="s">
        <v>3</v>
      </c>
    </row>
    <row r="573" ht="22.5" customHeight="1">
      <c r="A573" s="107"/>
      <c r="B573" s="108"/>
      <c r="C573" s="109"/>
      <c r="D573" s="109" t="s">
        <v>3</v>
      </c>
      <c r="E573" s="109" t="s">
        <v>3</v>
      </c>
      <c r="F573" s="109" t="s">
        <v>3</v>
      </c>
      <c r="G573" s="110" t="s">
        <v>3</v>
      </c>
    </row>
    <row r="574" ht="22.5" customHeight="1">
      <c r="A574" s="107"/>
      <c r="B574" s="108"/>
      <c r="C574" s="109"/>
      <c r="D574" s="109" t="s">
        <v>3</v>
      </c>
      <c r="E574" s="109" t="s">
        <v>3</v>
      </c>
      <c r="F574" s="109" t="s">
        <v>3</v>
      </c>
      <c r="G574" s="110" t="s">
        <v>3</v>
      </c>
    </row>
    <row r="575" ht="22.5" customHeight="1">
      <c r="A575" s="107"/>
      <c r="B575" s="108"/>
      <c r="C575" s="109"/>
      <c r="D575" s="109" t="s">
        <v>3</v>
      </c>
      <c r="E575" s="109" t="s">
        <v>3</v>
      </c>
      <c r="F575" s="109" t="s">
        <v>3</v>
      </c>
      <c r="G575" s="110" t="s">
        <v>3</v>
      </c>
    </row>
    <row r="576" ht="22.5" customHeight="1">
      <c r="A576" s="107"/>
      <c r="B576" s="108"/>
      <c r="C576" s="109"/>
      <c r="D576" s="109" t="s">
        <v>3</v>
      </c>
      <c r="E576" s="109" t="s">
        <v>3</v>
      </c>
      <c r="F576" s="109" t="s">
        <v>3</v>
      </c>
      <c r="G576" s="110" t="s">
        <v>3</v>
      </c>
    </row>
    <row r="577" ht="22.5" customHeight="1">
      <c r="A577" s="107"/>
      <c r="B577" s="108"/>
      <c r="C577" s="109"/>
      <c r="D577" s="109" t="s">
        <v>3</v>
      </c>
      <c r="E577" s="109" t="s">
        <v>3</v>
      </c>
      <c r="F577" s="109" t="s">
        <v>3</v>
      </c>
      <c r="G577" s="110" t="s">
        <v>3</v>
      </c>
    </row>
    <row r="578" ht="22.5" customHeight="1">
      <c r="A578" s="107"/>
      <c r="B578" s="108"/>
      <c r="C578" s="109"/>
      <c r="D578" s="109" t="s">
        <v>3</v>
      </c>
      <c r="E578" s="109" t="s">
        <v>3</v>
      </c>
      <c r="F578" s="109" t="s">
        <v>3</v>
      </c>
      <c r="G578" s="110" t="s">
        <v>3</v>
      </c>
    </row>
    <row r="579" ht="22.5" customHeight="1">
      <c r="A579" s="107"/>
      <c r="B579" s="108"/>
      <c r="C579" s="109"/>
      <c r="D579" s="109" t="s">
        <v>3</v>
      </c>
      <c r="E579" s="109" t="s">
        <v>3</v>
      </c>
      <c r="F579" s="109" t="s">
        <v>3</v>
      </c>
      <c r="G579" s="110" t="s">
        <v>3</v>
      </c>
    </row>
    <row r="580" ht="22.5" customHeight="1">
      <c r="A580" s="107"/>
      <c r="B580" s="108"/>
      <c r="C580" s="109"/>
      <c r="D580" s="109" t="s">
        <v>3</v>
      </c>
      <c r="E580" s="109" t="s">
        <v>3</v>
      </c>
      <c r="F580" s="109" t="s">
        <v>3</v>
      </c>
      <c r="G580" s="110" t="s">
        <v>3</v>
      </c>
    </row>
    <row r="581" ht="22.5" customHeight="1">
      <c r="A581" s="107"/>
      <c r="B581" s="108"/>
      <c r="C581" s="109"/>
      <c r="D581" s="109" t="s">
        <v>3</v>
      </c>
      <c r="E581" s="109" t="s">
        <v>3</v>
      </c>
      <c r="F581" s="109" t="s">
        <v>3</v>
      </c>
      <c r="G581" s="110" t="s">
        <v>3</v>
      </c>
    </row>
    <row r="582" ht="22.5" customHeight="1">
      <c r="A582" s="107"/>
      <c r="B582" s="108"/>
      <c r="C582" s="109"/>
      <c r="D582" s="109" t="s">
        <v>3</v>
      </c>
      <c r="E582" s="109" t="s">
        <v>3</v>
      </c>
      <c r="F582" s="109" t="s">
        <v>3</v>
      </c>
      <c r="G582" s="110" t="s">
        <v>3</v>
      </c>
    </row>
    <row r="583" ht="22.5" customHeight="1">
      <c r="A583" s="107"/>
      <c r="B583" s="108"/>
      <c r="C583" s="109"/>
      <c r="D583" s="109" t="s">
        <v>3</v>
      </c>
      <c r="E583" s="109" t="s">
        <v>3</v>
      </c>
      <c r="F583" s="109" t="s">
        <v>3</v>
      </c>
      <c r="G583" s="110" t="s">
        <v>3</v>
      </c>
    </row>
    <row r="584" ht="22.5" customHeight="1">
      <c r="A584" s="107"/>
      <c r="B584" s="108"/>
      <c r="C584" s="109"/>
      <c r="D584" s="109" t="s">
        <v>3</v>
      </c>
      <c r="E584" s="109" t="s">
        <v>3</v>
      </c>
      <c r="F584" s="109" t="s">
        <v>3</v>
      </c>
      <c r="G584" s="110" t="s">
        <v>3</v>
      </c>
    </row>
    <row r="585" ht="22.5" customHeight="1">
      <c r="A585" s="107"/>
      <c r="B585" s="108"/>
      <c r="C585" s="109"/>
      <c r="D585" s="109" t="s">
        <v>3</v>
      </c>
      <c r="E585" s="109" t="s">
        <v>3</v>
      </c>
      <c r="F585" s="109" t="s">
        <v>3</v>
      </c>
      <c r="G585" s="110" t="s">
        <v>3</v>
      </c>
    </row>
    <row r="586" ht="22.5" customHeight="1">
      <c r="A586" s="107"/>
      <c r="B586" s="108"/>
      <c r="C586" s="109"/>
      <c r="D586" s="109" t="s">
        <v>3</v>
      </c>
      <c r="E586" s="109" t="s">
        <v>3</v>
      </c>
      <c r="F586" s="109" t="s">
        <v>3</v>
      </c>
      <c r="G586" s="110" t="s">
        <v>3</v>
      </c>
    </row>
    <row r="587" ht="22.5" customHeight="1">
      <c r="A587" s="107"/>
      <c r="B587" s="108"/>
      <c r="C587" s="109"/>
      <c r="D587" s="109" t="s">
        <v>3</v>
      </c>
      <c r="E587" s="109" t="s">
        <v>3</v>
      </c>
      <c r="F587" s="109" t="s">
        <v>3</v>
      </c>
      <c r="G587" s="110" t="s">
        <v>3</v>
      </c>
    </row>
    <row r="588" ht="22.5" customHeight="1">
      <c r="A588" s="107"/>
      <c r="B588" s="108"/>
      <c r="C588" s="109"/>
      <c r="D588" s="109" t="s">
        <v>3</v>
      </c>
      <c r="E588" s="109" t="s">
        <v>3</v>
      </c>
      <c r="F588" s="109" t="s">
        <v>3</v>
      </c>
      <c r="G588" s="110" t="s">
        <v>3</v>
      </c>
    </row>
    <row r="589" ht="22.5" customHeight="1">
      <c r="A589" s="107"/>
      <c r="B589" s="108"/>
      <c r="C589" s="109"/>
      <c r="D589" s="109" t="s">
        <v>3</v>
      </c>
      <c r="E589" s="109" t="s">
        <v>3</v>
      </c>
      <c r="F589" s="109" t="s">
        <v>3</v>
      </c>
      <c r="G589" s="110" t="s">
        <v>3</v>
      </c>
    </row>
    <row r="590" ht="22.5" customHeight="1">
      <c r="A590" s="107"/>
      <c r="B590" s="108"/>
      <c r="C590" s="109"/>
      <c r="D590" s="109" t="s">
        <v>3</v>
      </c>
      <c r="E590" s="109" t="s">
        <v>3</v>
      </c>
      <c r="F590" s="109" t="s">
        <v>3</v>
      </c>
      <c r="G590" s="110" t="s">
        <v>3</v>
      </c>
    </row>
    <row r="591" ht="22.5" customHeight="1">
      <c r="A591" s="107"/>
      <c r="B591" s="108"/>
      <c r="C591" s="109"/>
      <c r="D591" s="109" t="s">
        <v>3</v>
      </c>
      <c r="E591" s="109" t="s">
        <v>3</v>
      </c>
      <c r="F591" s="109" t="s">
        <v>3</v>
      </c>
      <c r="G591" s="110" t="s">
        <v>3</v>
      </c>
    </row>
    <row r="592" ht="22.5" customHeight="1">
      <c r="A592" s="107"/>
      <c r="B592" s="108"/>
      <c r="C592" s="109"/>
      <c r="D592" s="109" t="s">
        <v>3</v>
      </c>
      <c r="E592" s="109" t="s">
        <v>3</v>
      </c>
      <c r="F592" s="109" t="s">
        <v>3</v>
      </c>
      <c r="G592" s="110" t="s">
        <v>3</v>
      </c>
    </row>
    <row r="593" ht="22.5" customHeight="1">
      <c r="A593" s="107"/>
      <c r="B593" s="108"/>
      <c r="C593" s="109"/>
      <c r="D593" s="109" t="s">
        <v>3</v>
      </c>
      <c r="E593" s="109" t="s">
        <v>3</v>
      </c>
      <c r="F593" s="109" t="s">
        <v>3</v>
      </c>
      <c r="G593" s="110" t="s">
        <v>3</v>
      </c>
    </row>
    <row r="594" ht="22.5" customHeight="1">
      <c r="A594" s="107"/>
      <c r="B594" s="108"/>
      <c r="C594" s="109"/>
      <c r="D594" s="109" t="s">
        <v>3</v>
      </c>
      <c r="E594" s="109" t="s">
        <v>3</v>
      </c>
      <c r="F594" s="109" t="s">
        <v>3</v>
      </c>
      <c r="G594" s="110" t="s">
        <v>3</v>
      </c>
    </row>
    <row r="595" ht="22.5" customHeight="1">
      <c r="A595" s="107"/>
      <c r="B595" s="108"/>
      <c r="C595" s="109"/>
      <c r="D595" s="109" t="s">
        <v>3</v>
      </c>
      <c r="E595" s="109" t="s">
        <v>3</v>
      </c>
      <c r="F595" s="109" t="s">
        <v>3</v>
      </c>
      <c r="G595" s="110" t="s">
        <v>3</v>
      </c>
    </row>
    <row r="596" ht="22.5" customHeight="1">
      <c r="A596" s="107"/>
      <c r="B596" s="108"/>
      <c r="C596" s="109"/>
      <c r="D596" s="109" t="s">
        <v>3</v>
      </c>
      <c r="E596" s="109" t="s">
        <v>3</v>
      </c>
      <c r="F596" s="109" t="s">
        <v>3</v>
      </c>
      <c r="G596" s="110" t="s">
        <v>3</v>
      </c>
    </row>
    <row r="597" ht="22.5" customHeight="1">
      <c r="A597" s="107"/>
      <c r="B597" s="108"/>
      <c r="C597" s="109"/>
      <c r="D597" s="109" t="s">
        <v>3</v>
      </c>
      <c r="E597" s="109" t="s">
        <v>3</v>
      </c>
      <c r="F597" s="109" t="s">
        <v>3</v>
      </c>
      <c r="G597" s="110" t="s">
        <v>3</v>
      </c>
    </row>
    <row r="598" ht="22.5" customHeight="1">
      <c r="A598" s="107"/>
      <c r="B598" s="108"/>
      <c r="C598" s="109"/>
      <c r="D598" s="109" t="s">
        <v>3</v>
      </c>
      <c r="E598" s="109" t="s">
        <v>3</v>
      </c>
      <c r="F598" s="109" t="s">
        <v>3</v>
      </c>
      <c r="G598" s="110" t="s">
        <v>3</v>
      </c>
    </row>
    <row r="599" ht="22.5" customHeight="1">
      <c r="A599" s="107"/>
      <c r="B599" s="108"/>
      <c r="C599" s="109"/>
      <c r="D599" s="109" t="s">
        <v>3</v>
      </c>
      <c r="E599" s="109" t="s">
        <v>3</v>
      </c>
      <c r="F599" s="109" t="s">
        <v>3</v>
      </c>
      <c r="G599" s="110" t="s">
        <v>3</v>
      </c>
    </row>
    <row r="600" ht="22.5" customHeight="1">
      <c r="A600" s="107"/>
      <c r="B600" s="108"/>
      <c r="C600" s="109"/>
      <c r="D600" s="109" t="s">
        <v>3</v>
      </c>
      <c r="E600" s="109" t="s">
        <v>3</v>
      </c>
      <c r="F600" s="109" t="s">
        <v>3</v>
      </c>
      <c r="G600" s="110" t="s">
        <v>3</v>
      </c>
    </row>
    <row r="601" ht="22.5" customHeight="1">
      <c r="A601" s="107"/>
      <c r="B601" s="108"/>
      <c r="C601" s="109"/>
      <c r="D601" s="109" t="s">
        <v>3</v>
      </c>
      <c r="E601" s="109" t="s">
        <v>3</v>
      </c>
      <c r="F601" s="109" t="s">
        <v>3</v>
      </c>
      <c r="G601" s="110" t="s">
        <v>3</v>
      </c>
    </row>
    <row r="602" ht="22.5" customHeight="1">
      <c r="A602" s="107"/>
      <c r="B602" s="108"/>
      <c r="C602" s="109"/>
      <c r="D602" s="109" t="s">
        <v>3</v>
      </c>
      <c r="E602" s="109" t="s">
        <v>3</v>
      </c>
      <c r="F602" s="109" t="s">
        <v>3</v>
      </c>
      <c r="G602" s="110" t="s">
        <v>3</v>
      </c>
    </row>
    <row r="603" ht="22.5" customHeight="1">
      <c r="A603" s="107"/>
      <c r="B603" s="108"/>
      <c r="C603" s="109"/>
      <c r="D603" s="109" t="s">
        <v>3</v>
      </c>
      <c r="E603" s="109" t="s">
        <v>3</v>
      </c>
      <c r="F603" s="109" t="s">
        <v>3</v>
      </c>
      <c r="G603" s="110" t="s">
        <v>3</v>
      </c>
    </row>
    <row r="604" ht="22.5" customHeight="1">
      <c r="A604" s="107"/>
      <c r="B604" s="108"/>
      <c r="C604" s="109"/>
      <c r="D604" s="109" t="s">
        <v>3</v>
      </c>
      <c r="E604" s="109" t="s">
        <v>3</v>
      </c>
      <c r="F604" s="109" t="s">
        <v>3</v>
      </c>
      <c r="G604" s="110" t="s">
        <v>3</v>
      </c>
    </row>
    <row r="605" ht="22.5" customHeight="1">
      <c r="A605" s="107"/>
      <c r="B605" s="108"/>
      <c r="C605" s="109"/>
      <c r="D605" s="109" t="s">
        <v>3</v>
      </c>
      <c r="E605" s="109" t="s">
        <v>3</v>
      </c>
      <c r="F605" s="109" t="s">
        <v>3</v>
      </c>
      <c r="G605" s="110" t="s">
        <v>3</v>
      </c>
    </row>
    <row r="606" ht="22.5" customHeight="1">
      <c r="A606" s="107"/>
      <c r="B606" s="108"/>
      <c r="C606" s="109"/>
      <c r="D606" s="109" t="s">
        <v>3</v>
      </c>
      <c r="E606" s="109" t="s">
        <v>3</v>
      </c>
      <c r="F606" s="109" t="s">
        <v>3</v>
      </c>
      <c r="G606" s="110" t="s">
        <v>3</v>
      </c>
    </row>
    <row r="607" ht="22.5" customHeight="1">
      <c r="A607" s="107"/>
      <c r="B607" s="108"/>
      <c r="C607" s="109"/>
      <c r="D607" s="109" t="s">
        <v>3</v>
      </c>
      <c r="E607" s="109" t="s">
        <v>3</v>
      </c>
      <c r="F607" s="109" t="s">
        <v>3</v>
      </c>
      <c r="G607" s="110" t="s">
        <v>3</v>
      </c>
    </row>
    <row r="608" ht="22.5" customHeight="1">
      <c r="A608" s="107"/>
      <c r="B608" s="108"/>
      <c r="C608" s="109"/>
      <c r="D608" s="109" t="s">
        <v>3</v>
      </c>
      <c r="E608" s="109" t="s">
        <v>3</v>
      </c>
      <c r="F608" s="109" t="s">
        <v>3</v>
      </c>
      <c r="G608" s="110" t="s">
        <v>3</v>
      </c>
    </row>
    <row r="609" ht="22.5" customHeight="1">
      <c r="A609" s="107"/>
      <c r="B609" s="108"/>
      <c r="C609" s="109"/>
      <c r="D609" s="109" t="s">
        <v>3</v>
      </c>
      <c r="E609" s="109" t="s">
        <v>3</v>
      </c>
      <c r="F609" s="109" t="s">
        <v>3</v>
      </c>
      <c r="G609" s="110" t="s">
        <v>3</v>
      </c>
    </row>
    <row r="610" ht="22.5" customHeight="1">
      <c r="A610" s="107"/>
      <c r="B610" s="108"/>
      <c r="C610" s="109"/>
      <c r="D610" s="109" t="s">
        <v>3</v>
      </c>
      <c r="E610" s="109" t="s">
        <v>3</v>
      </c>
      <c r="F610" s="109" t="s">
        <v>3</v>
      </c>
      <c r="G610" s="110" t="s">
        <v>3</v>
      </c>
    </row>
    <row r="611" ht="22.5" customHeight="1">
      <c r="A611" s="107"/>
      <c r="B611" s="108"/>
      <c r="C611" s="109"/>
      <c r="D611" s="109" t="s">
        <v>3</v>
      </c>
      <c r="E611" s="109" t="s">
        <v>3</v>
      </c>
      <c r="F611" s="109" t="s">
        <v>3</v>
      </c>
      <c r="G611" s="110" t="s">
        <v>3</v>
      </c>
    </row>
    <row r="612" ht="22.5" customHeight="1">
      <c r="A612" s="107"/>
      <c r="B612" s="108"/>
      <c r="C612" s="109"/>
      <c r="D612" s="109" t="s">
        <v>3</v>
      </c>
      <c r="E612" s="109" t="s">
        <v>3</v>
      </c>
      <c r="F612" s="109" t="s">
        <v>3</v>
      </c>
      <c r="G612" s="110" t="s">
        <v>3</v>
      </c>
    </row>
    <row r="613" ht="22.5" customHeight="1">
      <c r="A613" s="107"/>
      <c r="B613" s="108"/>
      <c r="C613" s="109"/>
      <c r="D613" s="109" t="s">
        <v>3</v>
      </c>
      <c r="E613" s="109" t="s">
        <v>3</v>
      </c>
      <c r="F613" s="109" t="s">
        <v>3</v>
      </c>
      <c r="G613" s="110" t="s">
        <v>3</v>
      </c>
    </row>
    <row r="614" ht="22.5" customHeight="1">
      <c r="A614" s="107"/>
      <c r="B614" s="108"/>
      <c r="C614" s="109"/>
      <c r="D614" s="109" t="s">
        <v>3</v>
      </c>
      <c r="E614" s="109" t="s">
        <v>3</v>
      </c>
      <c r="F614" s="109" t="s">
        <v>3</v>
      </c>
      <c r="G614" s="110" t="s">
        <v>3</v>
      </c>
    </row>
    <row r="615" ht="22.5" customHeight="1">
      <c r="A615" s="107"/>
      <c r="B615" s="108"/>
      <c r="C615" s="109"/>
      <c r="D615" s="109" t="s">
        <v>3</v>
      </c>
      <c r="E615" s="109" t="s">
        <v>3</v>
      </c>
      <c r="F615" s="109" t="s">
        <v>3</v>
      </c>
      <c r="G615" s="110" t="s">
        <v>3</v>
      </c>
    </row>
    <row r="616" ht="22.5" customHeight="1">
      <c r="A616" s="107"/>
      <c r="B616" s="108"/>
      <c r="C616" s="109"/>
      <c r="D616" s="109" t="s">
        <v>3</v>
      </c>
      <c r="E616" s="109" t="s">
        <v>3</v>
      </c>
      <c r="F616" s="109" t="s">
        <v>3</v>
      </c>
      <c r="G616" s="110" t="s">
        <v>3</v>
      </c>
    </row>
    <row r="617" ht="22.5" customHeight="1">
      <c r="A617" s="107"/>
      <c r="B617" s="108"/>
      <c r="C617" s="109"/>
      <c r="D617" s="109" t="s">
        <v>3</v>
      </c>
      <c r="E617" s="109" t="s">
        <v>3</v>
      </c>
      <c r="F617" s="109" t="s">
        <v>3</v>
      </c>
      <c r="G617" s="110" t="s">
        <v>3</v>
      </c>
    </row>
    <row r="618" ht="22.5" customHeight="1">
      <c r="A618" s="107"/>
      <c r="B618" s="108"/>
      <c r="C618" s="109"/>
      <c r="D618" s="109" t="s">
        <v>3</v>
      </c>
      <c r="E618" s="109" t="s">
        <v>3</v>
      </c>
      <c r="F618" s="109" t="s">
        <v>3</v>
      </c>
      <c r="G618" s="110" t="s">
        <v>3</v>
      </c>
    </row>
    <row r="619" ht="22.5" customHeight="1">
      <c r="A619" s="107"/>
      <c r="B619" s="108"/>
      <c r="C619" s="109"/>
      <c r="D619" s="109" t="s">
        <v>3</v>
      </c>
      <c r="E619" s="109" t="s">
        <v>3</v>
      </c>
      <c r="F619" s="109" t="s">
        <v>3</v>
      </c>
      <c r="G619" s="110" t="s">
        <v>3</v>
      </c>
    </row>
    <row r="620" ht="22.5" customHeight="1">
      <c r="A620" s="107"/>
      <c r="B620" s="108"/>
      <c r="C620" s="109"/>
      <c r="D620" s="109" t="s">
        <v>3</v>
      </c>
      <c r="E620" s="109" t="s">
        <v>3</v>
      </c>
      <c r="F620" s="109" t="s">
        <v>3</v>
      </c>
      <c r="G620" s="110" t="s">
        <v>3</v>
      </c>
    </row>
    <row r="621" ht="22.5" customHeight="1">
      <c r="A621" s="107"/>
      <c r="B621" s="108"/>
      <c r="C621" s="109"/>
      <c r="D621" s="109" t="s">
        <v>3</v>
      </c>
      <c r="E621" s="109" t="s">
        <v>3</v>
      </c>
      <c r="F621" s="109" t="s">
        <v>3</v>
      </c>
      <c r="G621" s="110" t="s">
        <v>3</v>
      </c>
    </row>
    <row r="622" ht="22.5" customHeight="1">
      <c r="A622" s="107"/>
      <c r="B622" s="108"/>
      <c r="C622" s="109"/>
      <c r="D622" s="109" t="s">
        <v>3</v>
      </c>
      <c r="E622" s="109" t="s">
        <v>3</v>
      </c>
      <c r="F622" s="109" t="s">
        <v>3</v>
      </c>
      <c r="G622" s="110" t="s">
        <v>3</v>
      </c>
    </row>
    <row r="623" ht="22.5" customHeight="1">
      <c r="A623" s="107"/>
      <c r="B623" s="108"/>
      <c r="C623" s="109"/>
      <c r="D623" s="109" t="s">
        <v>3</v>
      </c>
      <c r="E623" s="109" t="s">
        <v>3</v>
      </c>
      <c r="F623" s="109" t="s">
        <v>3</v>
      </c>
      <c r="G623" s="110" t="s">
        <v>3</v>
      </c>
    </row>
    <row r="624" ht="22.5" customHeight="1">
      <c r="A624" s="107"/>
      <c r="B624" s="108"/>
      <c r="C624" s="109"/>
      <c r="D624" s="109" t="s">
        <v>3</v>
      </c>
      <c r="E624" s="109" t="s">
        <v>3</v>
      </c>
      <c r="F624" s="109" t="s">
        <v>3</v>
      </c>
      <c r="G624" s="110" t="s">
        <v>3</v>
      </c>
    </row>
    <row r="625" ht="22.5" customHeight="1">
      <c r="A625" s="107"/>
      <c r="B625" s="108"/>
      <c r="C625" s="109"/>
      <c r="D625" s="109" t="s">
        <v>3</v>
      </c>
      <c r="E625" s="109" t="s">
        <v>3</v>
      </c>
      <c r="F625" s="109" t="s">
        <v>3</v>
      </c>
      <c r="G625" s="110" t="s">
        <v>3</v>
      </c>
    </row>
    <row r="626" ht="22.5" customHeight="1">
      <c r="A626" s="107"/>
      <c r="B626" s="108"/>
      <c r="C626" s="109"/>
      <c r="D626" s="109" t="s">
        <v>3</v>
      </c>
      <c r="E626" s="109" t="s">
        <v>3</v>
      </c>
      <c r="F626" s="109" t="s">
        <v>3</v>
      </c>
      <c r="G626" s="110" t="s">
        <v>3</v>
      </c>
    </row>
    <row r="627" ht="22.5" customHeight="1">
      <c r="A627" s="107"/>
      <c r="B627" s="108"/>
      <c r="C627" s="109"/>
      <c r="D627" s="109" t="s">
        <v>3</v>
      </c>
      <c r="E627" s="109" t="s">
        <v>3</v>
      </c>
      <c r="F627" s="109" t="s">
        <v>3</v>
      </c>
      <c r="G627" s="110" t="s">
        <v>3</v>
      </c>
    </row>
    <row r="628" ht="22.5" customHeight="1">
      <c r="A628" s="107"/>
      <c r="B628" s="108"/>
      <c r="C628" s="109"/>
      <c r="D628" s="109" t="s">
        <v>3</v>
      </c>
      <c r="E628" s="109" t="s">
        <v>3</v>
      </c>
      <c r="F628" s="109" t="s">
        <v>3</v>
      </c>
      <c r="G628" s="110" t="s">
        <v>3</v>
      </c>
    </row>
    <row r="629" ht="22.5" customHeight="1">
      <c r="A629" s="107"/>
      <c r="B629" s="108"/>
      <c r="C629" s="109"/>
      <c r="D629" s="109" t="s">
        <v>3</v>
      </c>
      <c r="E629" s="109" t="s">
        <v>3</v>
      </c>
      <c r="F629" s="109" t="s">
        <v>3</v>
      </c>
      <c r="G629" s="110" t="s">
        <v>3</v>
      </c>
    </row>
    <row r="630" ht="22.5" customHeight="1">
      <c r="A630" s="107"/>
      <c r="B630" s="108"/>
      <c r="C630" s="109"/>
      <c r="D630" s="109" t="s">
        <v>3</v>
      </c>
      <c r="E630" s="109" t="s">
        <v>3</v>
      </c>
      <c r="F630" s="109" t="s">
        <v>3</v>
      </c>
      <c r="G630" s="110" t="s">
        <v>3</v>
      </c>
    </row>
    <row r="631" ht="22.5" customHeight="1">
      <c r="A631" s="107"/>
      <c r="B631" s="108"/>
      <c r="C631" s="109"/>
      <c r="D631" s="109" t="s">
        <v>3</v>
      </c>
      <c r="E631" s="109" t="s">
        <v>3</v>
      </c>
      <c r="F631" s="109" t="s">
        <v>3</v>
      </c>
      <c r="G631" s="110" t="s">
        <v>3</v>
      </c>
    </row>
    <row r="632" ht="22.5" customHeight="1">
      <c r="A632" s="107"/>
      <c r="B632" s="108"/>
      <c r="C632" s="109"/>
      <c r="D632" s="109" t="s">
        <v>3</v>
      </c>
      <c r="E632" s="109" t="s">
        <v>3</v>
      </c>
      <c r="F632" s="109" t="s">
        <v>3</v>
      </c>
      <c r="G632" s="110" t="s">
        <v>3</v>
      </c>
    </row>
    <row r="633" ht="22.5" customHeight="1">
      <c r="A633" s="107"/>
      <c r="B633" s="108"/>
      <c r="C633" s="109"/>
      <c r="D633" s="109" t="s">
        <v>3</v>
      </c>
      <c r="E633" s="109" t="s">
        <v>3</v>
      </c>
      <c r="F633" s="109" t="s">
        <v>3</v>
      </c>
      <c r="G633" s="110" t="s">
        <v>3</v>
      </c>
    </row>
    <row r="634" ht="22.5" customHeight="1">
      <c r="A634" s="107"/>
      <c r="B634" s="108"/>
      <c r="C634" s="109"/>
      <c r="D634" s="109" t="s">
        <v>3</v>
      </c>
      <c r="E634" s="109" t="s">
        <v>3</v>
      </c>
      <c r="F634" s="109" t="s">
        <v>3</v>
      </c>
      <c r="G634" s="110" t="s">
        <v>3</v>
      </c>
    </row>
    <row r="635" ht="22.5" customHeight="1">
      <c r="A635" s="107"/>
      <c r="B635" s="108"/>
      <c r="C635" s="109"/>
      <c r="D635" s="109" t="s">
        <v>3</v>
      </c>
      <c r="E635" s="109" t="s">
        <v>3</v>
      </c>
      <c r="F635" s="109" t="s">
        <v>3</v>
      </c>
      <c r="G635" s="110" t="s">
        <v>3</v>
      </c>
    </row>
    <row r="636" ht="22.5" customHeight="1">
      <c r="A636" s="107"/>
      <c r="B636" s="108"/>
      <c r="C636" s="109"/>
      <c r="D636" s="109" t="s">
        <v>3</v>
      </c>
      <c r="E636" s="109" t="s">
        <v>3</v>
      </c>
      <c r="F636" s="109" t="s">
        <v>3</v>
      </c>
      <c r="G636" s="110" t="s">
        <v>3</v>
      </c>
    </row>
    <row r="637" ht="22.5" customHeight="1">
      <c r="A637" s="107"/>
      <c r="B637" s="108"/>
      <c r="C637" s="109"/>
      <c r="D637" s="109" t="s">
        <v>3</v>
      </c>
      <c r="E637" s="109" t="s">
        <v>3</v>
      </c>
      <c r="F637" s="109" t="s">
        <v>3</v>
      </c>
      <c r="G637" s="110" t="s">
        <v>3</v>
      </c>
    </row>
    <row r="638" ht="22.5" customHeight="1">
      <c r="A638" s="107"/>
      <c r="B638" s="108"/>
      <c r="C638" s="109"/>
      <c r="D638" s="109" t="s">
        <v>3</v>
      </c>
      <c r="E638" s="109" t="s">
        <v>3</v>
      </c>
      <c r="F638" s="109" t="s">
        <v>3</v>
      </c>
      <c r="G638" s="110" t="s">
        <v>3</v>
      </c>
    </row>
    <row r="639" ht="22.5" customHeight="1">
      <c r="A639" s="107"/>
      <c r="B639" s="108"/>
      <c r="C639" s="109"/>
      <c r="D639" s="109" t="s">
        <v>3</v>
      </c>
      <c r="E639" s="109" t="s">
        <v>3</v>
      </c>
      <c r="F639" s="109" t="s">
        <v>3</v>
      </c>
      <c r="G639" s="110" t="s">
        <v>3</v>
      </c>
    </row>
    <row r="640" ht="22.5" customHeight="1">
      <c r="A640" s="107"/>
      <c r="B640" s="108"/>
      <c r="C640" s="109"/>
      <c r="D640" s="109" t="s">
        <v>3</v>
      </c>
      <c r="E640" s="109" t="s">
        <v>3</v>
      </c>
      <c r="F640" s="109" t="s">
        <v>3</v>
      </c>
      <c r="G640" s="110" t="s">
        <v>3</v>
      </c>
    </row>
    <row r="641" ht="22.5" customHeight="1">
      <c r="A641" s="107"/>
      <c r="B641" s="108"/>
      <c r="C641" s="109"/>
      <c r="D641" s="109" t="s">
        <v>3</v>
      </c>
      <c r="E641" s="109" t="s">
        <v>3</v>
      </c>
      <c r="F641" s="109" t="s">
        <v>3</v>
      </c>
      <c r="G641" s="110" t="s">
        <v>3</v>
      </c>
    </row>
    <row r="642" ht="22.5" customHeight="1">
      <c r="A642" s="107"/>
      <c r="B642" s="108"/>
      <c r="C642" s="109"/>
      <c r="D642" s="109" t="s">
        <v>3</v>
      </c>
      <c r="E642" s="109" t="s">
        <v>3</v>
      </c>
      <c r="F642" s="109" t="s">
        <v>3</v>
      </c>
      <c r="G642" s="110" t="s">
        <v>3</v>
      </c>
    </row>
    <row r="643" ht="22.5" customHeight="1">
      <c r="A643" s="107"/>
      <c r="B643" s="108"/>
      <c r="C643" s="109"/>
      <c r="D643" s="109" t="s">
        <v>3</v>
      </c>
      <c r="E643" s="109" t="s">
        <v>3</v>
      </c>
      <c r="F643" s="109" t="s">
        <v>3</v>
      </c>
      <c r="G643" s="110" t="s">
        <v>3</v>
      </c>
    </row>
    <row r="644" ht="22.5" customHeight="1">
      <c r="A644" s="107"/>
      <c r="B644" s="108"/>
      <c r="C644" s="109"/>
      <c r="D644" s="109" t="s">
        <v>3</v>
      </c>
      <c r="E644" s="109" t="s">
        <v>3</v>
      </c>
      <c r="F644" s="109" t="s">
        <v>3</v>
      </c>
      <c r="G644" s="110" t="s">
        <v>3</v>
      </c>
    </row>
    <row r="645" ht="22.5" customHeight="1">
      <c r="A645" s="107"/>
      <c r="B645" s="108"/>
      <c r="C645" s="109"/>
      <c r="D645" s="109" t="s">
        <v>3</v>
      </c>
      <c r="E645" s="109" t="s">
        <v>3</v>
      </c>
      <c r="F645" s="109" t="s">
        <v>3</v>
      </c>
      <c r="G645" s="110" t="s">
        <v>3</v>
      </c>
    </row>
    <row r="646" ht="22.5" customHeight="1">
      <c r="A646" s="107"/>
      <c r="B646" s="108"/>
      <c r="C646" s="109"/>
      <c r="D646" s="109" t="s">
        <v>3</v>
      </c>
      <c r="E646" s="109" t="s">
        <v>3</v>
      </c>
      <c r="F646" s="109" t="s">
        <v>3</v>
      </c>
      <c r="G646" s="110" t="s">
        <v>3</v>
      </c>
    </row>
    <row r="647" ht="22.5" customHeight="1">
      <c r="A647" s="107"/>
      <c r="B647" s="108"/>
      <c r="C647" s="109"/>
      <c r="D647" s="109" t="s">
        <v>3</v>
      </c>
      <c r="E647" s="109" t="s">
        <v>3</v>
      </c>
      <c r="F647" s="109" t="s">
        <v>3</v>
      </c>
      <c r="G647" s="110" t="s">
        <v>3</v>
      </c>
    </row>
    <row r="648" ht="22.5" customHeight="1">
      <c r="A648" s="107"/>
      <c r="B648" s="108"/>
      <c r="C648" s="109"/>
      <c r="D648" s="109" t="s">
        <v>3</v>
      </c>
      <c r="E648" s="109" t="s">
        <v>3</v>
      </c>
      <c r="F648" s="109" t="s">
        <v>3</v>
      </c>
      <c r="G648" s="110" t="s">
        <v>3</v>
      </c>
    </row>
    <row r="649" ht="22.5" customHeight="1">
      <c r="A649" s="107"/>
      <c r="B649" s="108"/>
      <c r="C649" s="109"/>
      <c r="D649" s="109" t="s">
        <v>3</v>
      </c>
      <c r="E649" s="109" t="s">
        <v>3</v>
      </c>
      <c r="F649" s="109" t="s">
        <v>3</v>
      </c>
      <c r="G649" s="110" t="s">
        <v>3</v>
      </c>
    </row>
    <row r="650" ht="22.5" customHeight="1">
      <c r="A650" s="107"/>
      <c r="B650" s="108"/>
      <c r="C650" s="109"/>
      <c r="D650" s="109" t="s">
        <v>3</v>
      </c>
      <c r="E650" s="109" t="s">
        <v>3</v>
      </c>
      <c r="F650" s="109" t="s">
        <v>3</v>
      </c>
      <c r="G650" s="110" t="s">
        <v>3</v>
      </c>
    </row>
    <row r="651" ht="22.5" customHeight="1">
      <c r="A651" s="107"/>
      <c r="B651" s="108"/>
      <c r="C651" s="109"/>
      <c r="D651" s="109" t="s">
        <v>3</v>
      </c>
      <c r="E651" s="109" t="s">
        <v>3</v>
      </c>
      <c r="F651" s="109" t="s">
        <v>3</v>
      </c>
      <c r="G651" s="110" t="s">
        <v>3</v>
      </c>
    </row>
    <row r="652" ht="22.5" customHeight="1">
      <c r="A652" s="107"/>
      <c r="B652" s="108"/>
      <c r="C652" s="109"/>
      <c r="D652" s="109" t="s">
        <v>3</v>
      </c>
      <c r="E652" s="109" t="s">
        <v>3</v>
      </c>
      <c r="F652" s="109" t="s">
        <v>3</v>
      </c>
      <c r="G652" s="110" t="s">
        <v>3</v>
      </c>
    </row>
    <row r="653" ht="22.5" customHeight="1">
      <c r="A653" s="107"/>
      <c r="B653" s="108"/>
      <c r="C653" s="109"/>
      <c r="D653" s="109" t="s">
        <v>3</v>
      </c>
      <c r="E653" s="109" t="s">
        <v>3</v>
      </c>
      <c r="F653" s="109" t="s">
        <v>3</v>
      </c>
      <c r="G653" s="110" t="s">
        <v>3</v>
      </c>
    </row>
    <row r="654" ht="22.5" customHeight="1">
      <c r="A654" s="107"/>
      <c r="B654" s="108"/>
      <c r="C654" s="109"/>
      <c r="D654" s="109" t="s">
        <v>3</v>
      </c>
      <c r="E654" s="109" t="s">
        <v>3</v>
      </c>
      <c r="F654" s="109" t="s">
        <v>3</v>
      </c>
      <c r="G654" s="110" t="s">
        <v>3</v>
      </c>
    </row>
    <row r="655" ht="22.5" customHeight="1">
      <c r="A655" s="107"/>
      <c r="B655" s="108"/>
      <c r="C655" s="109"/>
      <c r="D655" s="109" t="s">
        <v>3</v>
      </c>
      <c r="E655" s="109" t="s">
        <v>3</v>
      </c>
      <c r="F655" s="109" t="s">
        <v>3</v>
      </c>
      <c r="G655" s="110" t="s">
        <v>3</v>
      </c>
    </row>
    <row r="656" ht="22.5" customHeight="1">
      <c r="A656" s="107"/>
      <c r="B656" s="108"/>
      <c r="C656" s="109"/>
      <c r="D656" s="109" t="s">
        <v>3</v>
      </c>
      <c r="E656" s="109" t="s">
        <v>3</v>
      </c>
      <c r="F656" s="109" t="s">
        <v>3</v>
      </c>
      <c r="G656" s="110" t="s">
        <v>3</v>
      </c>
    </row>
    <row r="657" ht="22.5" customHeight="1">
      <c r="A657" s="107"/>
      <c r="B657" s="108"/>
      <c r="C657" s="109"/>
      <c r="D657" s="109" t="s">
        <v>3</v>
      </c>
      <c r="E657" s="109" t="s">
        <v>3</v>
      </c>
      <c r="F657" s="109" t="s">
        <v>3</v>
      </c>
      <c r="G657" s="110" t="s">
        <v>3</v>
      </c>
    </row>
    <row r="658" ht="22.5" customHeight="1">
      <c r="A658" s="107"/>
      <c r="B658" s="108"/>
      <c r="C658" s="109"/>
      <c r="D658" s="109" t="s">
        <v>3</v>
      </c>
      <c r="E658" s="109" t="s">
        <v>3</v>
      </c>
      <c r="F658" s="109" t="s">
        <v>3</v>
      </c>
      <c r="G658" s="110" t="s">
        <v>3</v>
      </c>
    </row>
    <row r="659" ht="22.5" customHeight="1">
      <c r="A659" s="107"/>
      <c r="B659" s="108"/>
      <c r="C659" s="109"/>
      <c r="D659" s="109" t="s">
        <v>3</v>
      </c>
      <c r="E659" s="109" t="s">
        <v>3</v>
      </c>
      <c r="F659" s="109" t="s">
        <v>3</v>
      </c>
      <c r="G659" s="110" t="s">
        <v>3</v>
      </c>
    </row>
    <row r="660" ht="22.5" customHeight="1">
      <c r="A660" s="107"/>
      <c r="B660" s="108"/>
      <c r="C660" s="109"/>
      <c r="D660" s="109" t="s">
        <v>3</v>
      </c>
      <c r="E660" s="109" t="s">
        <v>3</v>
      </c>
      <c r="F660" s="109" t="s">
        <v>3</v>
      </c>
      <c r="G660" s="110" t="s">
        <v>3</v>
      </c>
    </row>
    <row r="661" ht="22.5" customHeight="1">
      <c r="A661" s="107"/>
      <c r="B661" s="108"/>
      <c r="C661" s="109"/>
      <c r="D661" s="109" t="s">
        <v>3</v>
      </c>
      <c r="E661" s="109" t="s">
        <v>3</v>
      </c>
      <c r="F661" s="109" t="s">
        <v>3</v>
      </c>
      <c r="G661" s="110" t="s">
        <v>3</v>
      </c>
    </row>
    <row r="662" ht="22.5" customHeight="1">
      <c r="A662" s="107"/>
      <c r="B662" s="108"/>
      <c r="C662" s="109"/>
      <c r="D662" s="109" t="s">
        <v>3</v>
      </c>
      <c r="E662" s="109" t="s">
        <v>3</v>
      </c>
      <c r="F662" s="109" t="s">
        <v>3</v>
      </c>
      <c r="G662" s="110" t="s">
        <v>3</v>
      </c>
    </row>
    <row r="663" ht="22.5" customHeight="1">
      <c r="A663" s="107"/>
      <c r="B663" s="108"/>
      <c r="C663" s="109"/>
      <c r="D663" s="109" t="s">
        <v>3</v>
      </c>
      <c r="E663" s="109" t="s">
        <v>3</v>
      </c>
      <c r="F663" s="109" t="s">
        <v>3</v>
      </c>
      <c r="G663" s="110" t="s">
        <v>3</v>
      </c>
    </row>
    <row r="664" ht="22.5" customHeight="1">
      <c r="A664" s="107"/>
      <c r="B664" s="108"/>
      <c r="C664" s="109"/>
      <c r="D664" s="109" t="s">
        <v>3</v>
      </c>
      <c r="E664" s="109" t="s">
        <v>3</v>
      </c>
      <c r="F664" s="109" t="s">
        <v>3</v>
      </c>
      <c r="G664" s="110" t="s">
        <v>3</v>
      </c>
    </row>
    <row r="665" ht="22.5" customHeight="1">
      <c r="A665" s="107"/>
      <c r="B665" s="108"/>
      <c r="C665" s="109"/>
      <c r="D665" s="109" t="s">
        <v>3</v>
      </c>
      <c r="E665" s="109" t="s">
        <v>3</v>
      </c>
      <c r="F665" s="109" t="s">
        <v>3</v>
      </c>
      <c r="G665" s="110" t="s">
        <v>3</v>
      </c>
    </row>
    <row r="666" ht="22.5" customHeight="1">
      <c r="A666" s="107"/>
      <c r="B666" s="108"/>
      <c r="C666" s="109"/>
      <c r="D666" s="109" t="s">
        <v>3</v>
      </c>
      <c r="E666" s="109" t="s">
        <v>3</v>
      </c>
      <c r="F666" s="109" t="s">
        <v>3</v>
      </c>
      <c r="G666" s="110" t="s">
        <v>3</v>
      </c>
    </row>
    <row r="667" ht="22.5" customHeight="1">
      <c r="A667" s="107"/>
      <c r="B667" s="108"/>
      <c r="C667" s="109"/>
      <c r="D667" s="109" t="s">
        <v>3</v>
      </c>
      <c r="E667" s="109" t="s">
        <v>3</v>
      </c>
      <c r="F667" s="109" t="s">
        <v>3</v>
      </c>
      <c r="G667" s="110" t="s">
        <v>3</v>
      </c>
    </row>
    <row r="668" ht="22.5" customHeight="1">
      <c r="A668" s="107"/>
      <c r="B668" s="108"/>
      <c r="C668" s="109"/>
      <c r="D668" s="109" t="s">
        <v>3</v>
      </c>
      <c r="E668" s="109" t="s">
        <v>3</v>
      </c>
      <c r="F668" s="109" t="s">
        <v>3</v>
      </c>
      <c r="G668" s="110" t="s">
        <v>3</v>
      </c>
    </row>
    <row r="669" ht="22.5" customHeight="1">
      <c r="A669" s="107"/>
      <c r="B669" s="108"/>
      <c r="C669" s="109"/>
      <c r="D669" s="109" t="s">
        <v>3</v>
      </c>
      <c r="E669" s="109" t="s">
        <v>3</v>
      </c>
      <c r="F669" s="109" t="s">
        <v>3</v>
      </c>
      <c r="G669" s="110" t="s">
        <v>3</v>
      </c>
    </row>
    <row r="670" ht="22.5" customHeight="1">
      <c r="A670" s="107"/>
      <c r="B670" s="108"/>
      <c r="C670" s="109"/>
      <c r="D670" s="109" t="s">
        <v>3</v>
      </c>
      <c r="E670" s="109" t="s">
        <v>3</v>
      </c>
      <c r="F670" s="109" t="s">
        <v>3</v>
      </c>
      <c r="G670" s="110" t="s">
        <v>3</v>
      </c>
    </row>
    <row r="671" ht="22.5" customHeight="1">
      <c r="A671" s="107"/>
      <c r="B671" s="108"/>
      <c r="C671" s="109"/>
      <c r="D671" s="109" t="s">
        <v>3</v>
      </c>
      <c r="E671" s="109" t="s">
        <v>3</v>
      </c>
      <c r="F671" s="109" t="s">
        <v>3</v>
      </c>
      <c r="G671" s="110" t="s">
        <v>3</v>
      </c>
    </row>
    <row r="672" ht="22.5" customHeight="1">
      <c r="A672" s="107"/>
      <c r="B672" s="108"/>
      <c r="C672" s="109"/>
      <c r="D672" s="109" t="s">
        <v>3</v>
      </c>
      <c r="E672" s="109" t="s">
        <v>3</v>
      </c>
      <c r="F672" s="109" t="s">
        <v>3</v>
      </c>
      <c r="G672" s="110" t="s">
        <v>3</v>
      </c>
    </row>
    <row r="673" ht="22.5" customHeight="1">
      <c r="A673" s="107"/>
      <c r="B673" s="108"/>
      <c r="C673" s="109"/>
      <c r="D673" s="109" t="s">
        <v>3</v>
      </c>
      <c r="E673" s="109" t="s">
        <v>3</v>
      </c>
      <c r="F673" s="109" t="s">
        <v>3</v>
      </c>
      <c r="G673" s="110" t="s">
        <v>3</v>
      </c>
    </row>
    <row r="674" ht="22.5" customHeight="1">
      <c r="A674" s="107"/>
      <c r="B674" s="108"/>
      <c r="C674" s="109"/>
      <c r="D674" s="109" t="s">
        <v>3</v>
      </c>
      <c r="E674" s="109" t="s">
        <v>3</v>
      </c>
      <c r="F674" s="109" t="s">
        <v>3</v>
      </c>
      <c r="G674" s="110" t="s">
        <v>3</v>
      </c>
    </row>
    <row r="675" ht="22.5" customHeight="1">
      <c r="A675" s="107"/>
      <c r="B675" s="108"/>
      <c r="C675" s="109"/>
      <c r="D675" s="109" t="s">
        <v>3</v>
      </c>
      <c r="E675" s="109" t="s">
        <v>3</v>
      </c>
      <c r="F675" s="109" t="s">
        <v>3</v>
      </c>
      <c r="G675" s="110" t="s">
        <v>3</v>
      </c>
    </row>
    <row r="676" ht="22.5" customHeight="1">
      <c r="A676" s="107"/>
      <c r="B676" s="108"/>
      <c r="C676" s="109"/>
      <c r="D676" s="109" t="s">
        <v>3</v>
      </c>
      <c r="E676" s="109" t="s">
        <v>3</v>
      </c>
      <c r="F676" s="109" t="s">
        <v>3</v>
      </c>
      <c r="G676" s="110" t="s">
        <v>3</v>
      </c>
    </row>
    <row r="677" ht="22.5" customHeight="1">
      <c r="A677" s="107"/>
      <c r="B677" s="108"/>
      <c r="C677" s="109"/>
      <c r="D677" s="109" t="s">
        <v>3</v>
      </c>
      <c r="E677" s="109" t="s">
        <v>3</v>
      </c>
      <c r="F677" s="109" t="s">
        <v>3</v>
      </c>
      <c r="G677" s="110" t="s">
        <v>3</v>
      </c>
    </row>
    <row r="678" ht="22.5" customHeight="1">
      <c r="A678" s="107"/>
      <c r="B678" s="108"/>
      <c r="C678" s="109"/>
      <c r="D678" s="109" t="s">
        <v>3</v>
      </c>
      <c r="E678" s="109" t="s">
        <v>3</v>
      </c>
      <c r="F678" s="109" t="s">
        <v>3</v>
      </c>
      <c r="G678" s="110" t="s">
        <v>3</v>
      </c>
    </row>
    <row r="679" ht="22.5" customHeight="1">
      <c r="A679" s="107"/>
      <c r="B679" s="108"/>
      <c r="C679" s="109"/>
      <c r="D679" s="109" t="s">
        <v>3</v>
      </c>
      <c r="E679" s="109" t="s">
        <v>3</v>
      </c>
      <c r="F679" s="109" t="s">
        <v>3</v>
      </c>
      <c r="G679" s="110" t="s">
        <v>3</v>
      </c>
    </row>
    <row r="680" ht="22.5" customHeight="1">
      <c r="A680" s="107"/>
      <c r="B680" s="108"/>
      <c r="C680" s="109"/>
      <c r="D680" s="109" t="s">
        <v>3</v>
      </c>
      <c r="E680" s="109" t="s">
        <v>3</v>
      </c>
      <c r="F680" s="109" t="s">
        <v>3</v>
      </c>
      <c r="G680" s="110" t="s">
        <v>3</v>
      </c>
    </row>
    <row r="681" ht="22.5" customHeight="1">
      <c r="A681" s="107"/>
      <c r="B681" s="108"/>
      <c r="C681" s="109"/>
      <c r="D681" s="109" t="s">
        <v>3</v>
      </c>
      <c r="E681" s="109" t="s">
        <v>3</v>
      </c>
      <c r="F681" s="109" t="s">
        <v>3</v>
      </c>
      <c r="G681" s="110" t="s">
        <v>3</v>
      </c>
    </row>
    <row r="682" ht="22.5" customHeight="1">
      <c r="A682" s="107"/>
      <c r="B682" s="108"/>
      <c r="C682" s="109"/>
      <c r="D682" s="109" t="s">
        <v>3</v>
      </c>
      <c r="E682" s="109" t="s">
        <v>3</v>
      </c>
      <c r="F682" s="109" t="s">
        <v>3</v>
      </c>
      <c r="G682" s="110" t="s">
        <v>3</v>
      </c>
    </row>
    <row r="683" ht="22.5" customHeight="1">
      <c r="A683" s="107"/>
      <c r="B683" s="108"/>
      <c r="C683" s="109"/>
      <c r="D683" s="109" t="s">
        <v>3</v>
      </c>
      <c r="E683" s="109" t="s">
        <v>3</v>
      </c>
      <c r="F683" s="109" t="s">
        <v>3</v>
      </c>
      <c r="G683" s="110" t="s">
        <v>3</v>
      </c>
    </row>
    <row r="684" ht="22.5" customHeight="1">
      <c r="A684" s="107"/>
      <c r="B684" s="108"/>
      <c r="C684" s="109"/>
      <c r="D684" s="109" t="s">
        <v>3</v>
      </c>
      <c r="E684" s="109" t="s">
        <v>3</v>
      </c>
      <c r="F684" s="109" t="s">
        <v>3</v>
      </c>
      <c r="G684" s="110" t="s">
        <v>3</v>
      </c>
    </row>
    <row r="685" ht="22.5" customHeight="1">
      <c r="A685" s="107"/>
      <c r="B685" s="108"/>
      <c r="C685" s="109"/>
      <c r="D685" s="109" t="s">
        <v>3</v>
      </c>
      <c r="E685" s="109" t="s">
        <v>3</v>
      </c>
      <c r="F685" s="109" t="s">
        <v>3</v>
      </c>
      <c r="G685" s="110" t="s">
        <v>3</v>
      </c>
    </row>
    <row r="686" ht="22.5" customHeight="1">
      <c r="A686" s="107"/>
      <c r="B686" s="108"/>
      <c r="C686" s="109"/>
      <c r="D686" s="109" t="s">
        <v>3</v>
      </c>
      <c r="E686" s="109" t="s">
        <v>3</v>
      </c>
      <c r="F686" s="109" t="s">
        <v>3</v>
      </c>
      <c r="G686" s="110" t="s">
        <v>3</v>
      </c>
    </row>
    <row r="687" ht="22.5" customHeight="1">
      <c r="A687" s="107"/>
      <c r="B687" s="108"/>
      <c r="C687" s="109"/>
      <c r="D687" s="109" t="s">
        <v>3</v>
      </c>
      <c r="E687" s="109" t="s">
        <v>3</v>
      </c>
      <c r="F687" s="109" t="s">
        <v>3</v>
      </c>
      <c r="G687" s="110" t="s">
        <v>3</v>
      </c>
    </row>
    <row r="688" ht="22.5" customHeight="1">
      <c r="A688" s="107"/>
      <c r="B688" s="108"/>
      <c r="C688" s="109"/>
      <c r="D688" s="109" t="s">
        <v>3</v>
      </c>
      <c r="E688" s="109" t="s">
        <v>3</v>
      </c>
      <c r="F688" s="109" t="s">
        <v>3</v>
      </c>
      <c r="G688" s="110" t="s">
        <v>3</v>
      </c>
    </row>
    <row r="689" ht="22.5" customHeight="1">
      <c r="A689" s="107"/>
      <c r="B689" s="108"/>
      <c r="C689" s="109"/>
      <c r="D689" s="109" t="s">
        <v>3</v>
      </c>
      <c r="E689" s="109" t="s">
        <v>3</v>
      </c>
      <c r="F689" s="109" t="s">
        <v>3</v>
      </c>
      <c r="G689" s="110" t="s">
        <v>3</v>
      </c>
    </row>
    <row r="690" ht="22.5" customHeight="1">
      <c r="A690" s="107"/>
      <c r="B690" s="108"/>
      <c r="C690" s="109"/>
      <c r="D690" s="109" t="s">
        <v>3</v>
      </c>
      <c r="E690" s="109" t="s">
        <v>3</v>
      </c>
      <c r="F690" s="109" t="s">
        <v>3</v>
      </c>
      <c r="G690" s="110" t="s">
        <v>3</v>
      </c>
    </row>
    <row r="691" ht="22.5" customHeight="1">
      <c r="A691" s="107"/>
      <c r="B691" s="108"/>
      <c r="C691" s="109"/>
      <c r="D691" s="109" t="s">
        <v>3</v>
      </c>
      <c r="E691" s="109" t="s">
        <v>3</v>
      </c>
      <c r="F691" s="109" t="s">
        <v>3</v>
      </c>
      <c r="G691" s="110" t="s">
        <v>3</v>
      </c>
    </row>
    <row r="692" ht="22.5" customHeight="1">
      <c r="A692" s="107"/>
      <c r="B692" s="108"/>
      <c r="C692" s="109"/>
      <c r="D692" s="109" t="s">
        <v>3</v>
      </c>
      <c r="E692" s="109" t="s">
        <v>3</v>
      </c>
      <c r="F692" s="109" t="s">
        <v>3</v>
      </c>
      <c r="G692" s="110" t="s">
        <v>3</v>
      </c>
    </row>
    <row r="693" ht="22.5" customHeight="1">
      <c r="A693" s="107"/>
      <c r="B693" s="108"/>
      <c r="C693" s="109"/>
      <c r="D693" s="109" t="s">
        <v>3</v>
      </c>
      <c r="E693" s="109" t="s">
        <v>3</v>
      </c>
      <c r="F693" s="109" t="s">
        <v>3</v>
      </c>
      <c r="G693" s="110" t="s">
        <v>3</v>
      </c>
    </row>
    <row r="694" ht="22.5" customHeight="1">
      <c r="A694" s="107"/>
      <c r="B694" s="108"/>
      <c r="C694" s="109"/>
      <c r="D694" s="109" t="s">
        <v>3</v>
      </c>
      <c r="E694" s="109" t="s">
        <v>3</v>
      </c>
      <c r="F694" s="109" t="s">
        <v>3</v>
      </c>
      <c r="G694" s="110" t="s">
        <v>3</v>
      </c>
    </row>
    <row r="695" ht="22.5" customHeight="1">
      <c r="A695" s="107"/>
      <c r="B695" s="108"/>
      <c r="C695" s="109"/>
      <c r="D695" s="109" t="s">
        <v>3</v>
      </c>
      <c r="E695" s="109" t="s">
        <v>3</v>
      </c>
      <c r="F695" s="109" t="s">
        <v>3</v>
      </c>
      <c r="G695" s="110" t="s">
        <v>3</v>
      </c>
    </row>
    <row r="696" ht="22.5" customHeight="1">
      <c r="A696" s="107"/>
      <c r="B696" s="108"/>
      <c r="C696" s="109"/>
      <c r="D696" s="109" t="s">
        <v>3</v>
      </c>
      <c r="E696" s="109" t="s">
        <v>3</v>
      </c>
      <c r="F696" s="109" t="s">
        <v>3</v>
      </c>
      <c r="G696" s="110" t="s">
        <v>3</v>
      </c>
    </row>
    <row r="697" ht="22.5" customHeight="1">
      <c r="A697" s="107"/>
      <c r="B697" s="108"/>
      <c r="C697" s="109"/>
      <c r="D697" s="109" t="s">
        <v>3</v>
      </c>
      <c r="E697" s="109" t="s">
        <v>3</v>
      </c>
      <c r="F697" s="109" t="s">
        <v>3</v>
      </c>
      <c r="G697" s="110" t="s">
        <v>3</v>
      </c>
    </row>
    <row r="698" ht="22.5" customHeight="1">
      <c r="A698" s="107"/>
      <c r="B698" s="108"/>
      <c r="C698" s="109"/>
      <c r="D698" s="109" t="s">
        <v>3</v>
      </c>
      <c r="E698" s="109" t="s">
        <v>3</v>
      </c>
      <c r="F698" s="109" t="s">
        <v>3</v>
      </c>
      <c r="G698" s="110" t="s">
        <v>3</v>
      </c>
    </row>
    <row r="699" ht="22.5" customHeight="1">
      <c r="A699" s="107"/>
      <c r="B699" s="108"/>
      <c r="C699" s="109"/>
      <c r="D699" s="109" t="s">
        <v>3</v>
      </c>
      <c r="E699" s="109" t="s">
        <v>3</v>
      </c>
      <c r="F699" s="109" t="s">
        <v>3</v>
      </c>
      <c r="G699" s="110" t="s">
        <v>3</v>
      </c>
    </row>
    <row r="700" ht="22.5" customHeight="1">
      <c r="A700" s="107"/>
      <c r="B700" s="108"/>
      <c r="C700" s="109"/>
      <c r="D700" s="109" t="s">
        <v>3</v>
      </c>
      <c r="E700" s="109" t="s">
        <v>3</v>
      </c>
      <c r="F700" s="109" t="s">
        <v>3</v>
      </c>
      <c r="G700" s="110" t="s">
        <v>3</v>
      </c>
    </row>
    <row r="701" ht="22.5" customHeight="1">
      <c r="A701" s="107"/>
      <c r="B701" s="108"/>
      <c r="C701" s="109"/>
      <c r="D701" s="109" t="s">
        <v>3</v>
      </c>
      <c r="E701" s="109" t="s">
        <v>3</v>
      </c>
      <c r="F701" s="109" t="s">
        <v>3</v>
      </c>
      <c r="G701" s="110" t="s">
        <v>3</v>
      </c>
    </row>
    <row r="702" ht="22.5" customHeight="1">
      <c r="A702" s="107"/>
      <c r="B702" s="108"/>
      <c r="C702" s="109"/>
      <c r="D702" s="109" t="s">
        <v>3</v>
      </c>
      <c r="E702" s="109" t="s">
        <v>3</v>
      </c>
      <c r="F702" s="109" t="s">
        <v>3</v>
      </c>
      <c r="G702" s="110" t="s">
        <v>3</v>
      </c>
    </row>
    <row r="703" ht="22.5" customHeight="1">
      <c r="A703" s="107"/>
      <c r="B703" s="108"/>
      <c r="C703" s="109"/>
      <c r="D703" s="109" t="s">
        <v>3</v>
      </c>
      <c r="E703" s="109" t="s">
        <v>3</v>
      </c>
      <c r="F703" s="109" t="s">
        <v>3</v>
      </c>
      <c r="G703" s="110" t="s">
        <v>3</v>
      </c>
    </row>
    <row r="704" ht="22.5" customHeight="1">
      <c r="A704" s="107"/>
      <c r="B704" s="108"/>
      <c r="C704" s="109"/>
      <c r="D704" s="109" t="s">
        <v>3</v>
      </c>
      <c r="E704" s="109" t="s">
        <v>3</v>
      </c>
      <c r="F704" s="109" t="s">
        <v>3</v>
      </c>
      <c r="G704" s="110" t="s">
        <v>3</v>
      </c>
    </row>
    <row r="705" ht="22.5" customHeight="1">
      <c r="A705" s="107"/>
      <c r="B705" s="108"/>
      <c r="C705" s="109"/>
      <c r="D705" s="109" t="s">
        <v>3</v>
      </c>
      <c r="E705" s="109" t="s">
        <v>3</v>
      </c>
      <c r="F705" s="109" t="s">
        <v>3</v>
      </c>
      <c r="G705" s="110" t="s">
        <v>3</v>
      </c>
    </row>
    <row r="706" ht="22.5" customHeight="1">
      <c r="A706" s="107"/>
      <c r="B706" s="108"/>
      <c r="C706" s="109"/>
      <c r="D706" s="109" t="s">
        <v>3</v>
      </c>
      <c r="E706" s="109" t="s">
        <v>3</v>
      </c>
      <c r="F706" s="109" t="s">
        <v>3</v>
      </c>
      <c r="G706" s="110" t="s">
        <v>3</v>
      </c>
    </row>
    <row r="707" ht="22.5" customHeight="1">
      <c r="A707" s="107"/>
      <c r="B707" s="108"/>
      <c r="C707" s="109"/>
      <c r="D707" s="109" t="s">
        <v>3</v>
      </c>
      <c r="E707" s="109" t="s">
        <v>3</v>
      </c>
      <c r="F707" s="109" t="s">
        <v>3</v>
      </c>
      <c r="G707" s="110" t="s">
        <v>3</v>
      </c>
    </row>
    <row r="708" ht="22.5" customHeight="1">
      <c r="A708" s="107"/>
      <c r="B708" s="108"/>
      <c r="C708" s="109"/>
      <c r="D708" s="109" t="s">
        <v>3</v>
      </c>
      <c r="E708" s="109" t="s">
        <v>3</v>
      </c>
      <c r="F708" s="109" t="s">
        <v>3</v>
      </c>
      <c r="G708" s="110" t="s">
        <v>3</v>
      </c>
    </row>
    <row r="709" ht="22.5" customHeight="1">
      <c r="A709" s="107"/>
      <c r="B709" s="108"/>
      <c r="C709" s="109"/>
      <c r="D709" s="109" t="s">
        <v>3</v>
      </c>
      <c r="E709" s="109" t="s">
        <v>3</v>
      </c>
      <c r="F709" s="109" t="s">
        <v>3</v>
      </c>
      <c r="G709" s="110" t="s">
        <v>3</v>
      </c>
    </row>
    <row r="710" ht="22.5" customHeight="1">
      <c r="A710" s="107"/>
      <c r="B710" s="108"/>
      <c r="C710" s="109"/>
      <c r="D710" s="109" t="s">
        <v>3</v>
      </c>
      <c r="E710" s="109" t="s">
        <v>3</v>
      </c>
      <c r="F710" s="109" t="s">
        <v>3</v>
      </c>
      <c r="G710" s="110" t="s">
        <v>3</v>
      </c>
    </row>
    <row r="711" ht="22.5" customHeight="1">
      <c r="A711" s="107"/>
      <c r="B711" s="108"/>
      <c r="C711" s="109"/>
      <c r="D711" s="109" t="s">
        <v>3</v>
      </c>
      <c r="E711" s="109" t="s">
        <v>3</v>
      </c>
      <c r="F711" s="109" t="s">
        <v>3</v>
      </c>
      <c r="G711" s="110" t="s">
        <v>3</v>
      </c>
    </row>
    <row r="712" ht="22.5" customHeight="1">
      <c r="A712" s="107"/>
      <c r="B712" s="108"/>
      <c r="C712" s="109"/>
      <c r="D712" s="109" t="s">
        <v>3</v>
      </c>
      <c r="E712" s="109" t="s">
        <v>3</v>
      </c>
      <c r="F712" s="109" t="s">
        <v>3</v>
      </c>
      <c r="G712" s="110" t="s">
        <v>3</v>
      </c>
    </row>
    <row r="713" ht="22.5" customHeight="1">
      <c r="A713" s="107"/>
      <c r="B713" s="108"/>
      <c r="C713" s="109"/>
      <c r="D713" s="109" t="s">
        <v>3</v>
      </c>
      <c r="E713" s="109" t="s">
        <v>3</v>
      </c>
      <c r="F713" s="109" t="s">
        <v>3</v>
      </c>
      <c r="G713" s="110" t="s">
        <v>3</v>
      </c>
    </row>
    <row r="714" ht="22.5" customHeight="1">
      <c r="A714" s="107"/>
      <c r="B714" s="108"/>
      <c r="C714" s="109"/>
      <c r="D714" s="109" t="s">
        <v>3</v>
      </c>
      <c r="E714" s="109" t="s">
        <v>3</v>
      </c>
      <c r="F714" s="109" t="s">
        <v>3</v>
      </c>
      <c r="G714" s="110" t="s">
        <v>3</v>
      </c>
    </row>
    <row r="715" ht="22.5" customHeight="1">
      <c r="A715" s="107"/>
      <c r="B715" s="108"/>
      <c r="C715" s="109"/>
      <c r="D715" s="109" t="s">
        <v>3</v>
      </c>
      <c r="E715" s="109" t="s">
        <v>3</v>
      </c>
      <c r="F715" s="109" t="s">
        <v>3</v>
      </c>
      <c r="G715" s="110" t="s">
        <v>3</v>
      </c>
    </row>
    <row r="716" ht="22.5" customHeight="1">
      <c r="A716" s="107"/>
      <c r="B716" s="108"/>
      <c r="C716" s="109"/>
      <c r="D716" s="109" t="s">
        <v>3</v>
      </c>
      <c r="E716" s="109" t="s">
        <v>3</v>
      </c>
      <c r="F716" s="109" t="s">
        <v>3</v>
      </c>
      <c r="G716" s="110" t="s">
        <v>3</v>
      </c>
    </row>
    <row r="717" ht="22.5" customHeight="1">
      <c r="A717" s="107"/>
      <c r="B717" s="108"/>
      <c r="C717" s="109"/>
      <c r="D717" s="109" t="s">
        <v>3</v>
      </c>
      <c r="E717" s="109" t="s">
        <v>3</v>
      </c>
      <c r="F717" s="109" t="s">
        <v>3</v>
      </c>
      <c r="G717" s="110" t="s">
        <v>3</v>
      </c>
    </row>
    <row r="718" ht="22.5" customHeight="1">
      <c r="A718" s="107"/>
      <c r="B718" s="108"/>
      <c r="C718" s="109"/>
      <c r="D718" s="109" t="s">
        <v>3</v>
      </c>
      <c r="E718" s="109" t="s">
        <v>3</v>
      </c>
      <c r="F718" s="109" t="s">
        <v>3</v>
      </c>
      <c r="G718" s="110" t="s">
        <v>3</v>
      </c>
    </row>
    <row r="719" ht="22.5" customHeight="1">
      <c r="A719" s="107"/>
      <c r="B719" s="108"/>
      <c r="C719" s="109"/>
      <c r="D719" s="109" t="s">
        <v>3</v>
      </c>
      <c r="E719" s="109" t="s">
        <v>3</v>
      </c>
      <c r="F719" s="109" t="s">
        <v>3</v>
      </c>
      <c r="G719" s="110" t="s">
        <v>3</v>
      </c>
    </row>
    <row r="720" ht="22.5" customHeight="1">
      <c r="A720" s="107"/>
      <c r="B720" s="108"/>
      <c r="C720" s="109"/>
      <c r="D720" s="109" t="s">
        <v>3</v>
      </c>
      <c r="E720" s="109" t="s">
        <v>3</v>
      </c>
      <c r="F720" s="109" t="s">
        <v>3</v>
      </c>
      <c r="G720" s="110" t="s">
        <v>3</v>
      </c>
    </row>
    <row r="721" ht="22.5" customHeight="1">
      <c r="A721" s="107"/>
      <c r="B721" s="108"/>
      <c r="C721" s="109"/>
      <c r="D721" s="109" t="s">
        <v>3</v>
      </c>
      <c r="E721" s="109" t="s">
        <v>3</v>
      </c>
      <c r="F721" s="109" t="s">
        <v>3</v>
      </c>
      <c r="G721" s="110" t="s">
        <v>3</v>
      </c>
    </row>
    <row r="722" ht="22.5" customHeight="1">
      <c r="A722" s="107"/>
      <c r="B722" s="108"/>
      <c r="C722" s="109"/>
      <c r="D722" s="109" t="s">
        <v>3</v>
      </c>
      <c r="E722" s="109" t="s">
        <v>3</v>
      </c>
      <c r="F722" s="109" t="s">
        <v>3</v>
      </c>
      <c r="G722" s="110" t="s">
        <v>3</v>
      </c>
    </row>
    <row r="723" ht="22.5" customHeight="1">
      <c r="A723" s="107"/>
      <c r="B723" s="108"/>
      <c r="C723" s="109"/>
      <c r="D723" s="109" t="s">
        <v>3</v>
      </c>
      <c r="E723" s="109" t="s">
        <v>3</v>
      </c>
      <c r="F723" s="109" t="s">
        <v>3</v>
      </c>
      <c r="G723" s="110" t="s">
        <v>3</v>
      </c>
    </row>
    <row r="724" ht="22.5" customHeight="1">
      <c r="A724" s="107"/>
      <c r="B724" s="108"/>
      <c r="C724" s="109"/>
      <c r="D724" s="109" t="s">
        <v>3</v>
      </c>
      <c r="E724" s="109" t="s">
        <v>3</v>
      </c>
      <c r="F724" s="109" t="s">
        <v>3</v>
      </c>
      <c r="G724" s="110" t="s">
        <v>3</v>
      </c>
    </row>
    <row r="725" ht="22.5" customHeight="1">
      <c r="A725" s="107"/>
      <c r="B725" s="108"/>
      <c r="C725" s="109"/>
      <c r="D725" s="109" t="s">
        <v>3</v>
      </c>
      <c r="E725" s="109" t="s">
        <v>3</v>
      </c>
      <c r="F725" s="109" t="s">
        <v>3</v>
      </c>
      <c r="G725" s="110" t="s">
        <v>3</v>
      </c>
    </row>
    <row r="726" ht="22.5" customHeight="1">
      <c r="A726" s="107"/>
      <c r="B726" s="108"/>
      <c r="C726" s="109"/>
      <c r="D726" s="109" t="s">
        <v>3</v>
      </c>
      <c r="E726" s="109" t="s">
        <v>3</v>
      </c>
      <c r="F726" s="109" t="s">
        <v>3</v>
      </c>
      <c r="G726" s="110" t="s">
        <v>3</v>
      </c>
    </row>
    <row r="727" ht="22.5" customHeight="1">
      <c r="A727" s="107"/>
      <c r="B727" s="108"/>
      <c r="C727" s="109"/>
      <c r="D727" s="109" t="s">
        <v>3</v>
      </c>
      <c r="E727" s="109" t="s">
        <v>3</v>
      </c>
      <c r="F727" s="109" t="s">
        <v>3</v>
      </c>
      <c r="G727" s="110" t="s">
        <v>3</v>
      </c>
    </row>
    <row r="728" ht="22.5" customHeight="1">
      <c r="A728" s="107"/>
      <c r="B728" s="108"/>
      <c r="C728" s="109"/>
      <c r="D728" s="109" t="s">
        <v>3</v>
      </c>
      <c r="E728" s="109" t="s">
        <v>3</v>
      </c>
      <c r="F728" s="109" t="s">
        <v>3</v>
      </c>
      <c r="G728" s="110" t="s">
        <v>3</v>
      </c>
    </row>
    <row r="729" ht="22.5" customHeight="1">
      <c r="A729" s="107"/>
      <c r="B729" s="108"/>
      <c r="C729" s="109"/>
      <c r="D729" s="109" t="s">
        <v>3</v>
      </c>
      <c r="E729" s="109" t="s">
        <v>3</v>
      </c>
      <c r="F729" s="109" t="s">
        <v>3</v>
      </c>
      <c r="G729" s="110" t="s">
        <v>3</v>
      </c>
    </row>
    <row r="730" ht="22.5" customHeight="1">
      <c r="A730" s="107"/>
      <c r="B730" s="108"/>
      <c r="C730" s="109"/>
      <c r="D730" s="109" t="s">
        <v>3</v>
      </c>
      <c r="E730" s="109" t="s">
        <v>3</v>
      </c>
      <c r="F730" s="109" t="s">
        <v>3</v>
      </c>
      <c r="G730" s="110" t="s">
        <v>3</v>
      </c>
    </row>
    <row r="731" ht="22.5" customHeight="1">
      <c r="A731" s="107"/>
      <c r="B731" s="108"/>
      <c r="C731" s="109"/>
      <c r="D731" s="109" t="s">
        <v>3</v>
      </c>
      <c r="E731" s="109" t="s">
        <v>3</v>
      </c>
      <c r="F731" s="109" t="s">
        <v>3</v>
      </c>
      <c r="G731" s="110" t="s">
        <v>3</v>
      </c>
    </row>
    <row r="732" ht="22.5" customHeight="1">
      <c r="A732" s="107"/>
      <c r="B732" s="108"/>
      <c r="C732" s="109"/>
      <c r="D732" s="109" t="s">
        <v>3</v>
      </c>
      <c r="E732" s="109" t="s">
        <v>3</v>
      </c>
      <c r="F732" s="109" t="s">
        <v>3</v>
      </c>
      <c r="G732" s="110" t="s">
        <v>3</v>
      </c>
    </row>
    <row r="733" ht="22.5" customHeight="1">
      <c r="A733" s="107"/>
      <c r="B733" s="108"/>
      <c r="C733" s="109"/>
      <c r="D733" s="109" t="s">
        <v>3</v>
      </c>
      <c r="E733" s="109" t="s">
        <v>3</v>
      </c>
      <c r="F733" s="109" t="s">
        <v>3</v>
      </c>
      <c r="G733" s="110" t="s">
        <v>3</v>
      </c>
    </row>
    <row r="734" ht="22.5" customHeight="1">
      <c r="A734" s="107"/>
      <c r="B734" s="108"/>
      <c r="C734" s="109"/>
      <c r="D734" s="109" t="s">
        <v>3</v>
      </c>
      <c r="E734" s="109" t="s">
        <v>3</v>
      </c>
      <c r="F734" s="109" t="s">
        <v>3</v>
      </c>
      <c r="G734" s="110" t="s">
        <v>3</v>
      </c>
    </row>
    <row r="735" ht="22.5" customHeight="1">
      <c r="A735" s="107"/>
      <c r="B735" s="108"/>
      <c r="C735" s="109"/>
      <c r="D735" s="109" t="s">
        <v>3</v>
      </c>
      <c r="E735" s="109" t="s">
        <v>3</v>
      </c>
      <c r="F735" s="109" t="s">
        <v>3</v>
      </c>
      <c r="G735" s="110" t="s">
        <v>3</v>
      </c>
    </row>
    <row r="736" ht="22.5" customHeight="1">
      <c r="A736" s="107"/>
      <c r="B736" s="108"/>
      <c r="C736" s="109"/>
      <c r="D736" s="109" t="s">
        <v>3</v>
      </c>
      <c r="E736" s="109" t="s">
        <v>3</v>
      </c>
      <c r="F736" s="109" t="s">
        <v>3</v>
      </c>
      <c r="G736" s="110" t="s">
        <v>3</v>
      </c>
    </row>
    <row r="737" ht="22.5" customHeight="1">
      <c r="A737" s="107"/>
      <c r="B737" s="108"/>
      <c r="C737" s="109"/>
      <c r="D737" s="109" t="s">
        <v>3</v>
      </c>
      <c r="E737" s="109" t="s">
        <v>3</v>
      </c>
      <c r="F737" s="109" t="s">
        <v>3</v>
      </c>
      <c r="G737" s="110" t="s">
        <v>3</v>
      </c>
    </row>
    <row r="738" ht="22.5" customHeight="1">
      <c r="A738" s="107"/>
      <c r="B738" s="108"/>
      <c r="C738" s="109"/>
      <c r="D738" s="109" t="s">
        <v>3</v>
      </c>
      <c r="E738" s="109" t="s">
        <v>3</v>
      </c>
      <c r="F738" s="109" t="s">
        <v>3</v>
      </c>
      <c r="G738" s="110" t="s">
        <v>3</v>
      </c>
    </row>
    <row r="739" ht="22.5" customHeight="1">
      <c r="A739" s="107"/>
      <c r="B739" s="108"/>
      <c r="C739" s="109"/>
      <c r="D739" s="109" t="s">
        <v>3</v>
      </c>
      <c r="E739" s="109" t="s">
        <v>3</v>
      </c>
      <c r="F739" s="109" t="s">
        <v>3</v>
      </c>
      <c r="G739" s="110" t="s">
        <v>3</v>
      </c>
    </row>
    <row r="740" ht="22.5" customHeight="1">
      <c r="A740" s="107"/>
      <c r="B740" s="108"/>
      <c r="C740" s="109"/>
      <c r="D740" s="109" t="s">
        <v>3</v>
      </c>
      <c r="E740" s="109" t="s">
        <v>3</v>
      </c>
      <c r="F740" s="109" t="s">
        <v>3</v>
      </c>
      <c r="G740" s="110" t="s">
        <v>3</v>
      </c>
    </row>
    <row r="741" ht="22.5" customHeight="1">
      <c r="A741" s="107"/>
      <c r="B741" s="108"/>
      <c r="C741" s="109"/>
      <c r="D741" s="109" t="s">
        <v>3</v>
      </c>
      <c r="E741" s="109" t="s">
        <v>3</v>
      </c>
      <c r="F741" s="109" t="s">
        <v>3</v>
      </c>
      <c r="G741" s="110" t="s">
        <v>3</v>
      </c>
    </row>
    <row r="742" ht="22.5" customHeight="1">
      <c r="A742" s="107"/>
      <c r="B742" s="108"/>
      <c r="C742" s="109"/>
      <c r="D742" s="109" t="s">
        <v>3</v>
      </c>
      <c r="E742" s="109" t="s">
        <v>3</v>
      </c>
      <c r="F742" s="109" t="s">
        <v>3</v>
      </c>
      <c r="G742" s="110" t="s">
        <v>3</v>
      </c>
    </row>
    <row r="743" ht="22.5" customHeight="1">
      <c r="A743" s="107"/>
      <c r="B743" s="108"/>
      <c r="C743" s="109"/>
      <c r="D743" s="109" t="s">
        <v>3</v>
      </c>
      <c r="E743" s="109" t="s">
        <v>3</v>
      </c>
      <c r="F743" s="109" t="s">
        <v>3</v>
      </c>
      <c r="G743" s="110" t="s">
        <v>3</v>
      </c>
    </row>
    <row r="744" ht="22.5" customHeight="1">
      <c r="A744" s="107"/>
      <c r="B744" s="108"/>
      <c r="C744" s="109"/>
      <c r="D744" s="109" t="s">
        <v>3</v>
      </c>
      <c r="E744" s="109" t="s">
        <v>3</v>
      </c>
      <c r="F744" s="109" t="s">
        <v>3</v>
      </c>
      <c r="G744" s="110" t="s">
        <v>3</v>
      </c>
    </row>
    <row r="745" ht="22.5" customHeight="1">
      <c r="A745" s="107"/>
      <c r="B745" s="108"/>
      <c r="C745" s="109"/>
      <c r="D745" s="109" t="s">
        <v>3</v>
      </c>
      <c r="E745" s="109" t="s">
        <v>3</v>
      </c>
      <c r="F745" s="109" t="s">
        <v>3</v>
      </c>
      <c r="G745" s="110" t="s">
        <v>3</v>
      </c>
    </row>
    <row r="746" ht="22.5" customHeight="1">
      <c r="A746" s="107"/>
      <c r="B746" s="108"/>
      <c r="C746" s="109"/>
      <c r="D746" s="109" t="s">
        <v>3</v>
      </c>
      <c r="E746" s="109" t="s">
        <v>3</v>
      </c>
      <c r="F746" s="109" t="s">
        <v>3</v>
      </c>
      <c r="G746" s="110" t="s">
        <v>3</v>
      </c>
    </row>
    <row r="747" ht="22.5" customHeight="1">
      <c r="A747" s="107"/>
      <c r="B747" s="108"/>
      <c r="C747" s="109"/>
      <c r="D747" s="109" t="s">
        <v>3</v>
      </c>
      <c r="E747" s="109" t="s">
        <v>3</v>
      </c>
      <c r="F747" s="109" t="s">
        <v>3</v>
      </c>
      <c r="G747" s="110" t="s">
        <v>3</v>
      </c>
    </row>
    <row r="748" ht="22.5" customHeight="1">
      <c r="A748" s="107"/>
      <c r="B748" s="108"/>
      <c r="C748" s="109"/>
      <c r="D748" s="109" t="s">
        <v>3</v>
      </c>
      <c r="E748" s="109" t="s">
        <v>3</v>
      </c>
      <c r="F748" s="109" t="s">
        <v>3</v>
      </c>
      <c r="G748" s="110" t="s">
        <v>3</v>
      </c>
    </row>
    <row r="749" ht="22.5" customHeight="1">
      <c r="A749" s="107"/>
      <c r="B749" s="108"/>
      <c r="C749" s="109"/>
      <c r="D749" s="109" t="s">
        <v>3</v>
      </c>
      <c r="E749" s="109" t="s">
        <v>3</v>
      </c>
      <c r="F749" s="109" t="s">
        <v>3</v>
      </c>
      <c r="G749" s="110" t="s">
        <v>3</v>
      </c>
    </row>
    <row r="750" ht="22.5" customHeight="1">
      <c r="A750" s="107"/>
      <c r="B750" s="108"/>
      <c r="C750" s="109"/>
      <c r="D750" s="109" t="s">
        <v>3</v>
      </c>
      <c r="E750" s="109" t="s">
        <v>3</v>
      </c>
      <c r="F750" s="109" t="s">
        <v>3</v>
      </c>
      <c r="G750" s="110" t="s">
        <v>3</v>
      </c>
    </row>
    <row r="751" ht="22.5" customHeight="1">
      <c r="A751" s="107"/>
      <c r="B751" s="108"/>
      <c r="C751" s="109"/>
      <c r="D751" s="109" t="s">
        <v>3</v>
      </c>
      <c r="E751" s="109" t="s">
        <v>3</v>
      </c>
      <c r="F751" s="109" t="s">
        <v>3</v>
      </c>
      <c r="G751" s="110" t="s">
        <v>3</v>
      </c>
    </row>
    <row r="752" ht="22.5" customHeight="1">
      <c r="A752" s="107"/>
      <c r="B752" s="108"/>
      <c r="C752" s="109"/>
      <c r="D752" s="109" t="s">
        <v>3</v>
      </c>
      <c r="E752" s="109" t="s">
        <v>3</v>
      </c>
      <c r="F752" s="109" t="s">
        <v>3</v>
      </c>
      <c r="G752" s="110" t="s">
        <v>3</v>
      </c>
    </row>
    <row r="753" ht="22.5" customHeight="1">
      <c r="A753" s="107"/>
      <c r="B753" s="108"/>
      <c r="C753" s="109"/>
      <c r="D753" s="109" t="s">
        <v>3</v>
      </c>
      <c r="E753" s="109" t="s">
        <v>3</v>
      </c>
      <c r="F753" s="109" t="s">
        <v>3</v>
      </c>
      <c r="G753" s="110" t="s">
        <v>3</v>
      </c>
    </row>
    <row r="754" ht="22.5" customHeight="1">
      <c r="A754" s="107"/>
      <c r="B754" s="108"/>
      <c r="C754" s="109"/>
      <c r="D754" s="109" t="s">
        <v>3</v>
      </c>
      <c r="E754" s="109" t="s">
        <v>3</v>
      </c>
      <c r="F754" s="109" t="s">
        <v>3</v>
      </c>
      <c r="G754" s="110" t="s">
        <v>3</v>
      </c>
    </row>
    <row r="755" ht="22.5" customHeight="1">
      <c r="A755" s="107"/>
      <c r="B755" s="108"/>
      <c r="C755" s="109"/>
      <c r="D755" s="109" t="s">
        <v>3</v>
      </c>
      <c r="E755" s="109" t="s">
        <v>3</v>
      </c>
      <c r="F755" s="109" t="s">
        <v>3</v>
      </c>
      <c r="G755" s="110" t="s">
        <v>3</v>
      </c>
    </row>
    <row r="756" ht="22.5" customHeight="1">
      <c r="A756" s="107"/>
      <c r="B756" s="108"/>
      <c r="C756" s="109"/>
      <c r="D756" s="109" t="s">
        <v>3</v>
      </c>
      <c r="E756" s="109" t="s">
        <v>3</v>
      </c>
      <c r="F756" s="109" t="s">
        <v>3</v>
      </c>
      <c r="G756" s="110" t="s">
        <v>3</v>
      </c>
    </row>
    <row r="757" ht="22.5" customHeight="1">
      <c r="A757" s="107"/>
      <c r="B757" s="108"/>
      <c r="C757" s="109"/>
      <c r="D757" s="109" t="s">
        <v>3</v>
      </c>
      <c r="E757" s="109" t="s">
        <v>3</v>
      </c>
      <c r="F757" s="109" t="s">
        <v>3</v>
      </c>
      <c r="G757" s="110" t="s">
        <v>3</v>
      </c>
    </row>
    <row r="758" ht="22.5" customHeight="1">
      <c r="A758" s="107"/>
      <c r="B758" s="108"/>
      <c r="C758" s="109"/>
      <c r="D758" s="109" t="s">
        <v>3</v>
      </c>
      <c r="E758" s="109" t="s">
        <v>3</v>
      </c>
      <c r="F758" s="109" t="s">
        <v>3</v>
      </c>
      <c r="G758" s="110" t="s">
        <v>3</v>
      </c>
    </row>
    <row r="759" ht="22.5" customHeight="1">
      <c r="A759" s="107"/>
      <c r="B759" s="108"/>
      <c r="C759" s="109"/>
      <c r="D759" s="109" t="s">
        <v>3</v>
      </c>
      <c r="E759" s="109" t="s">
        <v>3</v>
      </c>
      <c r="F759" s="109" t="s">
        <v>3</v>
      </c>
      <c r="G759" s="110" t="s">
        <v>3</v>
      </c>
    </row>
    <row r="760" ht="22.5" customHeight="1">
      <c r="A760" s="107"/>
      <c r="B760" s="108"/>
      <c r="C760" s="109"/>
      <c r="D760" s="109" t="s">
        <v>3</v>
      </c>
      <c r="E760" s="109" t="s">
        <v>3</v>
      </c>
      <c r="F760" s="109" t="s">
        <v>3</v>
      </c>
      <c r="G760" s="110" t="s">
        <v>3</v>
      </c>
    </row>
    <row r="761" ht="22.5" customHeight="1">
      <c r="A761" s="107"/>
      <c r="B761" s="108"/>
      <c r="C761" s="109"/>
      <c r="D761" s="109" t="s">
        <v>3</v>
      </c>
      <c r="E761" s="109" t="s">
        <v>3</v>
      </c>
      <c r="F761" s="109" t="s">
        <v>3</v>
      </c>
      <c r="G761" s="110" t="s">
        <v>3</v>
      </c>
    </row>
    <row r="762" ht="22.5" customHeight="1">
      <c r="A762" s="107"/>
      <c r="B762" s="108"/>
      <c r="C762" s="109"/>
      <c r="D762" s="109" t="s">
        <v>3</v>
      </c>
      <c r="E762" s="109" t="s">
        <v>3</v>
      </c>
      <c r="F762" s="109" t="s">
        <v>3</v>
      </c>
      <c r="G762" s="110" t="s">
        <v>3</v>
      </c>
    </row>
    <row r="763" ht="22.5" customHeight="1">
      <c r="A763" s="107"/>
      <c r="B763" s="108"/>
      <c r="C763" s="109"/>
      <c r="D763" s="109" t="s">
        <v>3</v>
      </c>
      <c r="E763" s="109" t="s">
        <v>3</v>
      </c>
      <c r="F763" s="109" t="s">
        <v>3</v>
      </c>
      <c r="G763" s="110" t="s">
        <v>3</v>
      </c>
    </row>
    <row r="764" ht="22.5" customHeight="1">
      <c r="A764" s="107"/>
      <c r="B764" s="108"/>
      <c r="C764" s="109"/>
      <c r="D764" s="109" t="s">
        <v>3</v>
      </c>
      <c r="E764" s="109" t="s">
        <v>3</v>
      </c>
      <c r="F764" s="109" t="s">
        <v>3</v>
      </c>
      <c r="G764" s="110" t="s">
        <v>3</v>
      </c>
    </row>
    <row r="765" ht="22.5" customHeight="1">
      <c r="A765" s="107"/>
      <c r="B765" s="108"/>
      <c r="C765" s="109"/>
      <c r="D765" s="109" t="s">
        <v>3</v>
      </c>
      <c r="E765" s="109" t="s">
        <v>3</v>
      </c>
      <c r="F765" s="109" t="s">
        <v>3</v>
      </c>
      <c r="G765" s="110" t="s">
        <v>3</v>
      </c>
    </row>
    <row r="766" ht="22.5" customHeight="1">
      <c r="A766" s="107"/>
      <c r="B766" s="108"/>
      <c r="C766" s="109"/>
      <c r="D766" s="109" t="s">
        <v>3</v>
      </c>
      <c r="E766" s="109" t="s">
        <v>3</v>
      </c>
      <c r="F766" s="109" t="s">
        <v>3</v>
      </c>
      <c r="G766" s="110" t="s">
        <v>3</v>
      </c>
    </row>
    <row r="767" ht="22.5" customHeight="1">
      <c r="A767" s="107"/>
      <c r="B767" s="108"/>
      <c r="C767" s="109"/>
      <c r="D767" s="109" t="s">
        <v>3</v>
      </c>
      <c r="E767" s="109" t="s">
        <v>3</v>
      </c>
      <c r="F767" s="109" t="s">
        <v>3</v>
      </c>
      <c r="G767" s="110" t="s">
        <v>3</v>
      </c>
    </row>
    <row r="768" ht="22.5" customHeight="1">
      <c r="A768" s="107"/>
      <c r="B768" s="108"/>
      <c r="C768" s="109"/>
      <c r="D768" s="109" t="s">
        <v>3</v>
      </c>
      <c r="E768" s="109" t="s">
        <v>3</v>
      </c>
      <c r="F768" s="109" t="s">
        <v>3</v>
      </c>
      <c r="G768" s="110" t="s">
        <v>3</v>
      </c>
    </row>
    <row r="769" ht="22.5" customHeight="1">
      <c r="A769" s="107"/>
      <c r="B769" s="108"/>
      <c r="C769" s="109"/>
      <c r="D769" s="109" t="s">
        <v>3</v>
      </c>
      <c r="E769" s="109" t="s">
        <v>3</v>
      </c>
      <c r="F769" s="109" t="s">
        <v>3</v>
      </c>
      <c r="G769" s="110" t="s">
        <v>3</v>
      </c>
    </row>
    <row r="770" ht="22.5" customHeight="1">
      <c r="A770" s="107"/>
      <c r="B770" s="108"/>
      <c r="C770" s="109"/>
      <c r="D770" s="109" t="s">
        <v>3</v>
      </c>
      <c r="E770" s="109" t="s">
        <v>3</v>
      </c>
      <c r="F770" s="109" t="s">
        <v>3</v>
      </c>
      <c r="G770" s="110" t="s">
        <v>3</v>
      </c>
    </row>
    <row r="771" ht="22.5" customHeight="1">
      <c r="A771" s="107"/>
      <c r="B771" s="108"/>
      <c r="C771" s="109"/>
      <c r="D771" s="109" t="s">
        <v>3</v>
      </c>
      <c r="E771" s="109" t="s">
        <v>3</v>
      </c>
      <c r="F771" s="109" t="s">
        <v>3</v>
      </c>
      <c r="G771" s="110" t="s">
        <v>3</v>
      </c>
    </row>
    <row r="772" ht="22.5" customHeight="1">
      <c r="A772" s="107"/>
      <c r="B772" s="108"/>
      <c r="C772" s="109"/>
      <c r="D772" s="109" t="s">
        <v>3</v>
      </c>
      <c r="E772" s="109" t="s">
        <v>3</v>
      </c>
      <c r="F772" s="109" t="s">
        <v>3</v>
      </c>
      <c r="G772" s="110" t="s">
        <v>3</v>
      </c>
    </row>
    <row r="773" ht="22.5" customHeight="1">
      <c r="A773" s="107"/>
      <c r="B773" s="108"/>
      <c r="C773" s="109"/>
      <c r="D773" s="109" t="s">
        <v>3</v>
      </c>
      <c r="E773" s="109" t="s">
        <v>3</v>
      </c>
      <c r="F773" s="109" t="s">
        <v>3</v>
      </c>
      <c r="G773" s="110" t="s">
        <v>3</v>
      </c>
    </row>
    <row r="774" ht="22.5" customHeight="1">
      <c r="A774" s="107"/>
      <c r="B774" s="108"/>
      <c r="C774" s="109"/>
      <c r="D774" s="109" t="s">
        <v>3</v>
      </c>
      <c r="E774" s="109" t="s">
        <v>3</v>
      </c>
      <c r="F774" s="109" t="s">
        <v>3</v>
      </c>
      <c r="G774" s="110" t="s">
        <v>3</v>
      </c>
    </row>
    <row r="775" ht="22.5" customHeight="1">
      <c r="A775" s="107"/>
      <c r="B775" s="108"/>
      <c r="C775" s="109"/>
      <c r="D775" s="109" t="s">
        <v>3</v>
      </c>
      <c r="E775" s="109" t="s">
        <v>3</v>
      </c>
      <c r="F775" s="109" t="s">
        <v>3</v>
      </c>
      <c r="G775" s="110" t="s">
        <v>3</v>
      </c>
    </row>
    <row r="776" ht="22.5" customHeight="1">
      <c r="A776" s="107"/>
      <c r="B776" s="108"/>
      <c r="C776" s="109"/>
      <c r="D776" s="109" t="s">
        <v>3</v>
      </c>
      <c r="E776" s="109" t="s">
        <v>3</v>
      </c>
      <c r="F776" s="109" t="s">
        <v>3</v>
      </c>
      <c r="G776" s="110" t="s">
        <v>3</v>
      </c>
    </row>
    <row r="777" ht="22.5" customHeight="1">
      <c r="A777" s="107"/>
      <c r="B777" s="108"/>
      <c r="C777" s="109"/>
      <c r="D777" s="109" t="s">
        <v>3</v>
      </c>
      <c r="E777" s="109" t="s">
        <v>3</v>
      </c>
      <c r="F777" s="109" t="s">
        <v>3</v>
      </c>
      <c r="G777" s="110" t="s">
        <v>3</v>
      </c>
    </row>
    <row r="778" ht="22.5" customHeight="1">
      <c r="A778" s="107"/>
      <c r="B778" s="108"/>
      <c r="C778" s="109"/>
      <c r="D778" s="109" t="s">
        <v>3</v>
      </c>
      <c r="E778" s="109" t="s">
        <v>3</v>
      </c>
      <c r="F778" s="109" t="s">
        <v>3</v>
      </c>
      <c r="G778" s="110" t="s">
        <v>3</v>
      </c>
    </row>
    <row r="779" ht="22.5" customHeight="1">
      <c r="A779" s="107"/>
      <c r="B779" s="108"/>
      <c r="C779" s="109"/>
      <c r="D779" s="109" t="s">
        <v>3</v>
      </c>
      <c r="E779" s="109" t="s">
        <v>3</v>
      </c>
      <c r="F779" s="109" t="s">
        <v>3</v>
      </c>
      <c r="G779" s="110" t="s">
        <v>3</v>
      </c>
    </row>
    <row r="780" ht="22.5" customHeight="1">
      <c r="A780" s="107"/>
      <c r="B780" s="108"/>
      <c r="C780" s="109"/>
      <c r="D780" s="109" t="s">
        <v>3</v>
      </c>
      <c r="E780" s="109" t="s">
        <v>3</v>
      </c>
      <c r="F780" s="109" t="s">
        <v>3</v>
      </c>
      <c r="G780" s="110" t="s">
        <v>3</v>
      </c>
    </row>
    <row r="781" ht="22.5" customHeight="1">
      <c r="A781" s="107"/>
      <c r="B781" s="108"/>
      <c r="C781" s="109"/>
      <c r="D781" s="109" t="s">
        <v>3</v>
      </c>
      <c r="E781" s="109" t="s">
        <v>3</v>
      </c>
      <c r="F781" s="109" t="s">
        <v>3</v>
      </c>
      <c r="G781" s="110" t="s">
        <v>3</v>
      </c>
    </row>
    <row r="782" ht="22.5" customHeight="1">
      <c r="A782" s="107"/>
      <c r="B782" s="108"/>
      <c r="C782" s="109"/>
      <c r="D782" s="109" t="s">
        <v>3</v>
      </c>
      <c r="E782" s="109" t="s">
        <v>3</v>
      </c>
      <c r="F782" s="109" t="s">
        <v>3</v>
      </c>
      <c r="G782" s="110" t="s">
        <v>3</v>
      </c>
    </row>
    <row r="783" ht="22.5" customHeight="1">
      <c r="A783" s="107"/>
      <c r="B783" s="108"/>
      <c r="C783" s="109"/>
      <c r="D783" s="109" t="s">
        <v>3</v>
      </c>
      <c r="E783" s="109" t="s">
        <v>3</v>
      </c>
      <c r="F783" s="109" t="s">
        <v>3</v>
      </c>
      <c r="G783" s="110" t="s">
        <v>3</v>
      </c>
    </row>
    <row r="784" ht="22.5" customHeight="1">
      <c r="A784" s="107"/>
      <c r="B784" s="108"/>
      <c r="C784" s="109"/>
      <c r="D784" s="109" t="s">
        <v>3</v>
      </c>
      <c r="E784" s="109" t="s">
        <v>3</v>
      </c>
      <c r="F784" s="109" t="s">
        <v>3</v>
      </c>
      <c r="G784" s="110" t="s">
        <v>3</v>
      </c>
    </row>
    <row r="785" ht="22.5" customHeight="1">
      <c r="A785" s="107"/>
      <c r="B785" s="108"/>
      <c r="C785" s="109"/>
      <c r="D785" s="109" t="s">
        <v>3</v>
      </c>
      <c r="E785" s="109" t="s">
        <v>3</v>
      </c>
      <c r="F785" s="109" t="s">
        <v>3</v>
      </c>
      <c r="G785" s="110" t="s">
        <v>3</v>
      </c>
    </row>
    <row r="786" ht="22.5" customHeight="1">
      <c r="A786" s="107"/>
      <c r="B786" s="108"/>
      <c r="C786" s="109"/>
      <c r="D786" s="109" t="s">
        <v>3</v>
      </c>
      <c r="E786" s="109" t="s">
        <v>3</v>
      </c>
      <c r="F786" s="109" t="s">
        <v>3</v>
      </c>
      <c r="G786" s="110" t="s">
        <v>3</v>
      </c>
    </row>
    <row r="787" ht="22.5" customHeight="1">
      <c r="A787" s="107"/>
      <c r="B787" s="108"/>
      <c r="C787" s="109"/>
      <c r="D787" s="109" t="s">
        <v>3</v>
      </c>
      <c r="E787" s="109" t="s">
        <v>3</v>
      </c>
      <c r="F787" s="109" t="s">
        <v>3</v>
      </c>
      <c r="G787" s="110" t="s">
        <v>3</v>
      </c>
    </row>
    <row r="788" ht="22.5" customHeight="1">
      <c r="A788" s="107"/>
      <c r="B788" s="108"/>
      <c r="C788" s="109"/>
      <c r="D788" s="109" t="s">
        <v>3</v>
      </c>
      <c r="E788" s="109" t="s">
        <v>3</v>
      </c>
      <c r="F788" s="109" t="s">
        <v>3</v>
      </c>
      <c r="G788" s="110" t="s">
        <v>3</v>
      </c>
    </row>
    <row r="789" ht="22.5" customHeight="1">
      <c r="A789" s="107"/>
      <c r="B789" s="108"/>
      <c r="C789" s="109"/>
      <c r="D789" s="109" t="s">
        <v>3</v>
      </c>
      <c r="E789" s="109" t="s">
        <v>3</v>
      </c>
      <c r="F789" s="109" t="s">
        <v>3</v>
      </c>
      <c r="G789" s="110" t="s">
        <v>3</v>
      </c>
    </row>
    <row r="790" ht="22.5" customHeight="1">
      <c r="A790" s="107"/>
      <c r="B790" s="108"/>
      <c r="C790" s="109"/>
      <c r="D790" s="109" t="s">
        <v>3</v>
      </c>
      <c r="E790" s="109" t="s">
        <v>3</v>
      </c>
      <c r="F790" s="109" t="s">
        <v>3</v>
      </c>
      <c r="G790" s="110" t="s">
        <v>3</v>
      </c>
    </row>
    <row r="791" ht="22.5" customHeight="1">
      <c r="A791" s="107"/>
      <c r="B791" s="108"/>
      <c r="C791" s="109"/>
      <c r="D791" s="109" t="s">
        <v>3</v>
      </c>
      <c r="E791" s="109" t="s">
        <v>3</v>
      </c>
      <c r="F791" s="109" t="s">
        <v>3</v>
      </c>
      <c r="G791" s="110" t="s">
        <v>3</v>
      </c>
    </row>
    <row r="792" ht="22.5" customHeight="1">
      <c r="A792" s="107"/>
      <c r="B792" s="108"/>
      <c r="C792" s="109"/>
      <c r="D792" s="109" t="s">
        <v>3</v>
      </c>
      <c r="E792" s="109" t="s">
        <v>3</v>
      </c>
      <c r="F792" s="109" t="s">
        <v>3</v>
      </c>
      <c r="G792" s="110" t="s">
        <v>3</v>
      </c>
    </row>
    <row r="793" ht="22.5" customHeight="1">
      <c r="A793" s="107"/>
      <c r="B793" s="108"/>
      <c r="C793" s="109"/>
      <c r="D793" s="109" t="s">
        <v>3</v>
      </c>
      <c r="E793" s="109" t="s">
        <v>3</v>
      </c>
      <c r="F793" s="109" t="s">
        <v>3</v>
      </c>
      <c r="G793" s="110" t="s">
        <v>3</v>
      </c>
    </row>
    <row r="794" ht="22.5" customHeight="1">
      <c r="A794" s="107"/>
      <c r="B794" s="108"/>
      <c r="C794" s="109"/>
      <c r="D794" s="109" t="s">
        <v>3</v>
      </c>
      <c r="E794" s="109" t="s">
        <v>3</v>
      </c>
      <c r="F794" s="109" t="s">
        <v>3</v>
      </c>
      <c r="G794" s="110" t="s">
        <v>3</v>
      </c>
    </row>
    <row r="795" ht="22.5" customHeight="1">
      <c r="A795" s="107"/>
      <c r="B795" s="108"/>
      <c r="C795" s="109"/>
      <c r="D795" s="109" t="s">
        <v>3</v>
      </c>
      <c r="E795" s="109" t="s">
        <v>3</v>
      </c>
      <c r="F795" s="109" t="s">
        <v>3</v>
      </c>
      <c r="G795" s="110" t="s">
        <v>3</v>
      </c>
    </row>
    <row r="796" ht="22.5" customHeight="1">
      <c r="A796" s="107"/>
      <c r="B796" s="108"/>
      <c r="C796" s="109"/>
      <c r="D796" s="109" t="s">
        <v>3</v>
      </c>
      <c r="E796" s="109" t="s">
        <v>3</v>
      </c>
      <c r="F796" s="109" t="s">
        <v>3</v>
      </c>
      <c r="G796" s="110" t="s">
        <v>3</v>
      </c>
    </row>
    <row r="797" ht="22.5" customHeight="1">
      <c r="A797" s="107"/>
      <c r="B797" s="108"/>
      <c r="C797" s="109"/>
      <c r="D797" s="109" t="s">
        <v>3</v>
      </c>
      <c r="E797" s="109" t="s">
        <v>3</v>
      </c>
      <c r="F797" s="109" t="s">
        <v>3</v>
      </c>
      <c r="G797" s="110" t="s">
        <v>3</v>
      </c>
    </row>
    <row r="798" ht="22.5" customHeight="1">
      <c r="A798" s="107"/>
      <c r="B798" s="108"/>
      <c r="C798" s="109"/>
      <c r="D798" s="109" t="s">
        <v>3</v>
      </c>
      <c r="E798" s="109" t="s">
        <v>3</v>
      </c>
      <c r="F798" s="109" t="s">
        <v>3</v>
      </c>
      <c r="G798" s="110" t="s">
        <v>3</v>
      </c>
    </row>
    <row r="799" ht="22.5" customHeight="1">
      <c r="A799" s="107"/>
      <c r="B799" s="108"/>
      <c r="C799" s="109"/>
      <c r="D799" s="109" t="s">
        <v>3</v>
      </c>
      <c r="E799" s="109" t="s">
        <v>3</v>
      </c>
      <c r="F799" s="109" t="s">
        <v>3</v>
      </c>
      <c r="G799" s="110" t="s">
        <v>3</v>
      </c>
    </row>
    <row r="800" ht="22.5" customHeight="1">
      <c r="A800" s="107"/>
      <c r="B800" s="108"/>
      <c r="C800" s="109"/>
      <c r="D800" s="109" t="s">
        <v>3</v>
      </c>
      <c r="E800" s="109" t="s">
        <v>3</v>
      </c>
      <c r="F800" s="109" t="s">
        <v>3</v>
      </c>
      <c r="G800" s="110" t="s">
        <v>3</v>
      </c>
    </row>
    <row r="801" ht="22.5" customHeight="1">
      <c r="A801" s="107"/>
      <c r="B801" s="108"/>
      <c r="C801" s="109"/>
      <c r="D801" s="109" t="s">
        <v>3</v>
      </c>
      <c r="E801" s="109" t="s">
        <v>3</v>
      </c>
      <c r="F801" s="109" t="s">
        <v>3</v>
      </c>
      <c r="G801" s="110" t="s">
        <v>3</v>
      </c>
    </row>
    <row r="802" ht="22.5" customHeight="1">
      <c r="A802" s="107"/>
      <c r="B802" s="108"/>
      <c r="C802" s="109"/>
      <c r="D802" s="109" t="s">
        <v>3</v>
      </c>
      <c r="E802" s="109" t="s">
        <v>3</v>
      </c>
      <c r="F802" s="109" t="s">
        <v>3</v>
      </c>
      <c r="G802" s="110" t="s">
        <v>3</v>
      </c>
    </row>
    <row r="803" ht="22.5" customHeight="1">
      <c r="A803" s="107"/>
      <c r="B803" s="108"/>
      <c r="C803" s="109"/>
      <c r="D803" s="109" t="s">
        <v>3</v>
      </c>
      <c r="E803" s="109" t="s">
        <v>3</v>
      </c>
      <c r="F803" s="109" t="s">
        <v>3</v>
      </c>
      <c r="G803" s="110" t="s">
        <v>3</v>
      </c>
    </row>
    <row r="804" ht="22.5" customHeight="1">
      <c r="A804" s="107"/>
      <c r="B804" s="108"/>
      <c r="C804" s="109"/>
      <c r="D804" s="109" t="s">
        <v>3</v>
      </c>
      <c r="E804" s="109" t="s">
        <v>3</v>
      </c>
      <c r="F804" s="109" t="s">
        <v>3</v>
      </c>
      <c r="G804" s="110" t="s">
        <v>3</v>
      </c>
    </row>
    <row r="805" ht="22.5" customHeight="1">
      <c r="A805" s="107"/>
      <c r="B805" s="108"/>
      <c r="C805" s="109"/>
      <c r="D805" s="109" t="s">
        <v>3</v>
      </c>
      <c r="E805" s="109" t="s">
        <v>3</v>
      </c>
      <c r="F805" s="109" t="s">
        <v>3</v>
      </c>
      <c r="G805" s="110" t="s">
        <v>3</v>
      </c>
    </row>
    <row r="806" ht="22.5" customHeight="1">
      <c r="A806" s="107"/>
      <c r="B806" s="108"/>
      <c r="C806" s="109"/>
      <c r="D806" s="109" t="s">
        <v>3</v>
      </c>
      <c r="E806" s="109" t="s">
        <v>3</v>
      </c>
      <c r="F806" s="109" t="s">
        <v>3</v>
      </c>
      <c r="G806" s="110" t="s">
        <v>3</v>
      </c>
    </row>
    <row r="807" ht="22.5" customHeight="1">
      <c r="A807" s="107"/>
      <c r="B807" s="108"/>
      <c r="C807" s="109"/>
      <c r="D807" s="109" t="s">
        <v>3</v>
      </c>
      <c r="E807" s="109" t="s">
        <v>3</v>
      </c>
      <c r="F807" s="109" t="s">
        <v>3</v>
      </c>
      <c r="G807" s="110" t="s">
        <v>3</v>
      </c>
    </row>
    <row r="808" ht="22.5" customHeight="1">
      <c r="A808" s="107"/>
      <c r="B808" s="108"/>
      <c r="C808" s="109"/>
      <c r="D808" s="109" t="s">
        <v>3</v>
      </c>
      <c r="E808" s="109" t="s">
        <v>3</v>
      </c>
      <c r="F808" s="109" t="s">
        <v>3</v>
      </c>
      <c r="G808" s="110" t="s">
        <v>3</v>
      </c>
    </row>
    <row r="809" ht="22.5" customHeight="1">
      <c r="A809" s="107"/>
      <c r="B809" s="108"/>
      <c r="C809" s="109"/>
      <c r="D809" s="109" t="s">
        <v>3</v>
      </c>
      <c r="E809" s="109" t="s">
        <v>3</v>
      </c>
      <c r="F809" s="109" t="s">
        <v>3</v>
      </c>
      <c r="G809" s="110" t="s">
        <v>3</v>
      </c>
    </row>
    <row r="810" ht="22.5" customHeight="1">
      <c r="A810" s="107"/>
      <c r="B810" s="108"/>
      <c r="C810" s="109"/>
      <c r="D810" s="109" t="s">
        <v>3</v>
      </c>
      <c r="E810" s="109" t="s">
        <v>3</v>
      </c>
      <c r="F810" s="109" t="s">
        <v>3</v>
      </c>
      <c r="G810" s="110" t="s">
        <v>3</v>
      </c>
    </row>
    <row r="811" ht="22.5" customHeight="1">
      <c r="A811" s="107"/>
      <c r="B811" s="108"/>
      <c r="C811" s="109"/>
      <c r="D811" s="109" t="s">
        <v>3</v>
      </c>
      <c r="E811" s="109" t="s">
        <v>3</v>
      </c>
      <c r="F811" s="109" t="s">
        <v>3</v>
      </c>
      <c r="G811" s="110" t="s">
        <v>3</v>
      </c>
    </row>
    <row r="812" ht="22.5" customHeight="1">
      <c r="A812" s="107"/>
      <c r="B812" s="108"/>
      <c r="C812" s="109"/>
      <c r="D812" s="109" t="s">
        <v>3</v>
      </c>
      <c r="E812" s="109" t="s">
        <v>3</v>
      </c>
      <c r="F812" s="109" t="s">
        <v>3</v>
      </c>
      <c r="G812" s="110" t="s">
        <v>3</v>
      </c>
    </row>
    <row r="813" ht="22.5" customHeight="1">
      <c r="A813" s="107"/>
      <c r="B813" s="108"/>
      <c r="C813" s="109"/>
      <c r="D813" s="109" t="s">
        <v>3</v>
      </c>
      <c r="E813" s="109" t="s">
        <v>3</v>
      </c>
      <c r="F813" s="109" t="s">
        <v>3</v>
      </c>
      <c r="G813" s="110" t="s">
        <v>3</v>
      </c>
    </row>
    <row r="814" ht="22.5" customHeight="1">
      <c r="A814" s="107"/>
      <c r="B814" s="108"/>
      <c r="C814" s="109"/>
      <c r="D814" s="109" t="s">
        <v>3</v>
      </c>
      <c r="E814" s="109" t="s">
        <v>3</v>
      </c>
      <c r="F814" s="109" t="s">
        <v>3</v>
      </c>
      <c r="G814" s="110" t="s">
        <v>3</v>
      </c>
    </row>
    <row r="815" ht="22.5" customHeight="1">
      <c r="A815" s="107"/>
      <c r="B815" s="108"/>
      <c r="C815" s="109"/>
      <c r="D815" s="109" t="s">
        <v>3</v>
      </c>
      <c r="E815" s="109" t="s">
        <v>3</v>
      </c>
      <c r="F815" s="109" t="s">
        <v>3</v>
      </c>
      <c r="G815" s="110" t="s">
        <v>3</v>
      </c>
    </row>
    <row r="816" ht="22.5" customHeight="1">
      <c r="A816" s="107"/>
      <c r="B816" s="108"/>
      <c r="C816" s="109"/>
      <c r="D816" s="109" t="s">
        <v>3</v>
      </c>
      <c r="E816" s="109" t="s">
        <v>3</v>
      </c>
      <c r="F816" s="109" t="s">
        <v>3</v>
      </c>
      <c r="G816" s="110" t="s">
        <v>3</v>
      </c>
    </row>
    <row r="817" ht="22.5" customHeight="1">
      <c r="A817" s="107"/>
      <c r="B817" s="108"/>
      <c r="C817" s="109"/>
      <c r="D817" s="109" t="s">
        <v>3</v>
      </c>
      <c r="E817" s="109" t="s">
        <v>3</v>
      </c>
      <c r="F817" s="109" t="s">
        <v>3</v>
      </c>
      <c r="G817" s="110" t="s">
        <v>3</v>
      </c>
    </row>
    <row r="818" ht="22.5" customHeight="1">
      <c r="A818" s="107"/>
      <c r="B818" s="108"/>
      <c r="C818" s="109"/>
      <c r="D818" s="109" t="s">
        <v>3</v>
      </c>
      <c r="E818" s="109" t="s">
        <v>3</v>
      </c>
      <c r="F818" s="109" t="s">
        <v>3</v>
      </c>
      <c r="G818" s="110" t="s">
        <v>3</v>
      </c>
    </row>
    <row r="819" ht="22.5" customHeight="1">
      <c r="A819" s="107"/>
      <c r="B819" s="108"/>
      <c r="C819" s="109"/>
      <c r="D819" s="109" t="s">
        <v>3</v>
      </c>
      <c r="E819" s="109" t="s">
        <v>3</v>
      </c>
      <c r="F819" s="109" t="s">
        <v>3</v>
      </c>
      <c r="G819" s="110" t="s">
        <v>3</v>
      </c>
    </row>
    <row r="820" ht="22.5" customHeight="1">
      <c r="A820" s="107"/>
      <c r="B820" s="108"/>
      <c r="C820" s="109"/>
      <c r="D820" s="109" t="s">
        <v>3</v>
      </c>
      <c r="E820" s="109" t="s">
        <v>3</v>
      </c>
      <c r="F820" s="109" t="s">
        <v>3</v>
      </c>
      <c r="G820" s="110" t="s">
        <v>3</v>
      </c>
    </row>
    <row r="821" ht="22.5" customHeight="1">
      <c r="A821" s="107"/>
      <c r="B821" s="108"/>
      <c r="C821" s="109"/>
      <c r="D821" s="109" t="s">
        <v>3</v>
      </c>
      <c r="E821" s="109" t="s">
        <v>3</v>
      </c>
      <c r="F821" s="109" t="s">
        <v>3</v>
      </c>
      <c r="G821" s="110" t="s">
        <v>3</v>
      </c>
    </row>
    <row r="822" ht="22.5" customHeight="1">
      <c r="A822" s="107"/>
      <c r="B822" s="108"/>
      <c r="C822" s="109"/>
      <c r="D822" s="109" t="s">
        <v>3</v>
      </c>
      <c r="E822" s="109" t="s">
        <v>3</v>
      </c>
      <c r="F822" s="109" t="s">
        <v>3</v>
      </c>
      <c r="G822" s="110" t="s">
        <v>3</v>
      </c>
    </row>
    <row r="823" ht="22.5" customHeight="1">
      <c r="A823" s="107"/>
      <c r="B823" s="108"/>
      <c r="C823" s="109"/>
      <c r="D823" s="109" t="s">
        <v>3</v>
      </c>
      <c r="E823" s="109" t="s">
        <v>3</v>
      </c>
      <c r="F823" s="109" t="s">
        <v>3</v>
      </c>
      <c r="G823" s="110" t="s">
        <v>3</v>
      </c>
    </row>
    <row r="824" ht="22.5" customHeight="1">
      <c r="A824" s="107"/>
      <c r="B824" s="108"/>
      <c r="C824" s="109"/>
      <c r="D824" s="109" t="s">
        <v>3</v>
      </c>
      <c r="E824" s="109" t="s">
        <v>3</v>
      </c>
      <c r="F824" s="109" t="s">
        <v>3</v>
      </c>
      <c r="G824" s="110" t="s">
        <v>3</v>
      </c>
    </row>
    <row r="825" ht="22.5" customHeight="1">
      <c r="A825" s="107"/>
      <c r="B825" s="108"/>
      <c r="C825" s="109"/>
      <c r="D825" s="109" t="s">
        <v>3</v>
      </c>
      <c r="E825" s="109" t="s">
        <v>3</v>
      </c>
      <c r="F825" s="109" t="s">
        <v>3</v>
      </c>
      <c r="G825" s="110" t="s">
        <v>3</v>
      </c>
    </row>
    <row r="826" ht="22.5" customHeight="1">
      <c r="A826" s="107"/>
      <c r="B826" s="108"/>
      <c r="C826" s="109"/>
      <c r="D826" s="109" t="s">
        <v>3</v>
      </c>
      <c r="E826" s="109" t="s">
        <v>3</v>
      </c>
      <c r="F826" s="109" t="s">
        <v>3</v>
      </c>
      <c r="G826" s="110" t="s">
        <v>3</v>
      </c>
    </row>
    <row r="827" ht="22.5" customHeight="1">
      <c r="A827" s="107"/>
      <c r="B827" s="108"/>
      <c r="C827" s="109"/>
      <c r="D827" s="109" t="s">
        <v>3</v>
      </c>
      <c r="E827" s="109" t="s">
        <v>3</v>
      </c>
      <c r="F827" s="109" t="s">
        <v>3</v>
      </c>
      <c r="G827" s="110" t="s">
        <v>3</v>
      </c>
    </row>
    <row r="828" ht="22.5" customHeight="1">
      <c r="A828" s="107"/>
      <c r="B828" s="108"/>
      <c r="C828" s="109"/>
      <c r="D828" s="109" t="s">
        <v>3</v>
      </c>
      <c r="E828" s="109" t="s">
        <v>3</v>
      </c>
      <c r="F828" s="109" t="s">
        <v>3</v>
      </c>
      <c r="G828" s="110" t="s">
        <v>3</v>
      </c>
    </row>
    <row r="829" ht="22.5" customHeight="1">
      <c r="A829" s="107"/>
      <c r="B829" s="108"/>
      <c r="C829" s="109"/>
      <c r="D829" s="109" t="s">
        <v>3</v>
      </c>
      <c r="E829" s="109" t="s">
        <v>3</v>
      </c>
      <c r="F829" s="109" t="s">
        <v>3</v>
      </c>
      <c r="G829" s="110" t="s">
        <v>3</v>
      </c>
    </row>
    <row r="830" ht="22.5" customHeight="1">
      <c r="A830" s="107"/>
      <c r="B830" s="108"/>
      <c r="C830" s="109"/>
      <c r="D830" s="109" t="s">
        <v>3</v>
      </c>
      <c r="E830" s="109" t="s">
        <v>3</v>
      </c>
      <c r="F830" s="109" t="s">
        <v>3</v>
      </c>
      <c r="G830" s="110" t="s">
        <v>3</v>
      </c>
    </row>
    <row r="831" ht="22.5" customHeight="1">
      <c r="A831" s="107"/>
      <c r="B831" s="108"/>
      <c r="C831" s="109"/>
      <c r="D831" s="109" t="s">
        <v>3</v>
      </c>
      <c r="E831" s="109" t="s">
        <v>3</v>
      </c>
      <c r="F831" s="109" t="s">
        <v>3</v>
      </c>
      <c r="G831" s="110" t="s">
        <v>3</v>
      </c>
    </row>
    <row r="832" ht="22.5" customHeight="1">
      <c r="A832" s="107"/>
      <c r="B832" s="108"/>
      <c r="C832" s="109"/>
      <c r="D832" s="109" t="s">
        <v>3</v>
      </c>
      <c r="E832" s="109" t="s">
        <v>3</v>
      </c>
      <c r="F832" s="109" t="s">
        <v>3</v>
      </c>
      <c r="G832" s="110" t="s">
        <v>3</v>
      </c>
    </row>
    <row r="833" ht="22.5" customHeight="1">
      <c r="A833" s="107"/>
      <c r="B833" s="108"/>
      <c r="C833" s="109"/>
      <c r="D833" s="109" t="s">
        <v>3</v>
      </c>
      <c r="E833" s="109" t="s">
        <v>3</v>
      </c>
      <c r="F833" s="109" t="s">
        <v>3</v>
      </c>
      <c r="G833" s="110" t="s">
        <v>3</v>
      </c>
    </row>
    <row r="834" ht="22.5" customHeight="1">
      <c r="A834" s="107"/>
      <c r="B834" s="108"/>
      <c r="C834" s="109"/>
      <c r="D834" s="109" t="s">
        <v>3</v>
      </c>
      <c r="E834" s="109" t="s">
        <v>3</v>
      </c>
      <c r="F834" s="109" t="s">
        <v>3</v>
      </c>
      <c r="G834" s="110" t="s">
        <v>3</v>
      </c>
    </row>
    <row r="835" ht="22.5" customHeight="1">
      <c r="A835" s="107"/>
      <c r="B835" s="108"/>
      <c r="C835" s="109"/>
      <c r="D835" s="109" t="s">
        <v>3</v>
      </c>
      <c r="E835" s="109" t="s">
        <v>3</v>
      </c>
      <c r="F835" s="109" t="s">
        <v>3</v>
      </c>
      <c r="G835" s="110" t="s">
        <v>3</v>
      </c>
    </row>
    <row r="836" ht="22.5" customHeight="1">
      <c r="A836" s="107"/>
      <c r="B836" s="108"/>
      <c r="C836" s="109"/>
      <c r="D836" s="109" t="s">
        <v>3</v>
      </c>
      <c r="E836" s="109" t="s">
        <v>3</v>
      </c>
      <c r="F836" s="109" t="s">
        <v>3</v>
      </c>
      <c r="G836" s="110" t="s">
        <v>3</v>
      </c>
    </row>
    <row r="837" ht="22.5" customHeight="1">
      <c r="A837" s="107"/>
      <c r="B837" s="108"/>
      <c r="C837" s="109"/>
      <c r="D837" s="109" t="s">
        <v>3</v>
      </c>
      <c r="E837" s="109" t="s">
        <v>3</v>
      </c>
      <c r="F837" s="109" t="s">
        <v>3</v>
      </c>
      <c r="G837" s="110" t="s">
        <v>3</v>
      </c>
    </row>
    <row r="838" ht="22.5" customHeight="1">
      <c r="A838" s="107"/>
      <c r="B838" s="108"/>
      <c r="C838" s="109"/>
      <c r="D838" s="109" t="s">
        <v>3</v>
      </c>
      <c r="E838" s="109" t="s">
        <v>3</v>
      </c>
      <c r="F838" s="109" t="s">
        <v>3</v>
      </c>
      <c r="G838" s="110" t="s">
        <v>3</v>
      </c>
    </row>
    <row r="839" ht="22.5" customHeight="1">
      <c r="A839" s="107"/>
      <c r="B839" s="108"/>
      <c r="C839" s="109"/>
      <c r="D839" s="109" t="s">
        <v>3</v>
      </c>
      <c r="E839" s="109" t="s">
        <v>3</v>
      </c>
      <c r="F839" s="109" t="s">
        <v>3</v>
      </c>
      <c r="G839" s="110" t="s">
        <v>3</v>
      </c>
    </row>
    <row r="840" ht="22.5" customHeight="1">
      <c r="A840" s="107"/>
      <c r="B840" s="108"/>
      <c r="C840" s="109"/>
      <c r="D840" s="109" t="s">
        <v>3</v>
      </c>
      <c r="E840" s="109" t="s">
        <v>3</v>
      </c>
      <c r="F840" s="109" t="s">
        <v>3</v>
      </c>
      <c r="G840" s="110" t="s">
        <v>3</v>
      </c>
    </row>
    <row r="841" ht="22.5" customHeight="1">
      <c r="A841" s="107"/>
      <c r="B841" s="108"/>
      <c r="C841" s="109"/>
      <c r="D841" s="109" t="s">
        <v>3</v>
      </c>
      <c r="E841" s="109" t="s">
        <v>3</v>
      </c>
      <c r="F841" s="109" t="s">
        <v>3</v>
      </c>
      <c r="G841" s="110" t="s">
        <v>3</v>
      </c>
    </row>
    <row r="842" ht="22.5" customHeight="1">
      <c r="A842" s="107"/>
      <c r="B842" s="108"/>
      <c r="C842" s="109"/>
      <c r="D842" s="109" t="s">
        <v>3</v>
      </c>
      <c r="E842" s="109" t="s">
        <v>3</v>
      </c>
      <c r="F842" s="109" t="s">
        <v>3</v>
      </c>
      <c r="G842" s="110" t="s">
        <v>3</v>
      </c>
    </row>
    <row r="843" ht="22.5" customHeight="1">
      <c r="A843" s="107"/>
      <c r="B843" s="108"/>
      <c r="C843" s="109"/>
      <c r="D843" s="109" t="s">
        <v>3</v>
      </c>
      <c r="E843" s="109" t="s">
        <v>3</v>
      </c>
      <c r="F843" s="109" t="s">
        <v>3</v>
      </c>
      <c r="G843" s="110" t="s">
        <v>3</v>
      </c>
    </row>
    <row r="844" ht="22.5" customHeight="1">
      <c r="A844" s="107"/>
      <c r="B844" s="108"/>
      <c r="C844" s="109"/>
      <c r="D844" s="109" t="s">
        <v>3</v>
      </c>
      <c r="E844" s="109" t="s">
        <v>3</v>
      </c>
      <c r="F844" s="109" t="s">
        <v>3</v>
      </c>
      <c r="G844" s="110" t="s">
        <v>3</v>
      </c>
    </row>
    <row r="845" ht="22.5" customHeight="1">
      <c r="A845" s="107"/>
      <c r="B845" s="108"/>
      <c r="C845" s="109"/>
      <c r="D845" s="109" t="s">
        <v>3</v>
      </c>
      <c r="E845" s="109" t="s">
        <v>3</v>
      </c>
      <c r="F845" s="109" t="s">
        <v>3</v>
      </c>
      <c r="G845" s="110" t="s">
        <v>3</v>
      </c>
    </row>
    <row r="846" ht="22.5" customHeight="1">
      <c r="A846" s="107"/>
      <c r="B846" s="108"/>
      <c r="C846" s="109"/>
      <c r="D846" s="109" t="s">
        <v>3</v>
      </c>
      <c r="E846" s="109" t="s">
        <v>3</v>
      </c>
      <c r="F846" s="109" t="s">
        <v>3</v>
      </c>
      <c r="G846" s="110" t="s">
        <v>3</v>
      </c>
    </row>
    <row r="847" ht="22.5" customHeight="1">
      <c r="A847" s="107"/>
      <c r="B847" s="108"/>
      <c r="C847" s="109"/>
      <c r="D847" s="109" t="s">
        <v>3</v>
      </c>
      <c r="E847" s="109" t="s">
        <v>3</v>
      </c>
      <c r="F847" s="109" t="s">
        <v>3</v>
      </c>
      <c r="G847" s="110" t="s">
        <v>3</v>
      </c>
    </row>
    <row r="848" ht="22.5" customHeight="1">
      <c r="A848" s="107"/>
      <c r="B848" s="108"/>
      <c r="C848" s="109"/>
      <c r="D848" s="109" t="s">
        <v>3</v>
      </c>
      <c r="E848" s="109" t="s">
        <v>3</v>
      </c>
      <c r="F848" s="109" t="s">
        <v>3</v>
      </c>
      <c r="G848" s="110" t="s">
        <v>3</v>
      </c>
    </row>
    <row r="849" ht="22.5" customHeight="1">
      <c r="A849" s="107"/>
      <c r="B849" s="108"/>
      <c r="C849" s="109"/>
      <c r="D849" s="109" t="s">
        <v>3</v>
      </c>
      <c r="E849" s="109" t="s">
        <v>3</v>
      </c>
      <c r="F849" s="109" t="s">
        <v>3</v>
      </c>
      <c r="G849" s="110" t="s">
        <v>3</v>
      </c>
    </row>
    <row r="850" ht="22.5" customHeight="1">
      <c r="A850" s="107"/>
      <c r="B850" s="108"/>
      <c r="C850" s="109"/>
      <c r="D850" s="109" t="s">
        <v>3</v>
      </c>
      <c r="E850" s="109" t="s">
        <v>3</v>
      </c>
      <c r="F850" s="109" t="s">
        <v>3</v>
      </c>
      <c r="G850" s="110" t="s">
        <v>3</v>
      </c>
    </row>
    <row r="851" ht="22.5" customHeight="1">
      <c r="A851" s="107"/>
      <c r="B851" s="108"/>
      <c r="C851" s="109"/>
      <c r="D851" s="109" t="s">
        <v>3</v>
      </c>
      <c r="E851" s="109" t="s">
        <v>3</v>
      </c>
      <c r="F851" s="109" t="s">
        <v>3</v>
      </c>
      <c r="G851" s="110" t="s">
        <v>3</v>
      </c>
    </row>
    <row r="852" ht="22.5" customHeight="1">
      <c r="A852" s="107"/>
      <c r="B852" s="108"/>
      <c r="C852" s="109"/>
      <c r="D852" s="109" t="s">
        <v>3</v>
      </c>
      <c r="E852" s="109" t="s">
        <v>3</v>
      </c>
      <c r="F852" s="109" t="s">
        <v>3</v>
      </c>
      <c r="G852" s="110" t="s">
        <v>3</v>
      </c>
    </row>
    <row r="853" ht="22.5" customHeight="1">
      <c r="A853" s="107"/>
      <c r="B853" s="108"/>
      <c r="C853" s="109"/>
      <c r="D853" s="109" t="s">
        <v>3</v>
      </c>
      <c r="E853" s="109" t="s">
        <v>3</v>
      </c>
      <c r="F853" s="109" t="s">
        <v>3</v>
      </c>
      <c r="G853" s="110" t="s">
        <v>3</v>
      </c>
    </row>
    <row r="854" ht="22.5" customHeight="1">
      <c r="A854" s="107"/>
      <c r="B854" s="108"/>
      <c r="C854" s="109"/>
      <c r="D854" s="109" t="s">
        <v>3</v>
      </c>
      <c r="E854" s="109" t="s">
        <v>3</v>
      </c>
      <c r="F854" s="109" t="s">
        <v>3</v>
      </c>
      <c r="G854" s="110" t="s">
        <v>3</v>
      </c>
    </row>
    <row r="855" ht="22.5" customHeight="1">
      <c r="A855" s="107"/>
      <c r="B855" s="108"/>
      <c r="C855" s="109"/>
      <c r="D855" s="109" t="s">
        <v>3</v>
      </c>
      <c r="E855" s="109" t="s">
        <v>3</v>
      </c>
      <c r="F855" s="109" t="s">
        <v>3</v>
      </c>
      <c r="G855" s="110" t="s">
        <v>3</v>
      </c>
    </row>
    <row r="856" ht="22.5" customHeight="1">
      <c r="A856" s="107"/>
      <c r="B856" s="108"/>
      <c r="C856" s="109"/>
      <c r="D856" s="109" t="s">
        <v>3</v>
      </c>
      <c r="E856" s="109" t="s">
        <v>3</v>
      </c>
      <c r="F856" s="109" t="s">
        <v>3</v>
      </c>
      <c r="G856" s="110" t="s">
        <v>3</v>
      </c>
    </row>
    <row r="857" ht="22.5" customHeight="1">
      <c r="A857" s="107"/>
      <c r="B857" s="108"/>
      <c r="C857" s="109"/>
      <c r="D857" s="109" t="s">
        <v>3</v>
      </c>
      <c r="E857" s="109" t="s">
        <v>3</v>
      </c>
      <c r="F857" s="109" t="s">
        <v>3</v>
      </c>
      <c r="G857" s="110" t="s">
        <v>3</v>
      </c>
    </row>
    <row r="858" ht="22.5" customHeight="1">
      <c r="A858" s="107"/>
      <c r="B858" s="108"/>
      <c r="C858" s="109"/>
      <c r="D858" s="109" t="s">
        <v>3</v>
      </c>
      <c r="E858" s="109" t="s">
        <v>3</v>
      </c>
      <c r="F858" s="109" t="s">
        <v>3</v>
      </c>
      <c r="G858" s="110" t="s">
        <v>3</v>
      </c>
    </row>
    <row r="859" ht="22.5" customHeight="1">
      <c r="A859" s="107"/>
      <c r="B859" s="108"/>
      <c r="C859" s="109"/>
      <c r="D859" s="109" t="s">
        <v>3</v>
      </c>
      <c r="E859" s="109" t="s">
        <v>3</v>
      </c>
      <c r="F859" s="109" t="s">
        <v>3</v>
      </c>
      <c r="G859" s="110" t="s">
        <v>3</v>
      </c>
    </row>
    <row r="860" ht="22.5" customHeight="1">
      <c r="A860" s="107"/>
      <c r="B860" s="108"/>
      <c r="C860" s="109"/>
      <c r="D860" s="109" t="s">
        <v>3</v>
      </c>
      <c r="E860" s="109" t="s">
        <v>3</v>
      </c>
      <c r="F860" s="109" t="s">
        <v>3</v>
      </c>
      <c r="G860" s="110" t="s">
        <v>3</v>
      </c>
    </row>
    <row r="861" ht="22.5" customHeight="1">
      <c r="A861" s="107"/>
      <c r="B861" s="108"/>
      <c r="C861" s="109"/>
      <c r="D861" s="109" t="s">
        <v>3</v>
      </c>
      <c r="E861" s="109" t="s">
        <v>3</v>
      </c>
      <c r="F861" s="109" t="s">
        <v>3</v>
      </c>
      <c r="G861" s="110" t="s">
        <v>3</v>
      </c>
    </row>
    <row r="862" ht="22.5" customHeight="1">
      <c r="A862" s="107"/>
      <c r="B862" s="108"/>
      <c r="C862" s="109"/>
      <c r="D862" s="109" t="s">
        <v>3</v>
      </c>
      <c r="E862" s="109" t="s">
        <v>3</v>
      </c>
      <c r="F862" s="109" t="s">
        <v>3</v>
      </c>
      <c r="G862" s="110" t="s">
        <v>3</v>
      </c>
    </row>
    <row r="863" ht="22.5" customHeight="1">
      <c r="A863" s="107"/>
      <c r="B863" s="108"/>
      <c r="C863" s="109"/>
      <c r="D863" s="109" t="s">
        <v>3</v>
      </c>
      <c r="E863" s="109" t="s">
        <v>3</v>
      </c>
      <c r="F863" s="109" t="s">
        <v>3</v>
      </c>
      <c r="G863" s="110" t="s">
        <v>3</v>
      </c>
    </row>
    <row r="864" ht="22.5" customHeight="1">
      <c r="A864" s="107"/>
      <c r="B864" s="108"/>
      <c r="C864" s="109"/>
      <c r="D864" s="109" t="s">
        <v>3</v>
      </c>
      <c r="E864" s="109" t="s">
        <v>3</v>
      </c>
      <c r="F864" s="109" t="s">
        <v>3</v>
      </c>
      <c r="G864" s="110" t="s">
        <v>3</v>
      </c>
    </row>
    <row r="865" ht="22.5" customHeight="1">
      <c r="A865" s="107"/>
      <c r="B865" s="108"/>
      <c r="C865" s="109"/>
      <c r="D865" s="109" t="s">
        <v>3</v>
      </c>
      <c r="E865" s="109" t="s">
        <v>3</v>
      </c>
      <c r="F865" s="109" t="s">
        <v>3</v>
      </c>
      <c r="G865" s="110" t="s">
        <v>3</v>
      </c>
    </row>
    <row r="866" ht="22.5" customHeight="1">
      <c r="A866" s="107"/>
      <c r="B866" s="108"/>
      <c r="C866" s="109"/>
      <c r="D866" s="109" t="s">
        <v>3</v>
      </c>
      <c r="E866" s="109" t="s">
        <v>3</v>
      </c>
      <c r="F866" s="109" t="s">
        <v>3</v>
      </c>
      <c r="G866" s="110" t="s">
        <v>3</v>
      </c>
    </row>
    <row r="867" ht="22.5" customHeight="1">
      <c r="A867" s="107"/>
      <c r="B867" s="108"/>
      <c r="C867" s="109"/>
      <c r="D867" s="109" t="s">
        <v>3</v>
      </c>
      <c r="E867" s="109" t="s">
        <v>3</v>
      </c>
      <c r="F867" s="109" t="s">
        <v>3</v>
      </c>
      <c r="G867" s="110" t="s">
        <v>3</v>
      </c>
    </row>
    <row r="868" ht="22.5" customHeight="1">
      <c r="A868" s="107"/>
      <c r="B868" s="108"/>
      <c r="C868" s="109"/>
      <c r="D868" s="109" t="s">
        <v>3</v>
      </c>
      <c r="E868" s="109" t="s">
        <v>3</v>
      </c>
      <c r="F868" s="109" t="s">
        <v>3</v>
      </c>
      <c r="G868" s="110" t="s">
        <v>3</v>
      </c>
    </row>
    <row r="869" ht="22.5" customHeight="1">
      <c r="A869" s="107"/>
      <c r="B869" s="108"/>
      <c r="C869" s="109"/>
      <c r="D869" s="109" t="s">
        <v>3</v>
      </c>
      <c r="E869" s="109" t="s">
        <v>3</v>
      </c>
      <c r="F869" s="109" t="s">
        <v>3</v>
      </c>
      <c r="G869" s="110" t="s">
        <v>3</v>
      </c>
    </row>
    <row r="870" ht="22.5" customHeight="1">
      <c r="A870" s="107"/>
      <c r="B870" s="108"/>
      <c r="C870" s="109"/>
      <c r="D870" s="109" t="s">
        <v>3</v>
      </c>
      <c r="E870" s="109" t="s">
        <v>3</v>
      </c>
      <c r="F870" s="109" t="s">
        <v>3</v>
      </c>
      <c r="G870" s="110" t="s">
        <v>3</v>
      </c>
    </row>
    <row r="871" ht="22.5" customHeight="1">
      <c r="A871" s="107"/>
      <c r="B871" s="108"/>
      <c r="C871" s="109"/>
      <c r="D871" s="109" t="s">
        <v>3</v>
      </c>
      <c r="E871" s="109" t="s">
        <v>3</v>
      </c>
      <c r="F871" s="109" t="s">
        <v>3</v>
      </c>
      <c r="G871" s="110" t="s">
        <v>3</v>
      </c>
    </row>
    <row r="872" ht="22.5" customHeight="1">
      <c r="A872" s="107"/>
      <c r="B872" s="108"/>
      <c r="C872" s="109"/>
      <c r="D872" s="109" t="s">
        <v>3</v>
      </c>
      <c r="E872" s="109" t="s">
        <v>3</v>
      </c>
      <c r="F872" s="109" t="s">
        <v>3</v>
      </c>
      <c r="G872" s="110" t="s">
        <v>3</v>
      </c>
    </row>
    <row r="873" ht="22.5" customHeight="1">
      <c r="A873" s="107"/>
      <c r="B873" s="108"/>
      <c r="C873" s="109"/>
      <c r="D873" s="109" t="s">
        <v>3</v>
      </c>
      <c r="E873" s="109" t="s">
        <v>3</v>
      </c>
      <c r="F873" s="109" t="s">
        <v>3</v>
      </c>
      <c r="G873" s="110" t="s">
        <v>3</v>
      </c>
    </row>
    <row r="874" ht="22.5" customHeight="1">
      <c r="A874" s="107"/>
      <c r="B874" s="108"/>
      <c r="C874" s="109"/>
      <c r="D874" s="109" t="s">
        <v>3</v>
      </c>
      <c r="E874" s="109" t="s">
        <v>3</v>
      </c>
      <c r="F874" s="109" t="s">
        <v>3</v>
      </c>
      <c r="G874" s="110" t="s">
        <v>3</v>
      </c>
    </row>
    <row r="875" ht="22.5" customHeight="1">
      <c r="A875" s="107"/>
      <c r="B875" s="108"/>
      <c r="C875" s="109"/>
      <c r="D875" s="109" t="s">
        <v>3</v>
      </c>
      <c r="E875" s="109" t="s">
        <v>3</v>
      </c>
      <c r="F875" s="109" t="s">
        <v>3</v>
      </c>
      <c r="G875" s="110" t="s">
        <v>3</v>
      </c>
    </row>
    <row r="876" ht="22.5" customHeight="1">
      <c r="A876" s="107"/>
      <c r="B876" s="108"/>
      <c r="C876" s="109"/>
      <c r="D876" s="109" t="s">
        <v>3</v>
      </c>
      <c r="E876" s="109" t="s">
        <v>3</v>
      </c>
      <c r="F876" s="109" t="s">
        <v>3</v>
      </c>
      <c r="G876" s="110" t="s">
        <v>3</v>
      </c>
    </row>
    <row r="877" ht="22.5" customHeight="1">
      <c r="A877" s="107"/>
      <c r="B877" s="108"/>
      <c r="C877" s="109"/>
      <c r="D877" s="109" t="s">
        <v>3</v>
      </c>
      <c r="E877" s="109" t="s">
        <v>3</v>
      </c>
      <c r="F877" s="109" t="s">
        <v>3</v>
      </c>
      <c r="G877" s="110" t="s">
        <v>3</v>
      </c>
    </row>
    <row r="878" ht="22.5" customHeight="1">
      <c r="A878" s="107"/>
      <c r="B878" s="108"/>
      <c r="C878" s="109"/>
      <c r="D878" s="109" t="s">
        <v>3</v>
      </c>
      <c r="E878" s="109" t="s">
        <v>3</v>
      </c>
      <c r="F878" s="109" t="s">
        <v>3</v>
      </c>
      <c r="G878" s="110" t="s">
        <v>3</v>
      </c>
    </row>
    <row r="879" ht="22.5" customHeight="1">
      <c r="A879" s="107"/>
      <c r="B879" s="108"/>
      <c r="C879" s="109"/>
      <c r="D879" s="109" t="s">
        <v>3</v>
      </c>
      <c r="E879" s="109" t="s">
        <v>3</v>
      </c>
      <c r="F879" s="109" t="s">
        <v>3</v>
      </c>
      <c r="G879" s="110" t="s">
        <v>3</v>
      </c>
    </row>
    <row r="880" ht="22.5" customHeight="1">
      <c r="A880" s="107"/>
      <c r="B880" s="108"/>
      <c r="C880" s="109"/>
      <c r="D880" s="109" t="s">
        <v>3</v>
      </c>
      <c r="E880" s="109" t="s">
        <v>3</v>
      </c>
      <c r="F880" s="109" t="s">
        <v>3</v>
      </c>
      <c r="G880" s="110" t="s">
        <v>3</v>
      </c>
    </row>
    <row r="881" ht="22.5" customHeight="1">
      <c r="A881" s="107"/>
      <c r="B881" s="108"/>
      <c r="C881" s="109"/>
      <c r="D881" s="109" t="s">
        <v>3</v>
      </c>
      <c r="E881" s="109" t="s">
        <v>3</v>
      </c>
      <c r="F881" s="109" t="s">
        <v>3</v>
      </c>
      <c r="G881" s="110" t="s">
        <v>3</v>
      </c>
    </row>
    <row r="882" ht="22.5" customHeight="1">
      <c r="A882" s="107"/>
      <c r="B882" s="108"/>
      <c r="C882" s="109"/>
      <c r="D882" s="109" t="s">
        <v>3</v>
      </c>
      <c r="E882" s="109" t="s">
        <v>3</v>
      </c>
      <c r="F882" s="109" t="s">
        <v>3</v>
      </c>
      <c r="G882" s="110" t="s">
        <v>3</v>
      </c>
    </row>
    <row r="883" ht="22.5" customHeight="1">
      <c r="A883" s="107"/>
      <c r="B883" s="108"/>
      <c r="C883" s="109"/>
      <c r="D883" s="109" t="s">
        <v>3</v>
      </c>
      <c r="E883" s="109" t="s">
        <v>3</v>
      </c>
      <c r="F883" s="109" t="s">
        <v>3</v>
      </c>
      <c r="G883" s="110" t="s">
        <v>3</v>
      </c>
    </row>
    <row r="884" ht="22.5" customHeight="1">
      <c r="A884" s="107"/>
      <c r="B884" s="108"/>
      <c r="C884" s="109"/>
      <c r="D884" s="109" t="s">
        <v>3</v>
      </c>
      <c r="E884" s="109" t="s">
        <v>3</v>
      </c>
      <c r="F884" s="109" t="s">
        <v>3</v>
      </c>
      <c r="G884" s="110" t="s">
        <v>3</v>
      </c>
    </row>
    <row r="885" ht="22.5" customHeight="1">
      <c r="A885" s="107"/>
      <c r="B885" s="108"/>
      <c r="C885" s="109"/>
      <c r="D885" s="109" t="s">
        <v>3</v>
      </c>
      <c r="E885" s="109" t="s">
        <v>3</v>
      </c>
      <c r="F885" s="109" t="s">
        <v>3</v>
      </c>
      <c r="G885" s="110" t="s">
        <v>3</v>
      </c>
    </row>
    <row r="886" ht="22.5" customHeight="1">
      <c r="A886" s="107"/>
      <c r="B886" s="108"/>
      <c r="C886" s="109"/>
      <c r="D886" s="109" t="s">
        <v>3</v>
      </c>
      <c r="E886" s="109" t="s">
        <v>3</v>
      </c>
      <c r="F886" s="109" t="s">
        <v>3</v>
      </c>
      <c r="G886" s="110" t="s">
        <v>3</v>
      </c>
    </row>
    <row r="887" ht="22.5" customHeight="1">
      <c r="A887" s="107"/>
      <c r="B887" s="108"/>
      <c r="C887" s="109"/>
      <c r="D887" s="109" t="s">
        <v>3</v>
      </c>
      <c r="E887" s="109" t="s">
        <v>3</v>
      </c>
      <c r="F887" s="109" t="s">
        <v>3</v>
      </c>
      <c r="G887" s="110" t="s">
        <v>3</v>
      </c>
    </row>
    <row r="888" ht="22.5" customHeight="1">
      <c r="A888" s="107"/>
      <c r="B888" s="108"/>
      <c r="C888" s="109"/>
      <c r="D888" s="109" t="s">
        <v>3</v>
      </c>
      <c r="E888" s="109" t="s">
        <v>3</v>
      </c>
      <c r="F888" s="109" t="s">
        <v>3</v>
      </c>
      <c r="G888" s="110" t="s">
        <v>3</v>
      </c>
    </row>
    <row r="889" ht="22.5" customHeight="1">
      <c r="A889" s="107"/>
      <c r="B889" s="108"/>
      <c r="C889" s="109"/>
      <c r="D889" s="109" t="s">
        <v>3</v>
      </c>
      <c r="E889" s="109" t="s">
        <v>3</v>
      </c>
      <c r="F889" s="109" t="s">
        <v>3</v>
      </c>
      <c r="G889" s="110" t="s">
        <v>3</v>
      </c>
    </row>
    <row r="890" ht="22.5" customHeight="1">
      <c r="A890" s="107"/>
      <c r="B890" s="108"/>
      <c r="C890" s="109"/>
      <c r="D890" s="109" t="s">
        <v>3</v>
      </c>
      <c r="E890" s="109" t="s">
        <v>3</v>
      </c>
      <c r="F890" s="109" t="s">
        <v>3</v>
      </c>
      <c r="G890" s="110" t="s">
        <v>3</v>
      </c>
    </row>
    <row r="891" ht="22.5" customHeight="1">
      <c r="A891" s="107"/>
      <c r="B891" s="108"/>
      <c r="C891" s="109"/>
      <c r="D891" s="109" t="s">
        <v>3</v>
      </c>
      <c r="E891" s="109" t="s">
        <v>3</v>
      </c>
      <c r="F891" s="109" t="s">
        <v>3</v>
      </c>
      <c r="G891" s="110" t="s">
        <v>3</v>
      </c>
    </row>
    <row r="892" ht="22.5" customHeight="1">
      <c r="A892" s="107"/>
      <c r="B892" s="108"/>
      <c r="C892" s="109"/>
      <c r="D892" s="109" t="s">
        <v>3</v>
      </c>
      <c r="E892" s="109" t="s">
        <v>3</v>
      </c>
      <c r="F892" s="109" t="s">
        <v>3</v>
      </c>
      <c r="G892" s="110" t="s">
        <v>3</v>
      </c>
    </row>
    <row r="893" ht="22.5" customHeight="1">
      <c r="A893" s="107"/>
      <c r="B893" s="108"/>
      <c r="C893" s="109"/>
      <c r="D893" s="109" t="s">
        <v>3</v>
      </c>
      <c r="E893" s="109" t="s">
        <v>3</v>
      </c>
      <c r="F893" s="109" t="s">
        <v>3</v>
      </c>
      <c r="G893" s="110" t="s">
        <v>3</v>
      </c>
    </row>
    <row r="894" ht="22.5" customHeight="1">
      <c r="A894" s="107"/>
      <c r="B894" s="108"/>
      <c r="C894" s="109"/>
      <c r="D894" s="109" t="s">
        <v>3</v>
      </c>
      <c r="E894" s="109" t="s">
        <v>3</v>
      </c>
      <c r="F894" s="109" t="s">
        <v>3</v>
      </c>
      <c r="G894" s="110" t="s">
        <v>3</v>
      </c>
    </row>
    <row r="895" ht="22.5" customHeight="1">
      <c r="A895" s="107"/>
      <c r="B895" s="108"/>
      <c r="C895" s="109"/>
      <c r="D895" s="109" t="s">
        <v>3</v>
      </c>
      <c r="E895" s="109" t="s">
        <v>3</v>
      </c>
      <c r="F895" s="109" t="s">
        <v>3</v>
      </c>
      <c r="G895" s="110" t="s">
        <v>3</v>
      </c>
    </row>
    <row r="896" ht="22.5" customHeight="1">
      <c r="A896" s="107"/>
      <c r="B896" s="108"/>
      <c r="C896" s="109"/>
      <c r="D896" s="109" t="s">
        <v>3</v>
      </c>
      <c r="E896" s="109" t="s">
        <v>3</v>
      </c>
      <c r="F896" s="109" t="s">
        <v>3</v>
      </c>
      <c r="G896" s="110" t="s">
        <v>3</v>
      </c>
    </row>
    <row r="897" ht="22.5" customHeight="1">
      <c r="A897" s="107"/>
      <c r="B897" s="108"/>
      <c r="C897" s="109"/>
      <c r="D897" s="109" t="s">
        <v>3</v>
      </c>
      <c r="E897" s="109" t="s">
        <v>3</v>
      </c>
      <c r="F897" s="109" t="s">
        <v>3</v>
      </c>
      <c r="G897" s="110" t="s">
        <v>3</v>
      </c>
    </row>
    <row r="898" ht="22.5" customHeight="1">
      <c r="A898" s="107"/>
      <c r="B898" s="108"/>
      <c r="C898" s="109"/>
      <c r="D898" s="109" t="s">
        <v>3</v>
      </c>
      <c r="E898" s="109" t="s">
        <v>3</v>
      </c>
      <c r="F898" s="109" t="s">
        <v>3</v>
      </c>
      <c r="G898" s="110" t="s">
        <v>3</v>
      </c>
    </row>
    <row r="899" ht="22.5" customHeight="1">
      <c r="A899" s="107"/>
      <c r="B899" s="108"/>
      <c r="C899" s="109"/>
      <c r="D899" s="109" t="s">
        <v>3</v>
      </c>
      <c r="E899" s="109" t="s">
        <v>3</v>
      </c>
      <c r="F899" s="109" t="s">
        <v>3</v>
      </c>
      <c r="G899" s="110" t="s">
        <v>3</v>
      </c>
    </row>
    <row r="900" ht="22.5" customHeight="1">
      <c r="A900" s="107"/>
      <c r="B900" s="108"/>
      <c r="C900" s="109"/>
      <c r="D900" s="109" t="s">
        <v>3</v>
      </c>
      <c r="E900" s="109" t="s">
        <v>3</v>
      </c>
      <c r="F900" s="109" t="s">
        <v>3</v>
      </c>
      <c r="G900" s="110" t="s">
        <v>3</v>
      </c>
    </row>
    <row r="901" ht="22.5" customHeight="1">
      <c r="A901" s="107"/>
      <c r="B901" s="108"/>
      <c r="C901" s="109"/>
      <c r="D901" s="109" t="s">
        <v>3</v>
      </c>
      <c r="E901" s="109" t="s">
        <v>3</v>
      </c>
      <c r="F901" s="109" t="s">
        <v>3</v>
      </c>
      <c r="G901" s="110" t="s">
        <v>3</v>
      </c>
    </row>
    <row r="902" ht="22.5" customHeight="1">
      <c r="A902" s="107"/>
      <c r="B902" s="108"/>
      <c r="C902" s="109"/>
      <c r="D902" s="109" t="s">
        <v>3</v>
      </c>
      <c r="E902" s="109" t="s">
        <v>3</v>
      </c>
      <c r="F902" s="109" t="s">
        <v>3</v>
      </c>
      <c r="G902" s="110" t="s">
        <v>3</v>
      </c>
    </row>
    <row r="903" ht="22.5" customHeight="1">
      <c r="A903" s="107"/>
      <c r="B903" s="108"/>
      <c r="C903" s="109"/>
      <c r="D903" s="109" t="s">
        <v>3</v>
      </c>
      <c r="E903" s="109" t="s">
        <v>3</v>
      </c>
      <c r="F903" s="109" t="s">
        <v>3</v>
      </c>
      <c r="G903" s="110" t="s">
        <v>3</v>
      </c>
    </row>
    <row r="904" ht="22.5" customHeight="1">
      <c r="A904" s="107"/>
      <c r="B904" s="108"/>
      <c r="C904" s="109"/>
      <c r="D904" s="109" t="s">
        <v>3</v>
      </c>
      <c r="E904" s="109" t="s">
        <v>3</v>
      </c>
      <c r="F904" s="109" t="s">
        <v>3</v>
      </c>
      <c r="G904" s="110" t="s">
        <v>3</v>
      </c>
    </row>
    <row r="905" ht="22.5" customHeight="1">
      <c r="A905" s="107"/>
      <c r="B905" s="108"/>
      <c r="C905" s="109"/>
      <c r="D905" s="109" t="s">
        <v>3</v>
      </c>
      <c r="E905" s="109" t="s">
        <v>3</v>
      </c>
      <c r="F905" s="109" t="s">
        <v>3</v>
      </c>
      <c r="G905" s="110" t="s">
        <v>3</v>
      </c>
    </row>
    <row r="906" ht="22.5" customHeight="1">
      <c r="A906" s="107"/>
      <c r="B906" s="108"/>
      <c r="C906" s="109"/>
      <c r="D906" s="109" t="s">
        <v>3</v>
      </c>
      <c r="E906" s="109" t="s">
        <v>3</v>
      </c>
      <c r="F906" s="109" t="s">
        <v>3</v>
      </c>
      <c r="G906" s="110" t="s">
        <v>3</v>
      </c>
    </row>
    <row r="907" ht="22.5" customHeight="1">
      <c r="A907" s="107"/>
      <c r="B907" s="108"/>
      <c r="C907" s="109"/>
      <c r="D907" s="109" t="s">
        <v>3</v>
      </c>
      <c r="E907" s="109" t="s">
        <v>3</v>
      </c>
      <c r="F907" s="109" t="s">
        <v>3</v>
      </c>
      <c r="G907" s="110" t="s">
        <v>3</v>
      </c>
    </row>
    <row r="908" ht="22.5" customHeight="1">
      <c r="A908" s="107"/>
      <c r="B908" s="108"/>
      <c r="C908" s="109"/>
      <c r="D908" s="109" t="s">
        <v>3</v>
      </c>
      <c r="E908" s="109" t="s">
        <v>3</v>
      </c>
      <c r="F908" s="109" t="s">
        <v>3</v>
      </c>
      <c r="G908" s="110" t="s">
        <v>3</v>
      </c>
    </row>
    <row r="909" ht="22.5" customHeight="1">
      <c r="A909" s="107"/>
      <c r="B909" s="108"/>
      <c r="C909" s="109"/>
      <c r="D909" s="109" t="s">
        <v>3</v>
      </c>
      <c r="E909" s="109" t="s">
        <v>3</v>
      </c>
      <c r="F909" s="109" t="s">
        <v>3</v>
      </c>
      <c r="G909" s="110" t="s">
        <v>3</v>
      </c>
    </row>
    <row r="910" ht="22.5" customHeight="1">
      <c r="A910" s="107"/>
      <c r="B910" s="108"/>
      <c r="C910" s="109"/>
      <c r="D910" s="109" t="s">
        <v>3</v>
      </c>
      <c r="E910" s="109" t="s">
        <v>3</v>
      </c>
      <c r="F910" s="109" t="s">
        <v>3</v>
      </c>
      <c r="G910" s="110" t="s">
        <v>3</v>
      </c>
    </row>
    <row r="911" ht="22.5" customHeight="1">
      <c r="A911" s="107"/>
      <c r="B911" s="108"/>
      <c r="C911" s="109"/>
      <c r="D911" s="109" t="s">
        <v>3</v>
      </c>
      <c r="E911" s="109" t="s">
        <v>3</v>
      </c>
      <c r="F911" s="109" t="s">
        <v>3</v>
      </c>
      <c r="G911" s="110" t="s">
        <v>3</v>
      </c>
    </row>
    <row r="912" ht="22.5" customHeight="1">
      <c r="A912" s="107"/>
      <c r="B912" s="108"/>
      <c r="C912" s="109"/>
      <c r="D912" s="109" t="s">
        <v>3</v>
      </c>
      <c r="E912" s="109" t="s">
        <v>3</v>
      </c>
      <c r="F912" s="109" t="s">
        <v>3</v>
      </c>
      <c r="G912" s="110" t="s">
        <v>3</v>
      </c>
    </row>
    <row r="913" ht="22.5" customHeight="1">
      <c r="A913" s="107"/>
      <c r="B913" s="108"/>
      <c r="C913" s="109"/>
      <c r="D913" s="109" t="s">
        <v>3</v>
      </c>
      <c r="E913" s="109" t="s">
        <v>3</v>
      </c>
      <c r="F913" s="109" t="s">
        <v>3</v>
      </c>
      <c r="G913" s="110" t="s">
        <v>3</v>
      </c>
    </row>
    <row r="914" ht="22.5" customHeight="1">
      <c r="A914" s="107"/>
      <c r="B914" s="108"/>
      <c r="C914" s="109"/>
      <c r="D914" s="109" t="s">
        <v>3</v>
      </c>
      <c r="E914" s="109" t="s">
        <v>3</v>
      </c>
      <c r="F914" s="109" t="s">
        <v>3</v>
      </c>
      <c r="G914" s="110" t="s">
        <v>3</v>
      </c>
    </row>
    <row r="915" ht="22.5" customHeight="1">
      <c r="A915" s="107"/>
      <c r="B915" s="108"/>
      <c r="C915" s="109"/>
      <c r="D915" s="109" t="s">
        <v>3</v>
      </c>
      <c r="E915" s="109" t="s">
        <v>3</v>
      </c>
      <c r="F915" s="109" t="s">
        <v>3</v>
      </c>
      <c r="G915" s="110" t="s">
        <v>3</v>
      </c>
    </row>
    <row r="916" ht="22.5" customHeight="1">
      <c r="A916" s="107"/>
      <c r="B916" s="108"/>
      <c r="C916" s="109"/>
      <c r="D916" s="109" t="s">
        <v>3</v>
      </c>
      <c r="E916" s="109" t="s">
        <v>3</v>
      </c>
      <c r="F916" s="109" t="s">
        <v>3</v>
      </c>
      <c r="G916" s="110" t="s">
        <v>3</v>
      </c>
    </row>
    <row r="917" ht="22.5" customHeight="1">
      <c r="A917" s="107"/>
      <c r="B917" s="108"/>
      <c r="C917" s="109"/>
      <c r="D917" s="109" t="s">
        <v>3</v>
      </c>
      <c r="E917" s="109" t="s">
        <v>3</v>
      </c>
      <c r="F917" s="109" t="s">
        <v>3</v>
      </c>
      <c r="G917" s="110" t="s">
        <v>3</v>
      </c>
    </row>
    <row r="918" ht="22.5" customHeight="1">
      <c r="A918" s="107"/>
      <c r="B918" s="108"/>
      <c r="C918" s="109"/>
      <c r="D918" s="109" t="s">
        <v>3</v>
      </c>
      <c r="E918" s="109" t="s">
        <v>3</v>
      </c>
      <c r="F918" s="109" t="s">
        <v>3</v>
      </c>
      <c r="G918" s="110" t="s">
        <v>3</v>
      </c>
    </row>
    <row r="919" ht="22.5" customHeight="1">
      <c r="A919" s="107"/>
      <c r="B919" s="108"/>
      <c r="C919" s="109"/>
      <c r="D919" s="109" t="s">
        <v>3</v>
      </c>
      <c r="E919" s="109" t="s">
        <v>3</v>
      </c>
      <c r="F919" s="109" t="s">
        <v>3</v>
      </c>
      <c r="G919" s="110" t="s">
        <v>3</v>
      </c>
    </row>
    <row r="920" ht="22.5" customHeight="1">
      <c r="A920" s="107"/>
      <c r="B920" s="108"/>
      <c r="C920" s="109"/>
      <c r="D920" s="109" t="s">
        <v>3</v>
      </c>
      <c r="E920" s="109" t="s">
        <v>3</v>
      </c>
      <c r="F920" s="109" t="s">
        <v>3</v>
      </c>
      <c r="G920" s="110" t="s">
        <v>3</v>
      </c>
    </row>
    <row r="921" ht="22.5" customHeight="1">
      <c r="A921" s="107"/>
      <c r="B921" s="108"/>
      <c r="C921" s="109"/>
      <c r="D921" s="109" t="s">
        <v>3</v>
      </c>
      <c r="E921" s="109" t="s">
        <v>3</v>
      </c>
      <c r="F921" s="109" t="s">
        <v>3</v>
      </c>
      <c r="G921" s="110" t="s">
        <v>3</v>
      </c>
    </row>
    <row r="922" ht="22.5" customHeight="1">
      <c r="A922" s="107"/>
      <c r="B922" s="108"/>
      <c r="C922" s="109"/>
      <c r="D922" s="109" t="s">
        <v>3</v>
      </c>
      <c r="E922" s="109" t="s">
        <v>3</v>
      </c>
      <c r="F922" s="109" t="s">
        <v>3</v>
      </c>
      <c r="G922" s="110" t="s">
        <v>3</v>
      </c>
    </row>
    <row r="923" ht="22.5" customHeight="1">
      <c r="A923" s="107"/>
      <c r="B923" s="108"/>
      <c r="C923" s="109"/>
      <c r="D923" s="109" t="s">
        <v>3</v>
      </c>
      <c r="E923" s="109" t="s">
        <v>3</v>
      </c>
      <c r="F923" s="109" t="s">
        <v>3</v>
      </c>
      <c r="G923" s="110" t="s">
        <v>3</v>
      </c>
    </row>
    <row r="924" ht="22.5" customHeight="1">
      <c r="A924" s="107"/>
      <c r="B924" s="108"/>
      <c r="C924" s="109"/>
      <c r="D924" s="109" t="s">
        <v>3</v>
      </c>
      <c r="E924" s="109" t="s">
        <v>3</v>
      </c>
      <c r="F924" s="109" t="s">
        <v>3</v>
      </c>
      <c r="G924" s="110" t="s">
        <v>3</v>
      </c>
    </row>
    <row r="925" ht="22.5" customHeight="1">
      <c r="A925" s="107"/>
      <c r="B925" s="108"/>
      <c r="C925" s="109"/>
      <c r="D925" s="109" t="s">
        <v>3</v>
      </c>
      <c r="E925" s="109" t="s">
        <v>3</v>
      </c>
      <c r="F925" s="109" t="s">
        <v>3</v>
      </c>
      <c r="G925" s="110" t="s">
        <v>3</v>
      </c>
    </row>
    <row r="926" ht="22.5" customHeight="1">
      <c r="A926" s="107"/>
      <c r="B926" s="108"/>
      <c r="C926" s="109"/>
      <c r="D926" s="109" t="s">
        <v>3</v>
      </c>
      <c r="E926" s="109" t="s">
        <v>3</v>
      </c>
      <c r="F926" s="109" t="s">
        <v>3</v>
      </c>
      <c r="G926" s="110" t="s">
        <v>3</v>
      </c>
    </row>
    <row r="927" ht="22.5" customHeight="1">
      <c r="A927" s="107"/>
      <c r="B927" s="108"/>
      <c r="C927" s="109"/>
      <c r="D927" s="109" t="s">
        <v>3</v>
      </c>
      <c r="E927" s="109" t="s">
        <v>3</v>
      </c>
      <c r="F927" s="109" t="s">
        <v>3</v>
      </c>
      <c r="G927" s="110" t="s">
        <v>3</v>
      </c>
    </row>
    <row r="928" ht="22.5" customHeight="1">
      <c r="A928" s="107"/>
      <c r="B928" s="108"/>
      <c r="C928" s="109"/>
      <c r="D928" s="109" t="s">
        <v>3</v>
      </c>
      <c r="E928" s="109" t="s">
        <v>3</v>
      </c>
      <c r="F928" s="109" t="s">
        <v>3</v>
      </c>
      <c r="G928" s="110" t="s">
        <v>3</v>
      </c>
    </row>
    <row r="929" ht="22.5" customHeight="1">
      <c r="A929" s="107"/>
      <c r="B929" s="108"/>
      <c r="C929" s="109"/>
      <c r="D929" s="109" t="s">
        <v>3</v>
      </c>
      <c r="E929" s="109" t="s">
        <v>3</v>
      </c>
      <c r="F929" s="109" t="s">
        <v>3</v>
      </c>
      <c r="G929" s="110" t="s">
        <v>3</v>
      </c>
    </row>
    <row r="930" ht="22.5" customHeight="1">
      <c r="A930" s="107"/>
      <c r="B930" s="108"/>
      <c r="C930" s="109"/>
      <c r="D930" s="109" t="s">
        <v>3</v>
      </c>
      <c r="E930" s="109" t="s">
        <v>3</v>
      </c>
      <c r="F930" s="109" t="s">
        <v>3</v>
      </c>
      <c r="G930" s="110" t="s">
        <v>3</v>
      </c>
    </row>
    <row r="931" ht="22.5" customHeight="1">
      <c r="A931" s="107"/>
      <c r="B931" s="108"/>
      <c r="C931" s="109"/>
      <c r="D931" s="109" t="s">
        <v>3</v>
      </c>
      <c r="E931" s="109" t="s">
        <v>3</v>
      </c>
      <c r="F931" s="109" t="s">
        <v>3</v>
      </c>
      <c r="G931" s="110" t="s">
        <v>3</v>
      </c>
    </row>
    <row r="932" ht="22.5" customHeight="1">
      <c r="A932" s="107"/>
      <c r="B932" s="108"/>
      <c r="C932" s="109"/>
      <c r="D932" s="109" t="s">
        <v>3</v>
      </c>
      <c r="E932" s="109" t="s">
        <v>3</v>
      </c>
      <c r="F932" s="109" t="s">
        <v>3</v>
      </c>
      <c r="G932" s="110" t="s">
        <v>3</v>
      </c>
    </row>
    <row r="933" ht="22.5" customHeight="1">
      <c r="A933" s="107"/>
      <c r="B933" s="108"/>
      <c r="C933" s="109"/>
      <c r="D933" s="109" t="s">
        <v>3</v>
      </c>
      <c r="E933" s="109" t="s">
        <v>3</v>
      </c>
      <c r="F933" s="109" t="s">
        <v>3</v>
      </c>
      <c r="G933" s="110" t="s">
        <v>3</v>
      </c>
    </row>
    <row r="934" ht="22.5" customHeight="1">
      <c r="A934" s="107"/>
      <c r="B934" s="108"/>
      <c r="C934" s="109"/>
      <c r="D934" s="109" t="s">
        <v>3</v>
      </c>
      <c r="E934" s="109" t="s">
        <v>3</v>
      </c>
      <c r="F934" s="109" t="s">
        <v>3</v>
      </c>
      <c r="G934" s="110" t="s">
        <v>3</v>
      </c>
    </row>
    <row r="935" ht="22.5" customHeight="1">
      <c r="A935" s="107"/>
      <c r="B935" s="108"/>
      <c r="C935" s="109"/>
      <c r="D935" s="109" t="s">
        <v>3</v>
      </c>
      <c r="E935" s="109" t="s">
        <v>3</v>
      </c>
      <c r="F935" s="109" t="s">
        <v>3</v>
      </c>
      <c r="G935" s="110" t="s">
        <v>3</v>
      </c>
    </row>
    <row r="936" ht="22.5" customHeight="1">
      <c r="A936" s="107"/>
      <c r="B936" s="108"/>
      <c r="C936" s="109"/>
      <c r="D936" s="109" t="s">
        <v>3</v>
      </c>
      <c r="E936" s="109" t="s">
        <v>3</v>
      </c>
      <c r="F936" s="109" t="s">
        <v>3</v>
      </c>
      <c r="G936" s="110" t="s">
        <v>3</v>
      </c>
    </row>
    <row r="937" ht="22.5" customHeight="1">
      <c r="A937" s="107"/>
      <c r="B937" s="108"/>
      <c r="C937" s="109"/>
      <c r="D937" s="109" t="s">
        <v>3</v>
      </c>
      <c r="E937" s="109" t="s">
        <v>3</v>
      </c>
      <c r="F937" s="109" t="s">
        <v>3</v>
      </c>
      <c r="G937" s="110" t="s">
        <v>3</v>
      </c>
    </row>
    <row r="938" ht="22.5" customHeight="1">
      <c r="A938" s="107"/>
      <c r="B938" s="108"/>
      <c r="C938" s="109"/>
      <c r="D938" s="109" t="s">
        <v>3</v>
      </c>
      <c r="E938" s="109" t="s">
        <v>3</v>
      </c>
      <c r="F938" s="109" t="s">
        <v>3</v>
      </c>
      <c r="G938" s="110" t="s">
        <v>3</v>
      </c>
    </row>
    <row r="939" ht="22.5" customHeight="1">
      <c r="A939" s="107"/>
      <c r="B939" s="108"/>
      <c r="C939" s="109"/>
      <c r="D939" s="109" t="s">
        <v>3</v>
      </c>
      <c r="E939" s="109" t="s">
        <v>3</v>
      </c>
      <c r="F939" s="109" t="s">
        <v>3</v>
      </c>
      <c r="G939" s="110" t="s">
        <v>3</v>
      </c>
    </row>
    <row r="940" ht="22.5" customHeight="1">
      <c r="A940" s="107"/>
      <c r="B940" s="108"/>
      <c r="C940" s="109"/>
      <c r="D940" s="109" t="s">
        <v>3</v>
      </c>
      <c r="E940" s="109" t="s">
        <v>3</v>
      </c>
      <c r="F940" s="109" t="s">
        <v>3</v>
      </c>
      <c r="G940" s="110" t="s">
        <v>3</v>
      </c>
    </row>
    <row r="941" ht="22.5" customHeight="1">
      <c r="A941" s="107"/>
      <c r="B941" s="108"/>
      <c r="C941" s="109"/>
      <c r="D941" s="109" t="s">
        <v>3</v>
      </c>
      <c r="E941" s="109" t="s">
        <v>3</v>
      </c>
      <c r="F941" s="109" t="s">
        <v>3</v>
      </c>
      <c r="G941" s="110" t="s">
        <v>3</v>
      </c>
    </row>
    <row r="942" ht="22.5" customHeight="1">
      <c r="A942" s="107"/>
      <c r="B942" s="108"/>
      <c r="C942" s="109"/>
      <c r="D942" s="109" t="s">
        <v>3</v>
      </c>
      <c r="E942" s="109" t="s">
        <v>3</v>
      </c>
      <c r="F942" s="109" t="s">
        <v>3</v>
      </c>
      <c r="G942" s="110" t="s">
        <v>3</v>
      </c>
    </row>
    <row r="943" ht="22.5" customHeight="1">
      <c r="A943" s="107"/>
      <c r="B943" s="108"/>
      <c r="C943" s="109"/>
      <c r="D943" s="109" t="s">
        <v>3</v>
      </c>
      <c r="E943" s="109" t="s">
        <v>3</v>
      </c>
      <c r="F943" s="109" t="s">
        <v>3</v>
      </c>
      <c r="G943" s="110" t="s">
        <v>3</v>
      </c>
    </row>
    <row r="944" ht="22.5" customHeight="1">
      <c r="A944" s="107"/>
      <c r="B944" s="108"/>
      <c r="C944" s="109"/>
      <c r="D944" s="109" t="s">
        <v>3</v>
      </c>
      <c r="E944" s="109" t="s">
        <v>3</v>
      </c>
      <c r="F944" s="109" t="s">
        <v>3</v>
      </c>
      <c r="G944" s="110" t="s">
        <v>3</v>
      </c>
    </row>
    <row r="945" ht="22.5" customHeight="1">
      <c r="A945" s="107"/>
      <c r="B945" s="108"/>
      <c r="C945" s="109"/>
      <c r="D945" s="109" t="s">
        <v>3</v>
      </c>
      <c r="E945" s="109" t="s">
        <v>3</v>
      </c>
      <c r="F945" s="109" t="s">
        <v>3</v>
      </c>
      <c r="G945" s="110" t="s">
        <v>3</v>
      </c>
    </row>
    <row r="946" ht="22.5" customHeight="1">
      <c r="A946" s="107"/>
      <c r="B946" s="108"/>
      <c r="C946" s="109"/>
      <c r="D946" s="109" t="s">
        <v>3</v>
      </c>
      <c r="E946" s="109" t="s">
        <v>3</v>
      </c>
      <c r="F946" s="109" t="s">
        <v>3</v>
      </c>
      <c r="G946" s="110" t="s">
        <v>3</v>
      </c>
    </row>
    <row r="947" ht="22.5" customHeight="1">
      <c r="A947" s="107"/>
      <c r="B947" s="108"/>
      <c r="C947" s="109"/>
      <c r="D947" s="109" t="s">
        <v>3</v>
      </c>
      <c r="E947" s="109" t="s">
        <v>3</v>
      </c>
      <c r="F947" s="109" t="s">
        <v>3</v>
      </c>
      <c r="G947" s="110" t="s">
        <v>3</v>
      </c>
    </row>
    <row r="948" ht="22.5" customHeight="1">
      <c r="A948" s="107"/>
      <c r="B948" s="108"/>
      <c r="C948" s="109"/>
      <c r="D948" s="109" t="s">
        <v>3</v>
      </c>
      <c r="E948" s="109" t="s">
        <v>3</v>
      </c>
      <c r="F948" s="109" t="s">
        <v>3</v>
      </c>
      <c r="G948" s="110" t="s">
        <v>3</v>
      </c>
    </row>
    <row r="949" ht="22.5" customHeight="1">
      <c r="A949" s="107"/>
      <c r="B949" s="108"/>
      <c r="C949" s="109"/>
      <c r="D949" s="109" t="s">
        <v>3</v>
      </c>
      <c r="E949" s="109" t="s">
        <v>3</v>
      </c>
      <c r="F949" s="109" t="s">
        <v>3</v>
      </c>
      <c r="G949" s="110" t="s">
        <v>3</v>
      </c>
    </row>
    <row r="950" ht="22.5" customHeight="1">
      <c r="A950" s="107"/>
      <c r="B950" s="108"/>
      <c r="C950" s="109"/>
      <c r="D950" s="109" t="s">
        <v>3</v>
      </c>
      <c r="E950" s="109" t="s">
        <v>3</v>
      </c>
      <c r="F950" s="109" t="s">
        <v>3</v>
      </c>
      <c r="G950" s="110" t="s">
        <v>3</v>
      </c>
    </row>
    <row r="951" ht="22.5" customHeight="1">
      <c r="A951" s="107"/>
      <c r="B951" s="108"/>
      <c r="C951" s="109"/>
      <c r="D951" s="109" t="s">
        <v>3</v>
      </c>
      <c r="E951" s="109" t="s">
        <v>3</v>
      </c>
      <c r="F951" s="109" t="s">
        <v>3</v>
      </c>
      <c r="G951" s="110" t="s">
        <v>3</v>
      </c>
    </row>
    <row r="952" ht="22.5" customHeight="1">
      <c r="A952" s="107"/>
      <c r="B952" s="108"/>
      <c r="C952" s="109"/>
      <c r="D952" s="109" t="s">
        <v>3</v>
      </c>
      <c r="E952" s="109" t="s">
        <v>3</v>
      </c>
      <c r="F952" s="109" t="s">
        <v>3</v>
      </c>
      <c r="G952" s="110" t="s">
        <v>3</v>
      </c>
    </row>
    <row r="953" ht="22.5" customHeight="1">
      <c r="A953" s="107"/>
      <c r="B953" s="108"/>
      <c r="C953" s="109"/>
      <c r="D953" s="109" t="s">
        <v>3</v>
      </c>
      <c r="E953" s="109" t="s">
        <v>3</v>
      </c>
      <c r="F953" s="109" t="s">
        <v>3</v>
      </c>
      <c r="G953" s="110" t="s">
        <v>3</v>
      </c>
    </row>
    <row r="954" ht="22.5" customHeight="1">
      <c r="A954" s="107"/>
      <c r="B954" s="108"/>
      <c r="C954" s="109"/>
      <c r="D954" s="109" t="s">
        <v>3</v>
      </c>
      <c r="E954" s="109" t="s">
        <v>3</v>
      </c>
      <c r="F954" s="109" t="s">
        <v>3</v>
      </c>
      <c r="G954" s="110" t="s">
        <v>3</v>
      </c>
    </row>
    <row r="955" ht="22.5" customHeight="1">
      <c r="A955" s="107"/>
      <c r="B955" s="108"/>
      <c r="C955" s="109"/>
      <c r="D955" s="109" t="s">
        <v>3</v>
      </c>
      <c r="E955" s="109" t="s">
        <v>3</v>
      </c>
      <c r="F955" s="109" t="s">
        <v>3</v>
      </c>
      <c r="G955" s="110" t="s">
        <v>3</v>
      </c>
    </row>
    <row r="956" ht="22.5" customHeight="1">
      <c r="A956" s="107"/>
      <c r="B956" s="108"/>
      <c r="C956" s="109"/>
      <c r="D956" s="109" t="s">
        <v>3</v>
      </c>
      <c r="E956" s="109" t="s">
        <v>3</v>
      </c>
      <c r="F956" s="109" t="s">
        <v>3</v>
      </c>
      <c r="G956" s="110" t="s">
        <v>3</v>
      </c>
    </row>
    <row r="957" ht="22.5" customHeight="1">
      <c r="A957" s="107"/>
      <c r="B957" s="108"/>
      <c r="C957" s="109"/>
      <c r="D957" s="109" t="s">
        <v>3</v>
      </c>
      <c r="E957" s="109" t="s">
        <v>3</v>
      </c>
      <c r="F957" s="109" t="s">
        <v>3</v>
      </c>
      <c r="G957" s="110" t="s">
        <v>3</v>
      </c>
    </row>
    <row r="958" ht="22.5" customHeight="1">
      <c r="A958" s="107"/>
      <c r="B958" s="108"/>
      <c r="C958" s="109"/>
      <c r="D958" s="109" t="s">
        <v>3</v>
      </c>
      <c r="E958" s="109" t="s">
        <v>3</v>
      </c>
      <c r="F958" s="109" t="s">
        <v>3</v>
      </c>
      <c r="G958" s="110" t="s">
        <v>3</v>
      </c>
    </row>
    <row r="959" ht="22.5" customHeight="1">
      <c r="A959" s="107"/>
      <c r="B959" s="108"/>
      <c r="C959" s="109"/>
      <c r="D959" s="109" t="s">
        <v>3</v>
      </c>
      <c r="E959" s="109" t="s">
        <v>3</v>
      </c>
      <c r="F959" s="109" t="s">
        <v>3</v>
      </c>
      <c r="G959" s="110" t="s">
        <v>3</v>
      </c>
    </row>
    <row r="960" ht="22.5" customHeight="1">
      <c r="A960" s="107"/>
      <c r="B960" s="108"/>
      <c r="C960" s="109"/>
      <c r="D960" s="109" t="s">
        <v>3</v>
      </c>
      <c r="E960" s="109" t="s">
        <v>3</v>
      </c>
      <c r="F960" s="109" t="s">
        <v>3</v>
      </c>
      <c r="G960" s="110" t="s">
        <v>3</v>
      </c>
    </row>
    <row r="961" ht="22.5" customHeight="1">
      <c r="A961" s="107"/>
      <c r="B961" s="108"/>
      <c r="C961" s="109"/>
      <c r="D961" s="109" t="s">
        <v>3</v>
      </c>
      <c r="E961" s="109" t="s">
        <v>3</v>
      </c>
      <c r="F961" s="109" t="s">
        <v>3</v>
      </c>
      <c r="G961" s="110" t="s">
        <v>3</v>
      </c>
    </row>
    <row r="962" ht="22.5" customHeight="1">
      <c r="A962" s="107"/>
      <c r="B962" s="108"/>
      <c r="C962" s="109"/>
      <c r="D962" s="109" t="s">
        <v>3</v>
      </c>
      <c r="E962" s="109" t="s">
        <v>3</v>
      </c>
      <c r="F962" s="109" t="s">
        <v>3</v>
      </c>
      <c r="G962" s="110" t="s">
        <v>3</v>
      </c>
    </row>
    <row r="963" ht="22.5" customHeight="1">
      <c r="A963" s="107"/>
      <c r="B963" s="108"/>
      <c r="C963" s="109"/>
      <c r="D963" s="109" t="s">
        <v>3</v>
      </c>
      <c r="E963" s="109" t="s">
        <v>3</v>
      </c>
      <c r="F963" s="109" t="s">
        <v>3</v>
      </c>
      <c r="G963" s="110" t="s">
        <v>3</v>
      </c>
    </row>
    <row r="964" ht="22.5" customHeight="1">
      <c r="A964" s="107"/>
      <c r="B964" s="108"/>
      <c r="C964" s="109"/>
      <c r="D964" s="109" t="s">
        <v>3</v>
      </c>
      <c r="E964" s="109" t="s">
        <v>3</v>
      </c>
      <c r="F964" s="109" t="s">
        <v>3</v>
      </c>
      <c r="G964" s="110" t="s">
        <v>3</v>
      </c>
    </row>
    <row r="965" ht="22.5" customHeight="1">
      <c r="A965" s="107"/>
      <c r="B965" s="108"/>
      <c r="C965" s="109"/>
      <c r="D965" s="109" t="s">
        <v>3</v>
      </c>
      <c r="E965" s="109" t="s">
        <v>3</v>
      </c>
      <c r="F965" s="109" t="s">
        <v>3</v>
      </c>
      <c r="G965" s="110" t="s">
        <v>3</v>
      </c>
    </row>
    <row r="966" ht="22.5" customHeight="1">
      <c r="A966" s="107"/>
      <c r="B966" s="108"/>
      <c r="C966" s="109"/>
      <c r="D966" s="109" t="s">
        <v>3</v>
      </c>
      <c r="E966" s="109" t="s">
        <v>3</v>
      </c>
      <c r="F966" s="109" t="s">
        <v>3</v>
      </c>
      <c r="G966" s="110" t="s">
        <v>3</v>
      </c>
    </row>
    <row r="967" ht="22.5" customHeight="1">
      <c r="A967" s="107"/>
      <c r="B967" s="108"/>
      <c r="C967" s="109"/>
      <c r="D967" s="109" t="s">
        <v>3</v>
      </c>
      <c r="E967" s="109" t="s">
        <v>3</v>
      </c>
      <c r="F967" s="109" t="s">
        <v>3</v>
      </c>
      <c r="G967" s="110" t="s">
        <v>3</v>
      </c>
    </row>
    <row r="968" ht="22.5" customHeight="1">
      <c r="A968" s="107"/>
      <c r="B968" s="108"/>
      <c r="C968" s="109"/>
      <c r="D968" s="109" t="s">
        <v>3</v>
      </c>
      <c r="E968" s="109" t="s">
        <v>3</v>
      </c>
      <c r="F968" s="109" t="s">
        <v>3</v>
      </c>
      <c r="G968" s="110" t="s">
        <v>3</v>
      </c>
    </row>
    <row r="969" ht="22.5" customHeight="1">
      <c r="A969" s="107"/>
      <c r="B969" s="108"/>
      <c r="C969" s="109"/>
      <c r="D969" s="109" t="s">
        <v>3</v>
      </c>
      <c r="E969" s="109" t="s">
        <v>3</v>
      </c>
      <c r="F969" s="109" t="s">
        <v>3</v>
      </c>
      <c r="G969" s="110" t="s">
        <v>3</v>
      </c>
    </row>
    <row r="970" ht="22.5" customHeight="1">
      <c r="A970" s="107"/>
      <c r="B970" s="108"/>
      <c r="C970" s="109"/>
      <c r="D970" s="109" t="s">
        <v>3</v>
      </c>
      <c r="E970" s="109" t="s">
        <v>3</v>
      </c>
      <c r="F970" s="109" t="s">
        <v>3</v>
      </c>
      <c r="G970" s="110" t="s">
        <v>3</v>
      </c>
    </row>
    <row r="971" ht="22.5" customHeight="1">
      <c r="A971" s="107"/>
      <c r="B971" s="108"/>
      <c r="C971" s="109"/>
      <c r="D971" s="109" t="s">
        <v>3</v>
      </c>
      <c r="E971" s="109" t="s">
        <v>3</v>
      </c>
      <c r="F971" s="109" t="s">
        <v>3</v>
      </c>
      <c r="G971" s="110" t="s">
        <v>3</v>
      </c>
    </row>
    <row r="972" ht="22.5" customHeight="1">
      <c r="A972" s="107"/>
      <c r="B972" s="108"/>
      <c r="C972" s="109"/>
      <c r="D972" s="109" t="s">
        <v>3</v>
      </c>
      <c r="E972" s="109" t="s">
        <v>3</v>
      </c>
      <c r="F972" s="109" t="s">
        <v>3</v>
      </c>
      <c r="G972" s="110" t="s">
        <v>3</v>
      </c>
    </row>
    <row r="973" ht="22.5" customHeight="1">
      <c r="A973" s="107"/>
      <c r="B973" s="108"/>
      <c r="C973" s="109"/>
      <c r="D973" s="109" t="s">
        <v>3</v>
      </c>
      <c r="E973" s="109" t="s">
        <v>3</v>
      </c>
      <c r="F973" s="109" t="s">
        <v>3</v>
      </c>
      <c r="G973" s="110" t="s">
        <v>3</v>
      </c>
    </row>
    <row r="974" ht="22.5" customHeight="1">
      <c r="A974" s="107"/>
      <c r="B974" s="108"/>
      <c r="C974" s="109"/>
      <c r="D974" s="109" t="s">
        <v>3</v>
      </c>
      <c r="E974" s="109" t="s">
        <v>3</v>
      </c>
      <c r="F974" s="109" t="s">
        <v>3</v>
      </c>
      <c r="G974" s="110" t="s">
        <v>3</v>
      </c>
    </row>
    <row r="975" ht="22.5" customHeight="1">
      <c r="A975" s="107"/>
      <c r="B975" s="108"/>
      <c r="C975" s="109"/>
      <c r="D975" s="109" t="s">
        <v>3</v>
      </c>
      <c r="E975" s="109" t="s">
        <v>3</v>
      </c>
      <c r="F975" s="109" t="s">
        <v>3</v>
      </c>
      <c r="G975" s="110" t="s">
        <v>3</v>
      </c>
    </row>
    <row r="976" ht="22.5" customHeight="1">
      <c r="A976" s="107"/>
      <c r="B976" s="108"/>
      <c r="C976" s="109"/>
      <c r="D976" s="109" t="s">
        <v>3</v>
      </c>
      <c r="E976" s="109" t="s">
        <v>3</v>
      </c>
      <c r="F976" s="109" t="s">
        <v>3</v>
      </c>
      <c r="G976" s="110" t="s">
        <v>3</v>
      </c>
    </row>
    <row r="977" ht="22.5" customHeight="1">
      <c r="A977" s="107"/>
      <c r="B977" s="108"/>
      <c r="C977" s="109"/>
      <c r="D977" s="109" t="s">
        <v>3</v>
      </c>
      <c r="E977" s="109" t="s">
        <v>3</v>
      </c>
      <c r="F977" s="109" t="s">
        <v>3</v>
      </c>
      <c r="G977" s="110" t="s">
        <v>3</v>
      </c>
    </row>
    <row r="978" ht="22.5" customHeight="1">
      <c r="A978" s="107"/>
      <c r="B978" s="108"/>
      <c r="C978" s="109"/>
      <c r="D978" s="109" t="s">
        <v>3</v>
      </c>
      <c r="E978" s="109" t="s">
        <v>3</v>
      </c>
      <c r="F978" s="109" t="s">
        <v>3</v>
      </c>
      <c r="G978" s="110" t="s">
        <v>3</v>
      </c>
    </row>
    <row r="979" ht="22.5" customHeight="1">
      <c r="A979" s="107"/>
      <c r="B979" s="108"/>
      <c r="C979" s="109"/>
      <c r="D979" s="109" t="s">
        <v>3</v>
      </c>
      <c r="E979" s="109" t="s">
        <v>3</v>
      </c>
      <c r="F979" s="109" t="s">
        <v>3</v>
      </c>
      <c r="G979" s="110" t="s">
        <v>3</v>
      </c>
    </row>
    <row r="980" ht="22.5" customHeight="1">
      <c r="A980" s="107"/>
      <c r="B980" s="108"/>
      <c r="C980" s="109"/>
      <c r="D980" s="109" t="s">
        <v>3</v>
      </c>
      <c r="E980" s="109" t="s">
        <v>3</v>
      </c>
      <c r="F980" s="109" t="s">
        <v>3</v>
      </c>
      <c r="G980" s="110" t="s">
        <v>3</v>
      </c>
    </row>
    <row r="981" ht="22.5" customHeight="1">
      <c r="A981" s="107"/>
      <c r="B981" s="108"/>
      <c r="C981" s="109"/>
      <c r="D981" s="109" t="s">
        <v>3</v>
      </c>
      <c r="E981" s="109" t="s">
        <v>3</v>
      </c>
      <c r="F981" s="109" t="s">
        <v>3</v>
      </c>
      <c r="G981" s="110" t="s">
        <v>3</v>
      </c>
    </row>
    <row r="982" ht="22.5" customHeight="1">
      <c r="A982" s="107"/>
      <c r="B982" s="108"/>
      <c r="C982" s="109"/>
      <c r="D982" s="109" t="s">
        <v>3</v>
      </c>
      <c r="E982" s="109" t="s">
        <v>3</v>
      </c>
      <c r="F982" s="109" t="s">
        <v>3</v>
      </c>
      <c r="G982" s="110" t="s">
        <v>3</v>
      </c>
    </row>
    <row r="983" ht="22.5" customHeight="1">
      <c r="A983" s="107"/>
      <c r="B983" s="108"/>
      <c r="C983" s="109"/>
      <c r="D983" s="109" t="s">
        <v>3</v>
      </c>
      <c r="E983" s="109" t="s">
        <v>3</v>
      </c>
      <c r="F983" s="109" t="s">
        <v>3</v>
      </c>
      <c r="G983" s="110" t="s">
        <v>3</v>
      </c>
    </row>
    <row r="984" ht="22.5" customHeight="1">
      <c r="A984" s="107"/>
      <c r="B984" s="108"/>
      <c r="C984" s="109"/>
      <c r="D984" s="109" t="s">
        <v>3</v>
      </c>
      <c r="E984" s="109" t="s">
        <v>3</v>
      </c>
      <c r="F984" s="109" t="s">
        <v>3</v>
      </c>
      <c r="G984" s="110" t="s">
        <v>3</v>
      </c>
    </row>
    <row r="985" ht="22.5" customHeight="1">
      <c r="A985" s="107"/>
      <c r="B985" s="108"/>
      <c r="C985" s="109"/>
      <c r="D985" s="109" t="s">
        <v>3</v>
      </c>
      <c r="E985" s="109" t="s">
        <v>3</v>
      </c>
      <c r="F985" s="109" t="s">
        <v>3</v>
      </c>
      <c r="G985" s="110" t="s">
        <v>3</v>
      </c>
    </row>
    <row r="986" ht="22.5" customHeight="1">
      <c r="A986" s="107"/>
      <c r="B986" s="108"/>
      <c r="C986" s="109"/>
      <c r="D986" s="109" t="s">
        <v>3</v>
      </c>
      <c r="E986" s="109" t="s">
        <v>3</v>
      </c>
      <c r="F986" s="109" t="s">
        <v>3</v>
      </c>
      <c r="G986" s="110" t="s">
        <v>3</v>
      </c>
    </row>
    <row r="987" ht="22.5" customHeight="1">
      <c r="A987" s="107"/>
      <c r="B987" s="108"/>
      <c r="C987" s="109"/>
      <c r="D987" s="109" t="s">
        <v>3</v>
      </c>
      <c r="E987" s="109" t="s">
        <v>3</v>
      </c>
      <c r="F987" s="109" t="s">
        <v>3</v>
      </c>
      <c r="G987" s="110" t="s">
        <v>3</v>
      </c>
    </row>
    <row r="988" ht="22.5" customHeight="1">
      <c r="A988" s="107"/>
      <c r="B988" s="108"/>
      <c r="C988" s="109"/>
      <c r="D988" s="109" t="s">
        <v>3</v>
      </c>
      <c r="E988" s="109" t="s">
        <v>3</v>
      </c>
      <c r="F988" s="109" t="s">
        <v>3</v>
      </c>
      <c r="G988" s="110" t="s">
        <v>3</v>
      </c>
    </row>
    <row r="989" ht="22.5" customHeight="1">
      <c r="A989" s="107"/>
      <c r="B989" s="108"/>
      <c r="C989" s="109"/>
      <c r="D989" s="109" t="s">
        <v>3</v>
      </c>
      <c r="E989" s="109" t="s">
        <v>3</v>
      </c>
      <c r="F989" s="109" t="s">
        <v>3</v>
      </c>
      <c r="G989" s="110" t="s">
        <v>3</v>
      </c>
    </row>
    <row r="990" ht="22.5" customHeight="1">
      <c r="A990" s="107"/>
      <c r="B990" s="108"/>
      <c r="C990" s="109"/>
      <c r="D990" s="109" t="s">
        <v>3</v>
      </c>
      <c r="E990" s="109" t="s">
        <v>3</v>
      </c>
      <c r="F990" s="109" t="s">
        <v>3</v>
      </c>
      <c r="G990" s="110" t="s">
        <v>3</v>
      </c>
    </row>
    <row r="991" ht="22.5" customHeight="1">
      <c r="A991" s="107"/>
      <c r="B991" s="108"/>
      <c r="C991" s="109"/>
      <c r="D991" s="109" t="s">
        <v>3</v>
      </c>
      <c r="E991" s="109" t="s">
        <v>3</v>
      </c>
      <c r="F991" s="109" t="s">
        <v>3</v>
      </c>
      <c r="G991" s="110" t="s">
        <v>3</v>
      </c>
    </row>
    <row r="992" ht="22.5" customHeight="1">
      <c r="A992" s="107"/>
      <c r="B992" s="108"/>
      <c r="C992" s="109"/>
      <c r="D992" s="109" t="s">
        <v>3</v>
      </c>
      <c r="E992" s="109" t="s">
        <v>3</v>
      </c>
      <c r="F992" s="109" t="s">
        <v>3</v>
      </c>
      <c r="G992" s="110" t="s">
        <v>3</v>
      </c>
    </row>
    <row r="993" ht="22.5" customHeight="1">
      <c r="A993" s="107"/>
      <c r="B993" s="108"/>
      <c r="C993" s="109"/>
      <c r="D993" s="109" t="s">
        <v>3</v>
      </c>
      <c r="E993" s="109" t="s">
        <v>3</v>
      </c>
      <c r="F993" s="109" t="s">
        <v>3</v>
      </c>
      <c r="G993" s="110" t="s">
        <v>3</v>
      </c>
    </row>
    <row r="994" ht="22.5" customHeight="1">
      <c r="A994" s="107"/>
      <c r="B994" s="108"/>
      <c r="C994" s="109"/>
      <c r="D994" s="109" t="s">
        <v>3</v>
      </c>
      <c r="E994" s="109" t="s">
        <v>3</v>
      </c>
      <c r="F994" s="109" t="s">
        <v>3</v>
      </c>
      <c r="G994" s="110" t="s">
        <v>3</v>
      </c>
    </row>
    <row r="995" ht="22.5" customHeight="1">
      <c r="A995" s="107"/>
      <c r="B995" s="108"/>
      <c r="C995" s="109"/>
      <c r="D995" s="109" t="s">
        <v>3</v>
      </c>
      <c r="E995" s="109" t="s">
        <v>3</v>
      </c>
      <c r="F995" s="109" t="s">
        <v>3</v>
      </c>
      <c r="G995" s="110" t="s">
        <v>3</v>
      </c>
    </row>
    <row r="996" ht="22.5" customHeight="1">
      <c r="A996" s="107"/>
      <c r="B996" s="108"/>
      <c r="C996" s="109"/>
      <c r="D996" s="109" t="s">
        <v>3</v>
      </c>
      <c r="E996" s="109" t="s">
        <v>3</v>
      </c>
      <c r="F996" s="109" t="s">
        <v>3</v>
      </c>
      <c r="G996" s="110" t="s">
        <v>3</v>
      </c>
    </row>
    <row r="997" ht="22.5" customHeight="1">
      <c r="A997" s="107"/>
      <c r="B997" s="108"/>
      <c r="C997" s="109"/>
      <c r="D997" s="109" t="s">
        <v>3</v>
      </c>
      <c r="E997" s="109" t="s">
        <v>3</v>
      </c>
      <c r="F997" s="109" t="s">
        <v>3</v>
      </c>
      <c r="G997" s="110" t="s">
        <v>3</v>
      </c>
    </row>
    <row r="998" ht="22.5" customHeight="1">
      <c r="A998" s="107"/>
      <c r="B998" s="108"/>
      <c r="C998" s="109"/>
      <c r="D998" s="109" t="s">
        <v>3</v>
      </c>
      <c r="E998" s="109" t="s">
        <v>3</v>
      </c>
      <c r="F998" s="109" t="s">
        <v>3</v>
      </c>
      <c r="G998" s="110" t="s">
        <v>3</v>
      </c>
    </row>
    <row r="999" ht="22.5" customHeight="1">
      <c r="A999" s="107"/>
      <c r="B999" s="108"/>
      <c r="C999" s="109"/>
      <c r="D999" s="109" t="s">
        <v>3</v>
      </c>
      <c r="E999" s="109" t="s">
        <v>3</v>
      </c>
      <c r="F999" s="109" t="s">
        <v>3</v>
      </c>
      <c r="G999" s="110" t="s">
        <v>3</v>
      </c>
    </row>
    <row r="1000" ht="22.5" customHeight="1">
      <c r="A1000" s="107"/>
      <c r="B1000" s="108"/>
      <c r="C1000" s="109"/>
      <c r="D1000" s="109" t="s">
        <v>3</v>
      </c>
      <c r="E1000" s="109" t="s">
        <v>3</v>
      </c>
      <c r="F1000" s="109" t="s">
        <v>3</v>
      </c>
      <c r="G1000" s="110" t="s">
        <v>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2" width="11.0"/>
    <col customWidth="1" min="3" max="4" width="34.0"/>
    <col customWidth="1" min="5" max="5" width="8.88"/>
    <col customWidth="1" min="6" max="6" width="23.63"/>
    <col customWidth="1" min="7" max="7" width="16.75"/>
    <col customWidth="1" min="8" max="9" width="18.0"/>
    <col customWidth="1" min="10" max="10" width="21.88"/>
    <col customWidth="1" min="11" max="12" width="15.13"/>
    <col customWidth="1" min="13" max="13" width="79.25"/>
  </cols>
  <sheetData>
    <row r="1" ht="35.25" customHeight="1">
      <c r="A1" s="111" t="s">
        <v>497</v>
      </c>
      <c r="B1" s="112" t="s">
        <v>498</v>
      </c>
      <c r="C1" s="111" t="s">
        <v>499</v>
      </c>
      <c r="D1" s="111" t="s">
        <v>500</v>
      </c>
      <c r="E1" s="111" t="s">
        <v>501</v>
      </c>
      <c r="F1" s="113" t="s">
        <v>502</v>
      </c>
      <c r="G1" s="114" t="s">
        <v>503</v>
      </c>
      <c r="H1" s="111" t="s">
        <v>504</v>
      </c>
      <c r="I1" s="111" t="s">
        <v>505</v>
      </c>
      <c r="J1" s="111" t="s">
        <v>506</v>
      </c>
      <c r="K1" s="111" t="s">
        <v>507</v>
      </c>
      <c r="L1" s="111"/>
      <c r="M1" s="111" t="s">
        <v>508</v>
      </c>
    </row>
    <row r="2" ht="22.5" customHeight="1">
      <c r="A2" s="115">
        <v>2023.0</v>
      </c>
      <c r="B2" s="116">
        <v>45163.0</v>
      </c>
      <c r="C2" s="117" t="s">
        <v>509</v>
      </c>
      <c r="D2" s="118" t="s">
        <v>510</v>
      </c>
      <c r="E2" s="119">
        <v>2.0</v>
      </c>
      <c r="F2" s="120" t="s">
        <v>511</v>
      </c>
      <c r="G2" s="121" t="s">
        <v>512</v>
      </c>
      <c r="H2" s="122" t="s">
        <v>513</v>
      </c>
      <c r="I2" s="122" t="s">
        <v>514</v>
      </c>
      <c r="J2" s="122" t="s">
        <v>515</v>
      </c>
      <c r="K2" s="123"/>
      <c r="L2" s="124" t="b">
        <v>0</v>
      </c>
      <c r="M2" s="125"/>
    </row>
    <row r="3" ht="22.5" customHeight="1">
      <c r="A3" s="115">
        <v>2023.0</v>
      </c>
      <c r="B3" s="116">
        <v>45163.0</v>
      </c>
      <c r="C3" s="117" t="s">
        <v>516</v>
      </c>
      <c r="D3" s="117" t="s">
        <v>517</v>
      </c>
      <c r="E3" s="119">
        <v>4.0</v>
      </c>
      <c r="F3" s="120" t="s">
        <v>511</v>
      </c>
      <c r="G3" s="121" t="s">
        <v>512</v>
      </c>
      <c r="H3" s="122" t="s">
        <v>518</v>
      </c>
      <c r="I3" s="122" t="s">
        <v>519</v>
      </c>
      <c r="J3" s="122" t="s">
        <v>520</v>
      </c>
      <c r="K3" s="123"/>
      <c r="L3" s="124" t="b">
        <v>0</v>
      </c>
      <c r="M3" s="125" t="s">
        <v>521</v>
      </c>
    </row>
    <row r="4" ht="22.5" customHeight="1">
      <c r="A4" s="126">
        <v>2022.0</v>
      </c>
      <c r="B4" s="127">
        <v>45163.0</v>
      </c>
      <c r="C4" s="128" t="s">
        <v>522</v>
      </c>
      <c r="D4" s="129" t="s">
        <v>523</v>
      </c>
      <c r="E4" s="130">
        <v>5.0</v>
      </c>
      <c r="F4" s="131" t="s">
        <v>511</v>
      </c>
      <c r="G4" s="132" t="s">
        <v>512</v>
      </c>
      <c r="H4" s="126" t="s">
        <v>524</v>
      </c>
      <c r="I4" s="126" t="s">
        <v>514</v>
      </c>
      <c r="J4" s="126" t="s">
        <v>520</v>
      </c>
      <c r="K4" s="126" t="s">
        <v>525</v>
      </c>
      <c r="L4" s="124" t="b">
        <v>1</v>
      </c>
      <c r="M4" s="133" t="s">
        <v>526</v>
      </c>
    </row>
    <row r="5" ht="22.5" customHeight="1">
      <c r="A5" s="115">
        <v>2023.0</v>
      </c>
      <c r="B5" s="116">
        <v>45163.0</v>
      </c>
      <c r="C5" s="118" t="s">
        <v>527</v>
      </c>
      <c r="D5" s="118" t="s">
        <v>528</v>
      </c>
      <c r="E5" s="134">
        <v>6.0</v>
      </c>
      <c r="F5" s="135" t="s">
        <v>511</v>
      </c>
      <c r="G5" s="121" t="s">
        <v>512</v>
      </c>
      <c r="H5" s="115" t="s">
        <v>529</v>
      </c>
      <c r="I5" s="115" t="s">
        <v>530</v>
      </c>
      <c r="J5" s="115" t="s">
        <v>531</v>
      </c>
      <c r="K5" s="115" t="s">
        <v>532</v>
      </c>
      <c r="L5" s="124" t="b">
        <v>0</v>
      </c>
      <c r="M5" s="134" t="s">
        <v>533</v>
      </c>
    </row>
    <row r="6" ht="22.5" customHeight="1">
      <c r="A6" s="115">
        <v>2023.0</v>
      </c>
      <c r="B6" s="116">
        <v>45163.0</v>
      </c>
      <c r="C6" s="136" t="s">
        <v>534</v>
      </c>
      <c r="D6" s="136" t="s">
        <v>535</v>
      </c>
      <c r="E6" s="119">
        <v>10.0</v>
      </c>
      <c r="F6" s="120" t="s">
        <v>511</v>
      </c>
      <c r="G6" s="121" t="s">
        <v>512</v>
      </c>
      <c r="H6" s="122" t="s">
        <v>529</v>
      </c>
      <c r="I6" s="122"/>
      <c r="J6" s="122" t="s">
        <v>536</v>
      </c>
      <c r="K6" s="123"/>
      <c r="L6" s="124" t="b">
        <v>0</v>
      </c>
      <c r="M6" s="125" t="s">
        <v>537</v>
      </c>
    </row>
    <row r="7" ht="22.5" customHeight="1">
      <c r="A7" s="115">
        <v>2023.0</v>
      </c>
      <c r="B7" s="116">
        <v>45163.0</v>
      </c>
      <c r="C7" s="136" t="s">
        <v>538</v>
      </c>
      <c r="D7" s="136" t="s">
        <v>539</v>
      </c>
      <c r="E7" s="119">
        <v>12.0</v>
      </c>
      <c r="F7" s="120" t="s">
        <v>511</v>
      </c>
      <c r="G7" s="121" t="s">
        <v>512</v>
      </c>
      <c r="H7" s="122" t="s">
        <v>529</v>
      </c>
      <c r="I7" s="122" t="s">
        <v>530</v>
      </c>
      <c r="J7" s="122" t="s">
        <v>515</v>
      </c>
      <c r="K7" s="123"/>
      <c r="L7" s="124" t="b">
        <v>0</v>
      </c>
      <c r="M7" s="125"/>
    </row>
    <row r="8" ht="22.5" customHeight="1">
      <c r="A8" s="137">
        <v>2022.0</v>
      </c>
      <c r="B8" s="138">
        <v>45163.0</v>
      </c>
      <c r="C8" s="139" t="s">
        <v>540</v>
      </c>
      <c r="D8" s="139" t="s">
        <v>541</v>
      </c>
      <c r="E8" s="139">
        <v>14.0</v>
      </c>
      <c r="F8" s="140" t="s">
        <v>511</v>
      </c>
      <c r="G8" s="141" t="s">
        <v>512</v>
      </c>
      <c r="H8" s="137" t="s">
        <v>524</v>
      </c>
      <c r="I8" s="137" t="s">
        <v>530</v>
      </c>
      <c r="J8" s="137" t="s">
        <v>542</v>
      </c>
      <c r="K8" s="137" t="s">
        <v>532</v>
      </c>
      <c r="L8" s="124" t="b">
        <v>0</v>
      </c>
      <c r="M8" s="142" t="s">
        <v>543</v>
      </c>
    </row>
    <row r="9" ht="22.5" customHeight="1">
      <c r="A9" s="115">
        <v>2023.0</v>
      </c>
      <c r="B9" s="116">
        <v>45163.0</v>
      </c>
      <c r="C9" s="134" t="s">
        <v>544</v>
      </c>
      <c r="D9" s="134" t="s">
        <v>545</v>
      </c>
      <c r="E9" s="119">
        <v>15.0</v>
      </c>
      <c r="F9" s="120" t="s">
        <v>511</v>
      </c>
      <c r="G9" s="121" t="s">
        <v>512</v>
      </c>
      <c r="H9" s="122" t="s">
        <v>518</v>
      </c>
      <c r="I9" s="122" t="s">
        <v>514</v>
      </c>
      <c r="J9" s="122" t="s">
        <v>536</v>
      </c>
      <c r="K9" s="123"/>
      <c r="L9" s="124" t="b">
        <v>0</v>
      </c>
      <c r="M9" s="125"/>
    </row>
    <row r="10" ht="22.5" customHeight="1">
      <c r="A10" s="126">
        <v>2020.0</v>
      </c>
      <c r="B10" s="127">
        <v>45163.0</v>
      </c>
      <c r="C10" s="133" t="s">
        <v>546</v>
      </c>
      <c r="D10" s="143" t="s">
        <v>547</v>
      </c>
      <c r="E10" s="130">
        <v>16.0</v>
      </c>
      <c r="F10" s="131" t="s">
        <v>511</v>
      </c>
      <c r="G10" s="132" t="s">
        <v>512</v>
      </c>
      <c r="H10" s="126" t="s">
        <v>518</v>
      </c>
      <c r="I10" s="126" t="s">
        <v>514</v>
      </c>
      <c r="J10" s="126" t="s">
        <v>548</v>
      </c>
      <c r="K10" s="126" t="s">
        <v>532</v>
      </c>
      <c r="L10" s="124" t="b">
        <v>0</v>
      </c>
      <c r="M10" s="133" t="s">
        <v>549</v>
      </c>
    </row>
    <row r="11" ht="22.5" customHeight="1">
      <c r="A11" s="144">
        <v>2022.0</v>
      </c>
      <c r="B11" s="145">
        <v>45163.0</v>
      </c>
      <c r="C11" s="145" t="s">
        <v>550</v>
      </c>
      <c r="D11" s="145" t="s">
        <v>551</v>
      </c>
      <c r="E11" s="146">
        <v>17.0</v>
      </c>
      <c r="F11" s="147" t="s">
        <v>511</v>
      </c>
      <c r="G11" s="148" t="s">
        <v>512</v>
      </c>
      <c r="H11" s="149" t="s">
        <v>518</v>
      </c>
      <c r="I11" s="149" t="s">
        <v>514</v>
      </c>
      <c r="J11" s="150" t="s">
        <v>552</v>
      </c>
      <c r="K11" s="149"/>
      <c r="L11" s="124" t="b">
        <v>0</v>
      </c>
      <c r="M11" s="151" t="s">
        <v>553</v>
      </c>
    </row>
    <row r="12" ht="22.5" customHeight="1">
      <c r="A12" s="126">
        <v>2021.0</v>
      </c>
      <c r="B12" s="127">
        <v>45166.0</v>
      </c>
      <c r="C12" s="152" t="s">
        <v>554</v>
      </c>
      <c r="D12" s="153" t="s">
        <v>555</v>
      </c>
      <c r="E12" s="133">
        <v>19.0</v>
      </c>
      <c r="F12" s="131" t="s">
        <v>511</v>
      </c>
      <c r="G12" s="132" t="s">
        <v>512</v>
      </c>
      <c r="H12" s="126" t="s">
        <v>518</v>
      </c>
      <c r="I12" s="126" t="s">
        <v>514</v>
      </c>
      <c r="J12" s="126" t="s">
        <v>515</v>
      </c>
      <c r="K12" s="126" t="s">
        <v>532</v>
      </c>
      <c r="L12" s="124" t="b">
        <v>0</v>
      </c>
      <c r="M12" s="133" t="s">
        <v>556</v>
      </c>
    </row>
    <row r="13" ht="22.5" customHeight="1">
      <c r="A13" s="115">
        <v>2023.0</v>
      </c>
      <c r="B13" s="116">
        <v>45163.0</v>
      </c>
      <c r="C13" s="134" t="s">
        <v>557</v>
      </c>
      <c r="D13" s="134" t="s">
        <v>558</v>
      </c>
      <c r="E13" s="119">
        <v>20.0</v>
      </c>
      <c r="F13" s="120" t="s">
        <v>511</v>
      </c>
      <c r="G13" s="121" t="s">
        <v>512</v>
      </c>
      <c r="H13" s="122" t="s">
        <v>518</v>
      </c>
      <c r="I13" s="122" t="s">
        <v>514</v>
      </c>
      <c r="J13" s="122" t="s">
        <v>515</v>
      </c>
      <c r="K13" s="123"/>
      <c r="L13" s="124" t="b">
        <v>0</v>
      </c>
      <c r="M13" s="125"/>
    </row>
    <row r="14" ht="22.5" customHeight="1">
      <c r="A14" s="126">
        <v>2022.0</v>
      </c>
      <c r="B14" s="127">
        <v>45163.0</v>
      </c>
      <c r="C14" s="154" t="s">
        <v>559</v>
      </c>
      <c r="D14" s="154" t="s">
        <v>560</v>
      </c>
      <c r="E14" s="130">
        <v>21.0</v>
      </c>
      <c r="F14" s="131" t="s">
        <v>511</v>
      </c>
      <c r="G14" s="132" t="s">
        <v>180</v>
      </c>
      <c r="H14" s="126" t="s">
        <v>518</v>
      </c>
      <c r="I14" s="126" t="s">
        <v>514</v>
      </c>
      <c r="J14" s="126" t="s">
        <v>561</v>
      </c>
      <c r="K14" s="126" t="s">
        <v>525</v>
      </c>
      <c r="L14" s="124" t="b">
        <v>0</v>
      </c>
      <c r="M14" s="133" t="s">
        <v>562</v>
      </c>
    </row>
    <row r="15" ht="22.5" customHeight="1">
      <c r="A15" s="126">
        <v>2023.0</v>
      </c>
      <c r="B15" s="127">
        <v>45163.0</v>
      </c>
      <c r="C15" s="129" t="s">
        <v>563</v>
      </c>
      <c r="D15" s="129" t="s">
        <v>564</v>
      </c>
      <c r="E15" s="130">
        <v>22.0</v>
      </c>
      <c r="F15" s="155" t="s">
        <v>511</v>
      </c>
      <c r="G15" s="132" t="s">
        <v>512</v>
      </c>
      <c r="H15" s="156"/>
      <c r="I15" s="157" t="s">
        <v>514</v>
      </c>
      <c r="J15" s="157" t="s">
        <v>520</v>
      </c>
      <c r="K15" s="156"/>
      <c r="L15" s="124" t="b">
        <v>0</v>
      </c>
      <c r="M15" s="158"/>
    </row>
    <row r="16" ht="22.5" customHeight="1">
      <c r="A16" s="126">
        <v>2022.0</v>
      </c>
      <c r="B16" s="127">
        <v>45163.0</v>
      </c>
      <c r="C16" s="154" t="s">
        <v>565</v>
      </c>
      <c r="D16" s="154" t="s">
        <v>566</v>
      </c>
      <c r="E16" s="130">
        <v>23.0</v>
      </c>
      <c r="F16" s="131" t="s">
        <v>511</v>
      </c>
      <c r="G16" s="132" t="s">
        <v>512</v>
      </c>
      <c r="H16" s="126" t="s">
        <v>518</v>
      </c>
      <c r="I16" s="126" t="s">
        <v>567</v>
      </c>
      <c r="J16" s="126" t="s">
        <v>568</v>
      </c>
      <c r="K16" s="126" t="s">
        <v>532</v>
      </c>
      <c r="L16" s="124" t="b">
        <v>0</v>
      </c>
      <c r="M16" s="133" t="s">
        <v>569</v>
      </c>
    </row>
    <row r="17" ht="22.5" customHeight="1">
      <c r="A17" s="126">
        <v>2022.0</v>
      </c>
      <c r="B17" s="127">
        <v>45163.0</v>
      </c>
      <c r="C17" s="129" t="s">
        <v>570</v>
      </c>
      <c r="D17" s="129" t="s">
        <v>571</v>
      </c>
      <c r="E17" s="158">
        <v>24.0</v>
      </c>
      <c r="F17" s="131" t="s">
        <v>511</v>
      </c>
      <c r="G17" s="132" t="s">
        <v>512</v>
      </c>
      <c r="H17" s="126" t="s">
        <v>513</v>
      </c>
      <c r="I17" s="126" t="s">
        <v>519</v>
      </c>
      <c r="J17" s="126" t="s">
        <v>542</v>
      </c>
      <c r="K17" s="126" t="s">
        <v>572</v>
      </c>
      <c r="L17" s="124" t="b">
        <v>0</v>
      </c>
      <c r="M17" s="133" t="s">
        <v>573</v>
      </c>
    </row>
    <row r="18" ht="22.5" customHeight="1">
      <c r="A18" s="126">
        <v>2022.0</v>
      </c>
      <c r="B18" s="127">
        <v>45163.0</v>
      </c>
      <c r="C18" s="129" t="s">
        <v>574</v>
      </c>
      <c r="D18" s="129" t="s">
        <v>575</v>
      </c>
      <c r="E18" s="130">
        <v>28.0</v>
      </c>
      <c r="F18" s="131" t="s">
        <v>511</v>
      </c>
      <c r="G18" s="132" t="s">
        <v>512</v>
      </c>
      <c r="H18" s="126" t="s">
        <v>518</v>
      </c>
      <c r="I18" s="126" t="s">
        <v>567</v>
      </c>
      <c r="J18" s="126" t="s">
        <v>568</v>
      </c>
      <c r="K18" s="126" t="s">
        <v>532</v>
      </c>
      <c r="L18" s="124" t="b">
        <v>0</v>
      </c>
      <c r="M18" s="133" t="s">
        <v>576</v>
      </c>
    </row>
    <row r="19" ht="22.5" customHeight="1">
      <c r="A19" s="126">
        <v>2022.0</v>
      </c>
      <c r="B19" s="127">
        <v>45163.0</v>
      </c>
      <c r="C19" s="154" t="s">
        <v>577</v>
      </c>
      <c r="D19" s="154" t="s">
        <v>578</v>
      </c>
      <c r="E19" s="130">
        <v>33.0</v>
      </c>
      <c r="F19" s="131" t="s">
        <v>511</v>
      </c>
      <c r="G19" s="132" t="s">
        <v>512</v>
      </c>
      <c r="H19" s="126" t="s">
        <v>524</v>
      </c>
      <c r="I19" s="126" t="s">
        <v>530</v>
      </c>
      <c r="J19" s="126" t="s">
        <v>542</v>
      </c>
      <c r="K19" s="126" t="s">
        <v>579</v>
      </c>
      <c r="L19" s="124" t="b">
        <v>0</v>
      </c>
      <c r="M19" s="133" t="s">
        <v>580</v>
      </c>
    </row>
    <row r="20" ht="22.5" customHeight="1">
      <c r="A20" s="126">
        <v>2023.0</v>
      </c>
      <c r="B20" s="127">
        <v>45163.0</v>
      </c>
      <c r="C20" s="133" t="s">
        <v>581</v>
      </c>
      <c r="D20" s="133" t="s">
        <v>582</v>
      </c>
      <c r="E20" s="130">
        <v>34.0</v>
      </c>
      <c r="F20" s="155" t="s">
        <v>511</v>
      </c>
      <c r="G20" s="132" t="s">
        <v>512</v>
      </c>
      <c r="H20" s="157" t="s">
        <v>513</v>
      </c>
      <c r="I20" s="157" t="s">
        <v>514</v>
      </c>
      <c r="J20" s="157" t="s">
        <v>536</v>
      </c>
      <c r="K20" s="156"/>
      <c r="L20" s="124" t="b">
        <v>0</v>
      </c>
      <c r="M20" s="158"/>
    </row>
    <row r="21" ht="22.5" customHeight="1">
      <c r="A21" s="126">
        <v>2020.0</v>
      </c>
      <c r="B21" s="127">
        <v>45163.0</v>
      </c>
      <c r="C21" s="154" t="s">
        <v>583</v>
      </c>
      <c r="D21" s="154" t="s">
        <v>584</v>
      </c>
      <c r="E21" s="130">
        <v>35.0</v>
      </c>
      <c r="F21" s="131" t="s">
        <v>511</v>
      </c>
      <c r="G21" s="132" t="s">
        <v>512</v>
      </c>
      <c r="H21" s="126" t="s">
        <v>518</v>
      </c>
      <c r="I21" s="126" t="s">
        <v>530</v>
      </c>
      <c r="J21" s="126" t="s">
        <v>585</v>
      </c>
      <c r="K21" s="126" t="s">
        <v>532</v>
      </c>
      <c r="L21" s="124" t="b">
        <v>0</v>
      </c>
      <c r="M21" s="133" t="s">
        <v>569</v>
      </c>
    </row>
    <row r="22" ht="22.5" customHeight="1">
      <c r="A22" s="126">
        <v>2022.0</v>
      </c>
      <c r="B22" s="127">
        <v>45163.0</v>
      </c>
      <c r="C22" s="129" t="s">
        <v>586</v>
      </c>
      <c r="D22" s="129" t="s">
        <v>587</v>
      </c>
      <c r="E22" s="130">
        <v>36.0</v>
      </c>
      <c r="F22" s="131" t="s">
        <v>511</v>
      </c>
      <c r="G22" s="132" t="s">
        <v>512</v>
      </c>
      <c r="H22" s="126" t="s">
        <v>518</v>
      </c>
      <c r="I22" s="126" t="s">
        <v>514</v>
      </c>
      <c r="J22" s="126" t="s">
        <v>548</v>
      </c>
      <c r="K22" s="126" t="s">
        <v>532</v>
      </c>
      <c r="L22" s="124" t="b">
        <v>0</v>
      </c>
      <c r="M22" s="133" t="s">
        <v>588</v>
      </c>
    </row>
    <row r="23" ht="22.5" customHeight="1">
      <c r="A23" s="126">
        <v>2023.0</v>
      </c>
      <c r="B23" s="127">
        <v>45163.0</v>
      </c>
      <c r="C23" s="129" t="s">
        <v>589</v>
      </c>
      <c r="D23" s="129" t="s">
        <v>590</v>
      </c>
      <c r="E23" s="130">
        <v>37.0</v>
      </c>
      <c r="F23" s="155" t="s">
        <v>511</v>
      </c>
      <c r="G23" s="132" t="s">
        <v>512</v>
      </c>
      <c r="H23" s="157" t="s">
        <v>529</v>
      </c>
      <c r="I23" s="157" t="s">
        <v>514</v>
      </c>
      <c r="J23" s="157" t="s">
        <v>591</v>
      </c>
      <c r="K23" s="157" t="s">
        <v>532</v>
      </c>
      <c r="L23" s="124" t="b">
        <v>0</v>
      </c>
      <c r="M23" s="158" t="s">
        <v>592</v>
      </c>
    </row>
    <row r="24" ht="22.5" customHeight="1">
      <c r="A24" s="115">
        <v>2023.0</v>
      </c>
      <c r="B24" s="116">
        <v>45163.0</v>
      </c>
      <c r="C24" s="117" t="s">
        <v>593</v>
      </c>
      <c r="D24" s="117" t="s">
        <v>594</v>
      </c>
      <c r="E24" s="119">
        <v>39.0</v>
      </c>
      <c r="F24" s="120" t="s">
        <v>511</v>
      </c>
      <c r="G24" s="121" t="s">
        <v>512</v>
      </c>
      <c r="H24" s="122"/>
      <c r="I24" s="122" t="s">
        <v>514</v>
      </c>
      <c r="J24" s="122" t="s">
        <v>595</v>
      </c>
      <c r="K24" s="123"/>
      <c r="L24" s="124" t="b">
        <v>0</v>
      </c>
      <c r="M24" s="125" t="s">
        <v>596</v>
      </c>
    </row>
    <row r="25" ht="22.5" customHeight="1">
      <c r="A25" s="115">
        <v>2023.0</v>
      </c>
      <c r="B25" s="116">
        <v>45163.0</v>
      </c>
      <c r="C25" s="119" t="s">
        <v>597</v>
      </c>
      <c r="D25" s="119" t="s">
        <v>598</v>
      </c>
      <c r="E25" s="119">
        <v>41.0</v>
      </c>
      <c r="F25" s="120" t="s">
        <v>511</v>
      </c>
      <c r="G25" s="121" t="s">
        <v>512</v>
      </c>
      <c r="H25" s="122" t="s">
        <v>529</v>
      </c>
      <c r="I25" s="122" t="s">
        <v>599</v>
      </c>
      <c r="J25" s="122" t="s">
        <v>600</v>
      </c>
      <c r="K25" s="123"/>
      <c r="L25" s="124" t="b">
        <v>0</v>
      </c>
      <c r="M25" s="125" t="s">
        <v>601</v>
      </c>
    </row>
    <row r="26" ht="22.5" customHeight="1">
      <c r="A26" s="126">
        <v>2023.0</v>
      </c>
      <c r="B26" s="127">
        <v>45163.0</v>
      </c>
      <c r="C26" s="159" t="s">
        <v>602</v>
      </c>
      <c r="D26" s="159" t="s">
        <v>603</v>
      </c>
      <c r="E26" s="130">
        <v>44.0</v>
      </c>
      <c r="F26" s="155" t="s">
        <v>511</v>
      </c>
      <c r="G26" s="132" t="s">
        <v>512</v>
      </c>
      <c r="H26" s="157" t="s">
        <v>524</v>
      </c>
      <c r="I26" s="157" t="s">
        <v>604</v>
      </c>
      <c r="J26" s="157" t="s">
        <v>568</v>
      </c>
      <c r="K26" s="157" t="s">
        <v>579</v>
      </c>
      <c r="L26" s="124" t="b">
        <v>0</v>
      </c>
      <c r="M26" s="158" t="s">
        <v>605</v>
      </c>
    </row>
    <row r="27" ht="22.5" customHeight="1">
      <c r="A27" s="126">
        <v>2022.0</v>
      </c>
      <c r="B27" s="127">
        <v>45163.0</v>
      </c>
      <c r="C27" s="129" t="s">
        <v>606</v>
      </c>
      <c r="D27" s="129" t="s">
        <v>607</v>
      </c>
      <c r="E27" s="130">
        <v>46.0</v>
      </c>
      <c r="F27" s="131" t="s">
        <v>511</v>
      </c>
      <c r="G27" s="132" t="s">
        <v>512</v>
      </c>
      <c r="H27" s="126" t="s">
        <v>513</v>
      </c>
      <c r="I27" s="126" t="s">
        <v>530</v>
      </c>
      <c r="J27" s="126" t="s">
        <v>608</v>
      </c>
      <c r="K27" s="126" t="s">
        <v>532</v>
      </c>
      <c r="L27" s="124" t="b">
        <v>0</v>
      </c>
      <c r="M27" s="133" t="s">
        <v>609</v>
      </c>
    </row>
    <row r="28" ht="22.5" customHeight="1">
      <c r="A28" s="126">
        <v>2020.0</v>
      </c>
      <c r="B28" s="127">
        <v>45166.0</v>
      </c>
      <c r="C28" s="133" t="s">
        <v>610</v>
      </c>
      <c r="D28" s="133" t="s">
        <v>611</v>
      </c>
      <c r="E28" s="130">
        <v>47.0</v>
      </c>
      <c r="F28" s="131" t="s">
        <v>511</v>
      </c>
      <c r="G28" s="132" t="s">
        <v>512</v>
      </c>
      <c r="H28" s="126" t="s">
        <v>513</v>
      </c>
      <c r="I28" s="126" t="s">
        <v>514</v>
      </c>
      <c r="J28" s="126" t="s">
        <v>536</v>
      </c>
      <c r="K28" s="126" t="s">
        <v>579</v>
      </c>
      <c r="L28" s="124" t="b">
        <v>0</v>
      </c>
      <c r="M28" s="133" t="s">
        <v>612</v>
      </c>
    </row>
    <row r="29" ht="22.5" customHeight="1">
      <c r="A29" s="115">
        <v>2023.0</v>
      </c>
      <c r="B29" s="116">
        <v>45163.0</v>
      </c>
      <c r="C29" s="117" t="s">
        <v>613</v>
      </c>
      <c r="D29" s="118" t="s">
        <v>614</v>
      </c>
      <c r="E29" s="119">
        <v>50.0</v>
      </c>
      <c r="F29" s="120" t="s">
        <v>511</v>
      </c>
      <c r="G29" s="121" t="s">
        <v>512</v>
      </c>
      <c r="H29" s="122" t="s">
        <v>529</v>
      </c>
      <c r="I29" s="122" t="s">
        <v>514</v>
      </c>
      <c r="J29" s="122" t="s">
        <v>536</v>
      </c>
      <c r="K29" s="123"/>
      <c r="L29" s="124" t="b">
        <v>0</v>
      </c>
      <c r="M29" s="125" t="s">
        <v>615</v>
      </c>
    </row>
    <row r="30" ht="22.5" customHeight="1">
      <c r="A30" s="126">
        <v>2022.0</v>
      </c>
      <c r="B30" s="127">
        <v>45163.0</v>
      </c>
      <c r="C30" s="154" t="s">
        <v>616</v>
      </c>
      <c r="D30" s="154" t="s">
        <v>617</v>
      </c>
      <c r="E30" s="133">
        <v>52.0</v>
      </c>
      <c r="F30" s="131" t="s">
        <v>511</v>
      </c>
      <c r="G30" s="132" t="s">
        <v>512</v>
      </c>
      <c r="H30" s="126" t="s">
        <v>524</v>
      </c>
      <c r="I30" s="126" t="s">
        <v>514</v>
      </c>
      <c r="J30" s="126" t="s">
        <v>618</v>
      </c>
      <c r="K30" s="126" t="s">
        <v>525</v>
      </c>
      <c r="L30" s="124" t="b">
        <v>0</v>
      </c>
      <c r="M30" s="133" t="s">
        <v>619</v>
      </c>
    </row>
    <row r="31" ht="22.5" customHeight="1">
      <c r="A31" s="126">
        <v>2022.0</v>
      </c>
      <c r="B31" s="160">
        <v>45163.0</v>
      </c>
      <c r="C31" s="126" t="s">
        <v>620</v>
      </c>
      <c r="D31" s="126" t="s">
        <v>621</v>
      </c>
      <c r="E31" s="126">
        <v>53.0</v>
      </c>
      <c r="F31" s="131" t="s">
        <v>511</v>
      </c>
      <c r="G31" s="132" t="s">
        <v>512</v>
      </c>
      <c r="H31" s="126" t="s">
        <v>529</v>
      </c>
      <c r="I31" s="126" t="s">
        <v>530</v>
      </c>
      <c r="J31" s="126" t="s">
        <v>568</v>
      </c>
      <c r="K31" s="126" t="s">
        <v>525</v>
      </c>
      <c r="L31" s="124" t="b">
        <v>0</v>
      </c>
      <c r="M31" s="133" t="s">
        <v>549</v>
      </c>
    </row>
    <row r="32" ht="22.5" customHeight="1">
      <c r="A32" s="126">
        <v>2022.0</v>
      </c>
      <c r="B32" s="127">
        <v>45163.0</v>
      </c>
      <c r="C32" s="129" t="s">
        <v>622</v>
      </c>
      <c r="D32" s="129" t="s">
        <v>623</v>
      </c>
      <c r="E32" s="133">
        <v>54.0</v>
      </c>
      <c r="F32" s="131" t="s">
        <v>511</v>
      </c>
      <c r="G32" s="132" t="s">
        <v>512</v>
      </c>
      <c r="H32" s="126" t="s">
        <v>529</v>
      </c>
      <c r="I32" s="126" t="s">
        <v>530</v>
      </c>
      <c r="J32" s="126" t="s">
        <v>568</v>
      </c>
      <c r="K32" s="126" t="s">
        <v>525</v>
      </c>
      <c r="L32" s="124" t="b">
        <v>0</v>
      </c>
      <c r="M32" s="133" t="s">
        <v>624</v>
      </c>
    </row>
    <row r="33" ht="22.5" customHeight="1">
      <c r="A33" s="115">
        <v>2023.0</v>
      </c>
      <c r="B33" s="116">
        <v>45163.0</v>
      </c>
      <c r="C33" s="134" t="s">
        <v>625</v>
      </c>
      <c r="D33" s="134" t="s">
        <v>626</v>
      </c>
      <c r="E33" s="119">
        <v>55.0</v>
      </c>
      <c r="F33" s="120" t="s">
        <v>511</v>
      </c>
      <c r="G33" s="121" t="s">
        <v>512</v>
      </c>
      <c r="H33" s="122" t="s">
        <v>529</v>
      </c>
      <c r="I33" s="122" t="s">
        <v>530</v>
      </c>
      <c r="J33" s="122" t="s">
        <v>568</v>
      </c>
      <c r="K33" s="122" t="s">
        <v>532</v>
      </c>
      <c r="L33" s="124" t="b">
        <v>0</v>
      </c>
      <c r="M33" s="125" t="s">
        <v>627</v>
      </c>
    </row>
    <row r="34" ht="22.5" customHeight="1">
      <c r="A34" s="126">
        <v>2021.0</v>
      </c>
      <c r="B34" s="127">
        <v>45163.0</v>
      </c>
      <c r="C34" s="129" t="s">
        <v>628</v>
      </c>
      <c r="D34" s="129" t="s">
        <v>629</v>
      </c>
      <c r="E34" s="130">
        <v>56.0</v>
      </c>
      <c r="F34" s="131" t="s">
        <v>511</v>
      </c>
      <c r="G34" s="132" t="s">
        <v>512</v>
      </c>
      <c r="H34" s="126" t="s">
        <v>518</v>
      </c>
      <c r="I34" s="126" t="s">
        <v>530</v>
      </c>
      <c r="J34" s="126" t="s">
        <v>542</v>
      </c>
      <c r="K34" s="126" t="s">
        <v>532</v>
      </c>
      <c r="L34" s="124" t="b">
        <v>0</v>
      </c>
      <c r="M34" s="133" t="s">
        <v>630</v>
      </c>
    </row>
    <row r="35" ht="22.5" customHeight="1">
      <c r="A35" s="126">
        <v>2023.0</v>
      </c>
      <c r="B35" s="127">
        <v>45163.0</v>
      </c>
      <c r="C35" s="130" t="s">
        <v>631</v>
      </c>
      <c r="D35" s="130" t="s">
        <v>632</v>
      </c>
      <c r="E35" s="130">
        <v>57.0</v>
      </c>
      <c r="F35" s="155" t="s">
        <v>511</v>
      </c>
      <c r="G35" s="132" t="s">
        <v>512</v>
      </c>
      <c r="H35" s="157" t="s">
        <v>529</v>
      </c>
      <c r="I35" s="157" t="s">
        <v>514</v>
      </c>
      <c r="J35" s="157" t="s">
        <v>633</v>
      </c>
      <c r="K35" s="156"/>
      <c r="L35" s="124" t="b">
        <v>0</v>
      </c>
      <c r="M35" s="158"/>
    </row>
    <row r="36" ht="22.5" customHeight="1">
      <c r="A36" s="126">
        <v>2022.0</v>
      </c>
      <c r="B36" s="160">
        <v>45166.0</v>
      </c>
      <c r="C36" s="154" t="s">
        <v>634</v>
      </c>
      <c r="D36" s="154" t="s">
        <v>635</v>
      </c>
      <c r="E36" s="161"/>
      <c r="F36" s="131" t="s">
        <v>511</v>
      </c>
      <c r="G36" s="132" t="s">
        <v>180</v>
      </c>
      <c r="H36" s="126" t="s">
        <v>513</v>
      </c>
      <c r="I36" s="126" t="s">
        <v>519</v>
      </c>
      <c r="J36" s="126" t="s">
        <v>561</v>
      </c>
      <c r="K36" s="126" t="s">
        <v>525</v>
      </c>
      <c r="L36" s="124" t="b">
        <v>0</v>
      </c>
      <c r="M36" s="133" t="s">
        <v>636</v>
      </c>
    </row>
    <row r="37" ht="22.5" customHeight="1">
      <c r="A37" s="126">
        <v>2020.0</v>
      </c>
      <c r="B37" s="127">
        <v>45176.0</v>
      </c>
      <c r="C37" s="162" t="s">
        <v>637</v>
      </c>
      <c r="D37" s="162" t="s">
        <v>638</v>
      </c>
      <c r="E37" s="133"/>
      <c r="F37" s="131" t="s">
        <v>511</v>
      </c>
      <c r="G37" s="132" t="s">
        <v>180</v>
      </c>
      <c r="H37" s="126" t="s">
        <v>513</v>
      </c>
      <c r="I37" s="126" t="s">
        <v>514</v>
      </c>
      <c r="J37" s="126" t="s">
        <v>639</v>
      </c>
      <c r="K37" s="126" t="s">
        <v>579</v>
      </c>
      <c r="L37" s="124" t="b">
        <v>0</v>
      </c>
      <c r="M37" s="133" t="s">
        <v>640</v>
      </c>
    </row>
    <row r="38" ht="22.5" customHeight="1">
      <c r="A38" s="126">
        <v>2020.0</v>
      </c>
      <c r="B38" s="127">
        <v>45168.0</v>
      </c>
      <c r="C38" s="133" t="s">
        <v>641</v>
      </c>
      <c r="D38" s="133" t="s">
        <v>642</v>
      </c>
      <c r="E38" s="163"/>
      <c r="F38" s="131" t="s">
        <v>511</v>
      </c>
      <c r="G38" s="132" t="s">
        <v>512</v>
      </c>
      <c r="H38" s="126" t="s">
        <v>513</v>
      </c>
      <c r="I38" s="126" t="s">
        <v>519</v>
      </c>
      <c r="J38" s="126" t="s">
        <v>643</v>
      </c>
      <c r="K38" s="126" t="s">
        <v>532</v>
      </c>
      <c r="L38" s="124" t="b">
        <v>0</v>
      </c>
      <c r="M38" s="133" t="s">
        <v>644</v>
      </c>
    </row>
    <row r="39" ht="22.5" customHeight="1">
      <c r="A39" s="126">
        <v>2020.0</v>
      </c>
      <c r="B39" s="127">
        <v>45176.0</v>
      </c>
      <c r="C39" s="133" t="s">
        <v>645</v>
      </c>
      <c r="D39" s="133" t="s">
        <v>646</v>
      </c>
      <c r="E39" s="164"/>
      <c r="F39" s="131" t="s">
        <v>511</v>
      </c>
      <c r="G39" s="132" t="s">
        <v>180</v>
      </c>
      <c r="H39" s="126" t="s">
        <v>518</v>
      </c>
      <c r="I39" s="126" t="s">
        <v>514</v>
      </c>
      <c r="J39" s="126" t="s">
        <v>643</v>
      </c>
      <c r="K39" s="126" t="s">
        <v>532</v>
      </c>
      <c r="L39" s="124" t="b">
        <v>0</v>
      </c>
      <c r="M39" s="133" t="s">
        <v>569</v>
      </c>
    </row>
    <row r="40" ht="22.5" customHeight="1">
      <c r="A40" s="126">
        <v>2022.0</v>
      </c>
      <c r="B40" s="127">
        <v>45163.0</v>
      </c>
      <c r="C40" s="128" t="s">
        <v>647</v>
      </c>
      <c r="D40" s="129" t="s">
        <v>648</v>
      </c>
      <c r="E40" s="164"/>
      <c r="F40" s="131" t="s">
        <v>511</v>
      </c>
      <c r="G40" s="132" t="s">
        <v>512</v>
      </c>
      <c r="H40" s="126" t="s">
        <v>513</v>
      </c>
      <c r="I40" s="126" t="s">
        <v>514</v>
      </c>
      <c r="J40" s="126" t="s">
        <v>649</v>
      </c>
      <c r="K40" s="126" t="s">
        <v>532</v>
      </c>
      <c r="L40" s="124" t="b">
        <v>0</v>
      </c>
      <c r="M40" s="133" t="s">
        <v>650</v>
      </c>
    </row>
    <row r="41" ht="22.5" customHeight="1">
      <c r="A41" s="126">
        <v>2022.0</v>
      </c>
      <c r="B41" s="165">
        <v>45326.0</v>
      </c>
      <c r="C41" s="133" t="s">
        <v>651</v>
      </c>
      <c r="D41" s="133" t="s">
        <v>652</v>
      </c>
      <c r="E41" s="133"/>
      <c r="F41" s="131" t="s">
        <v>511</v>
      </c>
      <c r="G41" s="132" t="s">
        <v>512</v>
      </c>
      <c r="H41" s="126" t="s">
        <v>513</v>
      </c>
      <c r="I41" s="126" t="s">
        <v>519</v>
      </c>
      <c r="J41" s="126" t="s">
        <v>649</v>
      </c>
      <c r="K41" s="126" t="s">
        <v>579</v>
      </c>
      <c r="L41" s="124" t="b">
        <v>0</v>
      </c>
      <c r="M41" s="133" t="s">
        <v>653</v>
      </c>
    </row>
    <row r="42" ht="22.5" customHeight="1">
      <c r="A42" s="126">
        <v>2020.0</v>
      </c>
      <c r="B42" s="166"/>
      <c r="C42" s="167"/>
      <c r="D42" s="167"/>
      <c r="E42" s="167"/>
      <c r="F42" s="131" t="s">
        <v>511</v>
      </c>
      <c r="G42" s="132" t="s">
        <v>512</v>
      </c>
      <c r="H42" s="126" t="s">
        <v>513</v>
      </c>
      <c r="I42" s="126" t="s">
        <v>519</v>
      </c>
      <c r="J42" s="126" t="s">
        <v>649</v>
      </c>
      <c r="K42" s="126" t="s">
        <v>532</v>
      </c>
      <c r="L42" s="124" t="b">
        <v>0</v>
      </c>
      <c r="M42" s="133" t="s">
        <v>654</v>
      </c>
    </row>
    <row r="43" ht="22.5" customHeight="1">
      <c r="A43" s="126">
        <v>2020.0</v>
      </c>
      <c r="B43" s="127">
        <v>45163.0</v>
      </c>
      <c r="C43" s="129" t="s">
        <v>655</v>
      </c>
      <c r="D43" s="129" t="s">
        <v>656</v>
      </c>
      <c r="E43" s="133"/>
      <c r="F43" s="131" t="s">
        <v>511</v>
      </c>
      <c r="G43" s="132" t="s">
        <v>512</v>
      </c>
      <c r="H43" s="126" t="s">
        <v>513</v>
      </c>
      <c r="I43" s="126" t="s">
        <v>519</v>
      </c>
      <c r="J43" s="126" t="s">
        <v>649</v>
      </c>
      <c r="K43" s="126" t="s">
        <v>532</v>
      </c>
      <c r="L43" s="124" t="b">
        <v>0</v>
      </c>
      <c r="M43" s="133" t="s">
        <v>657</v>
      </c>
    </row>
    <row r="44" ht="22.5" customHeight="1">
      <c r="A44" s="126">
        <v>2020.0</v>
      </c>
      <c r="B44" s="127">
        <v>45163.0</v>
      </c>
      <c r="C44" s="129" t="s">
        <v>658</v>
      </c>
      <c r="D44" s="129" t="s">
        <v>659</v>
      </c>
      <c r="E44" s="164"/>
      <c r="F44" s="131" t="s">
        <v>511</v>
      </c>
      <c r="G44" s="132" t="s">
        <v>512</v>
      </c>
      <c r="H44" s="126" t="s">
        <v>524</v>
      </c>
      <c r="I44" s="126" t="s">
        <v>514</v>
      </c>
      <c r="J44" s="126" t="s">
        <v>649</v>
      </c>
      <c r="K44" s="126" t="s">
        <v>532</v>
      </c>
      <c r="L44" s="124" t="b">
        <v>0</v>
      </c>
      <c r="M44" s="133" t="s">
        <v>660</v>
      </c>
    </row>
    <row r="45" ht="22.5" customHeight="1">
      <c r="A45" s="126">
        <v>2021.0</v>
      </c>
      <c r="B45" s="127">
        <v>45166.0</v>
      </c>
      <c r="C45" s="130" t="s">
        <v>661</v>
      </c>
      <c r="D45" s="130" t="s">
        <v>662</v>
      </c>
      <c r="E45" s="164"/>
      <c r="F45" s="131" t="s">
        <v>511</v>
      </c>
      <c r="G45" s="132" t="s">
        <v>512</v>
      </c>
      <c r="H45" s="126" t="s">
        <v>518</v>
      </c>
      <c r="I45" s="126" t="s">
        <v>514</v>
      </c>
      <c r="J45" s="126" t="s">
        <v>663</v>
      </c>
      <c r="K45" s="126" t="s">
        <v>532</v>
      </c>
      <c r="L45" s="124" t="b">
        <v>0</v>
      </c>
      <c r="M45" s="133" t="s">
        <v>664</v>
      </c>
    </row>
    <row r="46" ht="22.5" customHeight="1">
      <c r="A46" s="126">
        <v>2020.0</v>
      </c>
      <c r="B46" s="127">
        <v>45168.0</v>
      </c>
      <c r="C46" s="133" t="s">
        <v>665</v>
      </c>
      <c r="D46" s="133" t="s">
        <v>666</v>
      </c>
      <c r="E46" s="126"/>
      <c r="F46" s="131" t="s">
        <v>511</v>
      </c>
      <c r="G46" s="132" t="s">
        <v>512</v>
      </c>
      <c r="H46" s="126" t="s">
        <v>513</v>
      </c>
      <c r="I46" s="126" t="s">
        <v>519</v>
      </c>
      <c r="J46" s="126" t="s">
        <v>663</v>
      </c>
      <c r="K46" s="126" t="s">
        <v>579</v>
      </c>
      <c r="L46" s="124" t="b">
        <v>0</v>
      </c>
      <c r="M46" s="133" t="s">
        <v>667</v>
      </c>
    </row>
    <row r="47" ht="22.5" customHeight="1">
      <c r="A47" s="126">
        <v>2021.0</v>
      </c>
      <c r="B47" s="127">
        <v>45168.0</v>
      </c>
      <c r="C47" s="133" t="s">
        <v>668</v>
      </c>
      <c r="D47" s="133" t="s">
        <v>669</v>
      </c>
      <c r="E47" s="164"/>
      <c r="F47" s="131" t="s">
        <v>511</v>
      </c>
      <c r="G47" s="132" t="s">
        <v>512</v>
      </c>
      <c r="H47" s="126" t="s">
        <v>513</v>
      </c>
      <c r="I47" s="126" t="s">
        <v>519</v>
      </c>
      <c r="J47" s="126" t="s">
        <v>663</v>
      </c>
      <c r="K47" s="126" t="s">
        <v>525</v>
      </c>
      <c r="L47" s="124" t="b">
        <v>0</v>
      </c>
      <c r="M47" s="133" t="s">
        <v>670</v>
      </c>
    </row>
    <row r="48" ht="22.5" customHeight="1">
      <c r="A48" s="126">
        <v>2020.0</v>
      </c>
      <c r="B48" s="127">
        <v>45168.0</v>
      </c>
      <c r="C48" s="133" t="s">
        <v>671</v>
      </c>
      <c r="D48" s="133" t="s">
        <v>672</v>
      </c>
      <c r="E48" s="164"/>
      <c r="F48" s="131" t="s">
        <v>511</v>
      </c>
      <c r="G48" s="132" t="s">
        <v>180</v>
      </c>
      <c r="H48" s="126" t="s">
        <v>513</v>
      </c>
      <c r="I48" s="126" t="s">
        <v>514</v>
      </c>
      <c r="J48" s="126" t="s">
        <v>595</v>
      </c>
      <c r="K48" s="126" t="s">
        <v>532</v>
      </c>
      <c r="L48" s="124" t="b">
        <v>0</v>
      </c>
      <c r="M48" s="133" t="s">
        <v>673</v>
      </c>
    </row>
    <row r="49" ht="22.5" customHeight="1">
      <c r="A49" s="126">
        <v>2022.0</v>
      </c>
      <c r="B49" s="127">
        <v>45168.0</v>
      </c>
      <c r="C49" s="128" t="s">
        <v>674</v>
      </c>
      <c r="D49" s="128" t="s">
        <v>675</v>
      </c>
      <c r="E49" s="164"/>
      <c r="F49" s="131" t="s">
        <v>511</v>
      </c>
      <c r="G49" s="132" t="s">
        <v>512</v>
      </c>
      <c r="H49" s="126" t="s">
        <v>513</v>
      </c>
      <c r="I49" s="126" t="s">
        <v>514</v>
      </c>
      <c r="J49" s="126" t="s">
        <v>595</v>
      </c>
      <c r="K49" s="126" t="s">
        <v>579</v>
      </c>
      <c r="L49" s="124" t="b">
        <v>0</v>
      </c>
      <c r="M49" s="133" t="s">
        <v>676</v>
      </c>
    </row>
    <row r="50" ht="22.5" customHeight="1">
      <c r="A50" s="126">
        <v>2020.0</v>
      </c>
      <c r="B50" s="127">
        <v>45166.0</v>
      </c>
      <c r="C50" s="128" t="s">
        <v>677</v>
      </c>
      <c r="D50" s="128" t="s">
        <v>678</v>
      </c>
      <c r="E50" s="133"/>
      <c r="F50" s="131" t="s">
        <v>511</v>
      </c>
      <c r="G50" s="132" t="s">
        <v>180</v>
      </c>
      <c r="H50" s="126" t="s">
        <v>513</v>
      </c>
      <c r="I50" s="126" t="s">
        <v>514</v>
      </c>
      <c r="J50" s="126" t="s">
        <v>595</v>
      </c>
      <c r="K50" s="126" t="s">
        <v>532</v>
      </c>
      <c r="L50" s="124" t="b">
        <v>0</v>
      </c>
      <c r="M50" s="133" t="s">
        <v>679</v>
      </c>
    </row>
    <row r="51" ht="22.5" customHeight="1">
      <c r="A51" s="126">
        <v>2020.0</v>
      </c>
      <c r="B51" s="127">
        <v>45166.0</v>
      </c>
      <c r="C51" s="133" t="s">
        <v>680</v>
      </c>
      <c r="D51" s="133" t="s">
        <v>681</v>
      </c>
      <c r="E51" s="164"/>
      <c r="F51" s="131" t="s">
        <v>511</v>
      </c>
      <c r="G51" s="132" t="s">
        <v>180</v>
      </c>
      <c r="H51" s="126" t="s">
        <v>513</v>
      </c>
      <c r="I51" s="126" t="s">
        <v>514</v>
      </c>
      <c r="J51" s="126" t="s">
        <v>595</v>
      </c>
      <c r="K51" s="126" t="s">
        <v>532</v>
      </c>
      <c r="L51" s="124" t="b">
        <v>0</v>
      </c>
      <c r="M51" s="133" t="s">
        <v>682</v>
      </c>
    </row>
    <row r="52" ht="22.5" customHeight="1">
      <c r="A52" s="126">
        <v>2023.0</v>
      </c>
      <c r="B52" s="127">
        <v>45168.0</v>
      </c>
      <c r="C52" s="130" t="s">
        <v>683</v>
      </c>
      <c r="D52" s="133" t="s">
        <v>684</v>
      </c>
      <c r="E52" s="164"/>
      <c r="F52" s="131" t="s">
        <v>511</v>
      </c>
      <c r="G52" s="132" t="s">
        <v>512</v>
      </c>
      <c r="H52" s="126" t="s">
        <v>513</v>
      </c>
      <c r="I52" s="126" t="s">
        <v>519</v>
      </c>
      <c r="J52" s="126" t="s">
        <v>685</v>
      </c>
      <c r="K52" s="126" t="s">
        <v>532</v>
      </c>
      <c r="L52" s="124" t="b">
        <v>1</v>
      </c>
      <c r="M52" s="133" t="s">
        <v>686</v>
      </c>
    </row>
    <row r="53" ht="22.5" customHeight="1">
      <c r="A53" s="126">
        <v>2022.0</v>
      </c>
      <c r="B53" s="127">
        <v>45163.0</v>
      </c>
      <c r="C53" s="128" t="s">
        <v>687</v>
      </c>
      <c r="D53" s="129" t="s">
        <v>688</v>
      </c>
      <c r="E53" s="167"/>
      <c r="F53" s="131" t="s">
        <v>511</v>
      </c>
      <c r="G53" s="132" t="s">
        <v>512</v>
      </c>
      <c r="H53" s="126" t="s">
        <v>513</v>
      </c>
      <c r="I53" s="126" t="s">
        <v>530</v>
      </c>
      <c r="J53" s="126" t="s">
        <v>542</v>
      </c>
      <c r="K53" s="126" t="s">
        <v>579</v>
      </c>
      <c r="L53" s="124" t="b">
        <v>0</v>
      </c>
      <c r="M53" s="133" t="s">
        <v>689</v>
      </c>
    </row>
    <row r="54" ht="22.5" customHeight="1">
      <c r="A54" s="126">
        <v>2020.0</v>
      </c>
      <c r="B54" s="127">
        <v>45166.0</v>
      </c>
      <c r="C54" s="128" t="s">
        <v>690</v>
      </c>
      <c r="D54" s="128" t="s">
        <v>691</v>
      </c>
      <c r="E54" s="133"/>
      <c r="F54" s="131" t="s">
        <v>511</v>
      </c>
      <c r="G54" s="132" t="s">
        <v>512</v>
      </c>
      <c r="H54" s="126" t="s">
        <v>513</v>
      </c>
      <c r="I54" s="126" t="s">
        <v>519</v>
      </c>
      <c r="J54" s="126" t="s">
        <v>542</v>
      </c>
      <c r="K54" s="126" t="s">
        <v>579</v>
      </c>
      <c r="L54" s="124" t="b">
        <v>0</v>
      </c>
      <c r="M54" s="133" t="s">
        <v>692</v>
      </c>
    </row>
    <row r="55" ht="22.5" customHeight="1">
      <c r="A55" s="168">
        <v>2020.0</v>
      </c>
      <c r="B55" s="169"/>
      <c r="C55" s="168" t="s">
        <v>693</v>
      </c>
      <c r="D55" s="168" t="s">
        <v>693</v>
      </c>
      <c r="E55" s="168"/>
      <c r="F55" s="170" t="s">
        <v>511</v>
      </c>
      <c r="G55" s="171" t="s">
        <v>512</v>
      </c>
      <c r="H55" s="168" t="s">
        <v>513</v>
      </c>
      <c r="I55" s="168" t="s">
        <v>530</v>
      </c>
      <c r="J55" s="168" t="s">
        <v>542</v>
      </c>
      <c r="K55" s="168" t="s">
        <v>579</v>
      </c>
      <c r="L55" s="124" t="b">
        <v>0</v>
      </c>
      <c r="M55" s="172" t="s">
        <v>694</v>
      </c>
    </row>
    <row r="56" ht="22.5" customHeight="1">
      <c r="A56" s="126">
        <v>2022.0</v>
      </c>
      <c r="B56" s="127">
        <v>45166.0</v>
      </c>
      <c r="C56" s="130" t="s">
        <v>695</v>
      </c>
      <c r="D56" s="130" t="s">
        <v>696</v>
      </c>
      <c r="E56" s="164"/>
      <c r="F56" s="131" t="s">
        <v>511</v>
      </c>
      <c r="G56" s="132" t="s">
        <v>512</v>
      </c>
      <c r="H56" s="126" t="s">
        <v>524</v>
      </c>
      <c r="I56" s="126" t="s">
        <v>514</v>
      </c>
      <c r="J56" s="126" t="s">
        <v>542</v>
      </c>
      <c r="K56" s="126" t="s">
        <v>579</v>
      </c>
      <c r="L56" s="124" t="b">
        <v>0</v>
      </c>
      <c r="M56" s="133" t="s">
        <v>697</v>
      </c>
    </row>
    <row r="57" ht="22.5" customHeight="1">
      <c r="A57" s="126">
        <v>2022.0</v>
      </c>
      <c r="B57" s="127">
        <v>45163.0</v>
      </c>
      <c r="C57" s="129" t="s">
        <v>698</v>
      </c>
      <c r="D57" s="129" t="s">
        <v>699</v>
      </c>
      <c r="E57" s="164"/>
      <c r="F57" s="131" t="s">
        <v>511</v>
      </c>
      <c r="G57" s="132" t="s">
        <v>512</v>
      </c>
      <c r="H57" s="126" t="s">
        <v>513</v>
      </c>
      <c r="I57" s="126" t="s">
        <v>519</v>
      </c>
      <c r="J57" s="126" t="s">
        <v>542</v>
      </c>
      <c r="K57" s="126" t="s">
        <v>532</v>
      </c>
      <c r="L57" s="124" t="b">
        <v>0</v>
      </c>
      <c r="M57" s="133" t="s">
        <v>700</v>
      </c>
    </row>
    <row r="58" ht="22.5" customHeight="1">
      <c r="A58" s="126">
        <v>2022.0</v>
      </c>
      <c r="B58" s="127">
        <v>45168.0</v>
      </c>
      <c r="C58" s="133" t="s">
        <v>701</v>
      </c>
      <c r="D58" s="133" t="s">
        <v>702</v>
      </c>
      <c r="E58" s="167"/>
      <c r="F58" s="131" t="s">
        <v>511</v>
      </c>
      <c r="G58" s="132" t="s">
        <v>512</v>
      </c>
      <c r="H58" s="126" t="s">
        <v>513</v>
      </c>
      <c r="I58" s="126" t="s">
        <v>519</v>
      </c>
      <c r="J58" s="126" t="s">
        <v>542</v>
      </c>
      <c r="K58" s="126" t="s">
        <v>579</v>
      </c>
      <c r="L58" s="124" t="b">
        <v>0</v>
      </c>
      <c r="M58" s="133" t="s">
        <v>703</v>
      </c>
    </row>
    <row r="59" ht="22.5" customHeight="1">
      <c r="A59" s="126">
        <v>2020.0</v>
      </c>
      <c r="B59" s="127">
        <v>45168.0</v>
      </c>
      <c r="C59" s="133" t="s">
        <v>704</v>
      </c>
      <c r="D59" s="133" t="s">
        <v>705</v>
      </c>
      <c r="E59" s="164"/>
      <c r="F59" s="131" t="s">
        <v>511</v>
      </c>
      <c r="G59" s="132" t="s">
        <v>512</v>
      </c>
      <c r="H59" s="126" t="s">
        <v>513</v>
      </c>
      <c r="I59" s="126" t="s">
        <v>519</v>
      </c>
      <c r="J59" s="126" t="s">
        <v>542</v>
      </c>
      <c r="K59" s="126" t="s">
        <v>532</v>
      </c>
      <c r="L59" s="124" t="b">
        <v>0</v>
      </c>
      <c r="M59" s="133" t="s">
        <v>706</v>
      </c>
    </row>
    <row r="60" ht="22.5" customHeight="1">
      <c r="A60" s="126">
        <v>2020.0</v>
      </c>
      <c r="B60" s="127"/>
      <c r="C60" s="133"/>
      <c r="D60" s="133"/>
      <c r="E60" s="133"/>
      <c r="F60" s="131" t="s">
        <v>511</v>
      </c>
      <c r="G60" s="132" t="s">
        <v>512</v>
      </c>
      <c r="H60" s="126" t="s">
        <v>513</v>
      </c>
      <c r="I60" s="126" t="s">
        <v>519</v>
      </c>
      <c r="J60" s="126" t="s">
        <v>542</v>
      </c>
      <c r="K60" s="126" t="s">
        <v>532</v>
      </c>
      <c r="L60" s="124" t="b">
        <v>0</v>
      </c>
      <c r="M60" s="133" t="s">
        <v>707</v>
      </c>
    </row>
    <row r="61" ht="22.5" customHeight="1">
      <c r="A61" s="126">
        <v>2022.0</v>
      </c>
      <c r="B61" s="127">
        <v>45168.0</v>
      </c>
      <c r="C61" s="133" t="s">
        <v>708</v>
      </c>
      <c r="D61" s="133" t="s">
        <v>709</v>
      </c>
      <c r="E61" s="133"/>
      <c r="F61" s="131" t="s">
        <v>511</v>
      </c>
      <c r="G61" s="132" t="s">
        <v>512</v>
      </c>
      <c r="H61" s="126" t="s">
        <v>513</v>
      </c>
      <c r="I61" s="126" t="s">
        <v>519</v>
      </c>
      <c r="J61" s="126" t="s">
        <v>542</v>
      </c>
      <c r="K61" s="126" t="s">
        <v>532</v>
      </c>
      <c r="L61" s="124" t="b">
        <v>0</v>
      </c>
      <c r="M61" s="133" t="s">
        <v>710</v>
      </c>
    </row>
    <row r="62" ht="22.5" customHeight="1">
      <c r="A62" s="126">
        <v>2022.0</v>
      </c>
      <c r="B62" s="127">
        <v>45163.0</v>
      </c>
      <c r="C62" s="129" t="s">
        <v>711</v>
      </c>
      <c r="D62" s="129" t="s">
        <v>712</v>
      </c>
      <c r="E62" s="133"/>
      <c r="F62" s="131" t="s">
        <v>511</v>
      </c>
      <c r="G62" s="132" t="s">
        <v>512</v>
      </c>
      <c r="H62" s="126" t="s">
        <v>518</v>
      </c>
      <c r="I62" s="126" t="s">
        <v>514</v>
      </c>
      <c r="J62" s="126" t="s">
        <v>591</v>
      </c>
      <c r="K62" s="126" t="s">
        <v>532</v>
      </c>
      <c r="L62" s="124" t="b">
        <v>0</v>
      </c>
      <c r="M62" s="133" t="s">
        <v>713</v>
      </c>
    </row>
    <row r="63" ht="22.5" customHeight="1">
      <c r="A63" s="126">
        <v>2022.0</v>
      </c>
      <c r="B63" s="127"/>
      <c r="C63" s="164"/>
      <c r="D63" s="164"/>
      <c r="E63" s="164"/>
      <c r="F63" s="131" t="s">
        <v>511</v>
      </c>
      <c r="G63" s="132" t="s">
        <v>512</v>
      </c>
      <c r="H63" s="126" t="s">
        <v>524</v>
      </c>
      <c r="I63" s="126" t="s">
        <v>530</v>
      </c>
      <c r="J63" s="126" t="s">
        <v>591</v>
      </c>
      <c r="K63" s="126" t="s">
        <v>525</v>
      </c>
      <c r="L63" s="124" t="b">
        <v>0</v>
      </c>
      <c r="M63" s="133" t="s">
        <v>714</v>
      </c>
    </row>
    <row r="64" ht="22.5" customHeight="1">
      <c r="A64" s="126">
        <v>2022.0</v>
      </c>
      <c r="B64" s="127">
        <v>45197.0</v>
      </c>
      <c r="C64" s="133" t="s">
        <v>715</v>
      </c>
      <c r="D64" s="133" t="s">
        <v>716</v>
      </c>
      <c r="E64" s="164"/>
      <c r="F64" s="131" t="s">
        <v>511</v>
      </c>
      <c r="G64" s="132" t="s">
        <v>512</v>
      </c>
      <c r="H64" s="126" t="s">
        <v>513</v>
      </c>
      <c r="I64" s="126" t="s">
        <v>514</v>
      </c>
      <c r="J64" s="126" t="s">
        <v>591</v>
      </c>
      <c r="K64" s="126" t="s">
        <v>532</v>
      </c>
      <c r="L64" s="124" t="b">
        <v>0</v>
      </c>
      <c r="M64" s="133" t="s">
        <v>717</v>
      </c>
    </row>
    <row r="65" ht="22.5" customHeight="1">
      <c r="A65" s="126">
        <v>2022.0</v>
      </c>
      <c r="B65" s="127">
        <v>45163.0</v>
      </c>
      <c r="C65" s="129" t="s">
        <v>718</v>
      </c>
      <c r="D65" s="129" t="s">
        <v>719</v>
      </c>
      <c r="E65" s="164"/>
      <c r="F65" s="131" t="s">
        <v>511</v>
      </c>
      <c r="G65" s="132" t="s">
        <v>512</v>
      </c>
      <c r="H65" s="126" t="s">
        <v>513</v>
      </c>
      <c r="I65" s="126" t="s">
        <v>514</v>
      </c>
      <c r="J65" s="126" t="s">
        <v>591</v>
      </c>
      <c r="K65" s="126" t="s">
        <v>532</v>
      </c>
      <c r="L65" s="124" t="b">
        <v>0</v>
      </c>
      <c r="M65" s="133" t="s">
        <v>720</v>
      </c>
    </row>
    <row r="66" ht="22.5" customHeight="1">
      <c r="A66" s="126">
        <v>2022.0</v>
      </c>
      <c r="B66" s="127">
        <v>45168.0</v>
      </c>
      <c r="C66" s="133" t="s">
        <v>721</v>
      </c>
      <c r="D66" s="133" t="s">
        <v>722</v>
      </c>
      <c r="E66" s="164"/>
      <c r="F66" s="131" t="s">
        <v>511</v>
      </c>
      <c r="G66" s="132" t="s">
        <v>512</v>
      </c>
      <c r="H66" s="126" t="s">
        <v>513</v>
      </c>
      <c r="I66" s="126" t="s">
        <v>514</v>
      </c>
      <c r="J66" s="126" t="s">
        <v>591</v>
      </c>
      <c r="K66" s="126" t="s">
        <v>579</v>
      </c>
      <c r="L66" s="124" t="b">
        <v>0</v>
      </c>
      <c r="M66" s="133" t="s">
        <v>723</v>
      </c>
    </row>
    <row r="67" ht="22.5" customHeight="1">
      <c r="A67" s="126">
        <v>2022.0</v>
      </c>
      <c r="B67" s="145">
        <v>45163.0</v>
      </c>
      <c r="C67" s="152" t="s">
        <v>724</v>
      </c>
      <c r="D67" s="152" t="s">
        <v>725</v>
      </c>
      <c r="E67" s="133"/>
      <c r="F67" s="131" t="s">
        <v>511</v>
      </c>
      <c r="G67" s="132" t="s">
        <v>512</v>
      </c>
      <c r="H67" s="126" t="s">
        <v>518</v>
      </c>
      <c r="I67" s="126" t="s">
        <v>514</v>
      </c>
      <c r="J67" s="126" t="s">
        <v>726</v>
      </c>
      <c r="K67" s="126" t="s">
        <v>532</v>
      </c>
      <c r="L67" s="124" t="b">
        <v>0</v>
      </c>
      <c r="M67" s="133" t="s">
        <v>727</v>
      </c>
    </row>
    <row r="68" ht="22.5" customHeight="1">
      <c r="A68" s="126">
        <v>2022.0</v>
      </c>
      <c r="B68" s="127">
        <v>45163.0</v>
      </c>
      <c r="C68" s="133" t="s">
        <v>728</v>
      </c>
      <c r="D68" s="133" t="s">
        <v>729</v>
      </c>
      <c r="E68" s="164"/>
      <c r="F68" s="131" t="s">
        <v>511</v>
      </c>
      <c r="G68" s="132" t="s">
        <v>512</v>
      </c>
      <c r="H68" s="126" t="s">
        <v>518</v>
      </c>
      <c r="I68" s="126" t="s">
        <v>514</v>
      </c>
      <c r="J68" s="126" t="s">
        <v>726</v>
      </c>
      <c r="K68" s="126" t="s">
        <v>525</v>
      </c>
      <c r="L68" s="124" t="b">
        <v>0</v>
      </c>
      <c r="M68" s="133" t="s">
        <v>730</v>
      </c>
    </row>
    <row r="69" ht="22.5" customHeight="1">
      <c r="A69" s="126">
        <v>2020.0</v>
      </c>
      <c r="B69" s="127">
        <v>45163.0</v>
      </c>
      <c r="C69" s="129" t="s">
        <v>731</v>
      </c>
      <c r="D69" s="129" t="s">
        <v>732</v>
      </c>
      <c r="E69" s="164"/>
      <c r="F69" s="131" t="s">
        <v>511</v>
      </c>
      <c r="G69" s="132" t="s">
        <v>512</v>
      </c>
      <c r="H69" s="126" t="s">
        <v>518</v>
      </c>
      <c r="I69" s="126" t="s">
        <v>514</v>
      </c>
      <c r="J69" s="126" t="s">
        <v>726</v>
      </c>
      <c r="K69" s="126" t="s">
        <v>532</v>
      </c>
      <c r="L69" s="124" t="b">
        <v>0</v>
      </c>
      <c r="M69" s="133" t="s">
        <v>733</v>
      </c>
    </row>
    <row r="70" ht="22.5" customHeight="1">
      <c r="A70" s="126">
        <v>2022.0</v>
      </c>
      <c r="B70" s="127">
        <v>45163.0</v>
      </c>
      <c r="C70" s="129" t="s">
        <v>734</v>
      </c>
      <c r="D70" s="129" t="s">
        <v>735</v>
      </c>
      <c r="E70" s="164"/>
      <c r="F70" s="131" t="s">
        <v>511</v>
      </c>
      <c r="G70" s="132" t="s">
        <v>512</v>
      </c>
      <c r="H70" s="126" t="s">
        <v>513</v>
      </c>
      <c r="I70" s="126" t="s">
        <v>514</v>
      </c>
      <c r="J70" s="126" t="s">
        <v>736</v>
      </c>
      <c r="K70" s="126" t="s">
        <v>532</v>
      </c>
      <c r="L70" s="124" t="b">
        <v>0</v>
      </c>
      <c r="M70" s="133" t="s">
        <v>737</v>
      </c>
    </row>
    <row r="71" ht="22.5" customHeight="1">
      <c r="A71" s="126">
        <v>2021.0</v>
      </c>
      <c r="B71" s="127">
        <v>45168.0</v>
      </c>
      <c r="C71" s="133" t="s">
        <v>738</v>
      </c>
      <c r="D71" s="133" t="s">
        <v>739</v>
      </c>
      <c r="E71" s="164"/>
      <c r="F71" s="131" t="s">
        <v>511</v>
      </c>
      <c r="G71" s="132" t="s">
        <v>512</v>
      </c>
      <c r="H71" s="126" t="s">
        <v>513</v>
      </c>
      <c r="I71" s="126" t="s">
        <v>740</v>
      </c>
      <c r="J71" s="126" t="s">
        <v>736</v>
      </c>
      <c r="K71" s="126" t="s">
        <v>579</v>
      </c>
      <c r="L71" s="124" t="b">
        <v>0</v>
      </c>
      <c r="M71" s="133" t="s">
        <v>741</v>
      </c>
    </row>
    <row r="72" ht="22.5" customHeight="1">
      <c r="A72" s="126">
        <v>2022.0</v>
      </c>
      <c r="B72" s="127">
        <v>45168.0</v>
      </c>
      <c r="C72" s="133" t="s">
        <v>742</v>
      </c>
      <c r="D72" s="133" t="s">
        <v>743</v>
      </c>
      <c r="E72" s="164"/>
      <c r="F72" s="155" t="s">
        <v>511</v>
      </c>
      <c r="G72" s="173" t="s">
        <v>512</v>
      </c>
      <c r="H72" s="126" t="s">
        <v>513</v>
      </c>
      <c r="I72" s="126" t="s">
        <v>514</v>
      </c>
      <c r="J72" s="126" t="s">
        <v>515</v>
      </c>
      <c r="K72" s="126" t="s">
        <v>532</v>
      </c>
      <c r="L72" s="124" t="b">
        <v>0</v>
      </c>
      <c r="M72" s="133" t="s">
        <v>744</v>
      </c>
    </row>
    <row r="73" ht="22.5" customHeight="1">
      <c r="A73" s="126">
        <v>2022.0</v>
      </c>
      <c r="B73" s="166"/>
      <c r="C73" s="163"/>
      <c r="D73" s="163"/>
      <c r="E73" s="163"/>
      <c r="F73" s="155" t="s">
        <v>511</v>
      </c>
      <c r="G73" s="173" t="s">
        <v>512</v>
      </c>
      <c r="H73" s="126" t="s">
        <v>524</v>
      </c>
      <c r="I73" s="126" t="s">
        <v>519</v>
      </c>
      <c r="J73" s="126" t="s">
        <v>515</v>
      </c>
      <c r="K73" s="126" t="s">
        <v>579</v>
      </c>
      <c r="L73" s="124" t="b">
        <v>0</v>
      </c>
      <c r="M73" s="133" t="s">
        <v>745</v>
      </c>
    </row>
    <row r="74" ht="22.5" customHeight="1">
      <c r="A74" s="126">
        <v>2020.0</v>
      </c>
      <c r="B74" s="127">
        <v>45166.0</v>
      </c>
      <c r="C74" s="133" t="s">
        <v>746</v>
      </c>
      <c r="D74" s="133" t="s">
        <v>747</v>
      </c>
      <c r="E74" s="163"/>
      <c r="F74" s="131" t="s">
        <v>511</v>
      </c>
      <c r="G74" s="132" t="s">
        <v>512</v>
      </c>
      <c r="H74" s="126" t="s">
        <v>513</v>
      </c>
      <c r="I74" s="126" t="s">
        <v>519</v>
      </c>
      <c r="J74" s="126" t="s">
        <v>515</v>
      </c>
      <c r="K74" s="126" t="s">
        <v>579</v>
      </c>
      <c r="L74" s="124" t="b">
        <v>0</v>
      </c>
      <c r="M74" s="133" t="s">
        <v>748</v>
      </c>
    </row>
    <row r="75" ht="22.5" customHeight="1">
      <c r="A75" s="126">
        <v>2020.0</v>
      </c>
      <c r="B75" s="127">
        <v>45168.0</v>
      </c>
      <c r="C75" s="133" t="s">
        <v>749</v>
      </c>
      <c r="D75" s="133" t="s">
        <v>750</v>
      </c>
      <c r="E75" s="164"/>
      <c r="F75" s="131" t="s">
        <v>511</v>
      </c>
      <c r="G75" s="132" t="s">
        <v>512</v>
      </c>
      <c r="H75" s="126" t="s">
        <v>513</v>
      </c>
      <c r="I75" s="126" t="s">
        <v>514</v>
      </c>
      <c r="J75" s="126" t="s">
        <v>515</v>
      </c>
      <c r="K75" s="126" t="s">
        <v>579</v>
      </c>
      <c r="L75" s="124" t="b">
        <v>0</v>
      </c>
      <c r="M75" s="133" t="s">
        <v>751</v>
      </c>
    </row>
    <row r="76" ht="22.5" customHeight="1">
      <c r="A76" s="126">
        <v>2022.0</v>
      </c>
      <c r="B76" s="166"/>
      <c r="C76" s="130"/>
      <c r="D76" s="164"/>
      <c r="E76" s="164"/>
      <c r="F76" s="155" t="s">
        <v>511</v>
      </c>
      <c r="G76" s="173" t="s">
        <v>512</v>
      </c>
      <c r="H76" s="126" t="s">
        <v>513</v>
      </c>
      <c r="I76" s="126" t="s">
        <v>514</v>
      </c>
      <c r="J76" s="126" t="s">
        <v>515</v>
      </c>
      <c r="K76" s="126" t="s">
        <v>579</v>
      </c>
      <c r="L76" s="124" t="b">
        <v>0</v>
      </c>
      <c r="M76" s="133" t="s">
        <v>752</v>
      </c>
    </row>
    <row r="77" ht="22.5" customHeight="1">
      <c r="A77" s="126">
        <v>2020.0</v>
      </c>
      <c r="B77" s="127">
        <v>45168.0</v>
      </c>
      <c r="C77" s="133" t="s">
        <v>753</v>
      </c>
      <c r="D77" s="133" t="s">
        <v>754</v>
      </c>
      <c r="E77" s="163"/>
      <c r="F77" s="131" t="s">
        <v>511</v>
      </c>
      <c r="G77" s="132" t="s">
        <v>512</v>
      </c>
      <c r="H77" s="126" t="s">
        <v>513</v>
      </c>
      <c r="I77" s="126" t="s">
        <v>519</v>
      </c>
      <c r="J77" s="126" t="s">
        <v>515</v>
      </c>
      <c r="K77" s="126" t="s">
        <v>579</v>
      </c>
      <c r="L77" s="124" t="b">
        <v>0</v>
      </c>
      <c r="M77" s="133" t="s">
        <v>755</v>
      </c>
    </row>
    <row r="78" ht="22.5" customHeight="1">
      <c r="A78" s="126">
        <v>2021.0</v>
      </c>
      <c r="B78" s="127">
        <v>45166.0</v>
      </c>
      <c r="C78" s="158" t="s">
        <v>756</v>
      </c>
      <c r="D78" s="128" t="s">
        <v>757</v>
      </c>
      <c r="E78" s="163"/>
      <c r="F78" s="131" t="s">
        <v>511</v>
      </c>
      <c r="G78" s="132" t="s">
        <v>512</v>
      </c>
      <c r="H78" s="126" t="s">
        <v>524</v>
      </c>
      <c r="I78" s="126" t="s">
        <v>514</v>
      </c>
      <c r="J78" s="126" t="s">
        <v>515</v>
      </c>
      <c r="K78" s="126" t="s">
        <v>579</v>
      </c>
      <c r="L78" s="124" t="b">
        <v>0</v>
      </c>
      <c r="M78" s="133" t="s">
        <v>758</v>
      </c>
    </row>
    <row r="79" ht="22.5" customHeight="1">
      <c r="A79" s="126">
        <v>2022.0</v>
      </c>
      <c r="B79" s="127">
        <v>45163.0</v>
      </c>
      <c r="C79" s="154" t="s">
        <v>759</v>
      </c>
      <c r="D79" s="154" t="s">
        <v>760</v>
      </c>
      <c r="E79" s="174"/>
      <c r="F79" s="155" t="s">
        <v>511</v>
      </c>
      <c r="G79" s="173" t="s">
        <v>512</v>
      </c>
      <c r="H79" s="126" t="s">
        <v>513</v>
      </c>
      <c r="I79" s="126" t="s">
        <v>519</v>
      </c>
      <c r="J79" s="126" t="s">
        <v>515</v>
      </c>
      <c r="K79" s="126" t="s">
        <v>532</v>
      </c>
      <c r="L79" s="124" t="b">
        <v>1</v>
      </c>
      <c r="M79" s="133" t="s">
        <v>761</v>
      </c>
    </row>
    <row r="80" ht="22.5" customHeight="1">
      <c r="A80" s="126">
        <v>2020.0</v>
      </c>
      <c r="B80" s="127">
        <v>45166.0</v>
      </c>
      <c r="C80" s="133" t="s">
        <v>762</v>
      </c>
      <c r="D80" s="133" t="s">
        <v>763</v>
      </c>
      <c r="E80" s="163"/>
      <c r="F80" s="131" t="s">
        <v>511</v>
      </c>
      <c r="G80" s="132" t="s">
        <v>512</v>
      </c>
      <c r="H80" s="126" t="s">
        <v>513</v>
      </c>
      <c r="I80" s="126" t="s">
        <v>519</v>
      </c>
      <c r="J80" s="126" t="s">
        <v>515</v>
      </c>
      <c r="K80" s="126" t="s">
        <v>532</v>
      </c>
      <c r="L80" s="124" t="b">
        <v>0</v>
      </c>
      <c r="M80" s="133" t="s">
        <v>764</v>
      </c>
    </row>
    <row r="81" ht="22.5" customHeight="1">
      <c r="A81" s="126">
        <v>2022.0</v>
      </c>
      <c r="B81" s="127">
        <v>45166.0</v>
      </c>
      <c r="C81" s="128" t="s">
        <v>765</v>
      </c>
      <c r="D81" s="128" t="s">
        <v>766</v>
      </c>
      <c r="E81" s="133"/>
      <c r="F81" s="131" t="s">
        <v>511</v>
      </c>
      <c r="G81" s="132" t="s">
        <v>180</v>
      </c>
      <c r="H81" s="126" t="s">
        <v>518</v>
      </c>
      <c r="I81" s="126" t="s">
        <v>514</v>
      </c>
      <c r="J81" s="126" t="s">
        <v>600</v>
      </c>
      <c r="K81" s="126" t="s">
        <v>525</v>
      </c>
      <c r="L81" s="124" t="b">
        <v>0</v>
      </c>
      <c r="M81" s="133" t="s">
        <v>767</v>
      </c>
    </row>
    <row r="82" ht="22.5" customHeight="1">
      <c r="A82" s="126">
        <v>2022.0</v>
      </c>
      <c r="B82" s="127">
        <v>45168.0</v>
      </c>
      <c r="C82" s="133" t="s">
        <v>768</v>
      </c>
      <c r="D82" s="133" t="s">
        <v>769</v>
      </c>
      <c r="E82" s="133"/>
      <c r="F82" s="131" t="s">
        <v>511</v>
      </c>
      <c r="G82" s="132" t="s">
        <v>512</v>
      </c>
      <c r="H82" s="126" t="s">
        <v>513</v>
      </c>
      <c r="I82" s="126" t="s">
        <v>770</v>
      </c>
      <c r="J82" s="126" t="s">
        <v>771</v>
      </c>
      <c r="K82" s="126" t="s">
        <v>579</v>
      </c>
      <c r="L82" s="124" t="b">
        <v>0</v>
      </c>
      <c r="M82" s="133" t="s">
        <v>772</v>
      </c>
    </row>
    <row r="83" ht="22.5" customHeight="1">
      <c r="A83" s="126">
        <v>2020.0</v>
      </c>
      <c r="B83" s="127">
        <v>45163.0</v>
      </c>
      <c r="C83" s="154" t="s">
        <v>773</v>
      </c>
      <c r="D83" s="154" t="s">
        <v>774</v>
      </c>
      <c r="E83" s="164"/>
      <c r="F83" s="131" t="s">
        <v>511</v>
      </c>
      <c r="G83" s="132" t="s">
        <v>180</v>
      </c>
      <c r="H83" s="126" t="s">
        <v>513</v>
      </c>
      <c r="I83" s="126" t="s">
        <v>519</v>
      </c>
      <c r="J83" s="126" t="s">
        <v>771</v>
      </c>
      <c r="K83" s="126" t="s">
        <v>532</v>
      </c>
      <c r="L83" s="124" t="b">
        <v>0</v>
      </c>
      <c r="M83" s="133" t="s">
        <v>775</v>
      </c>
    </row>
    <row r="84" ht="22.5" customHeight="1">
      <c r="A84" s="126">
        <v>2020.0</v>
      </c>
      <c r="B84" s="127">
        <v>45168.0</v>
      </c>
      <c r="C84" s="133" t="s">
        <v>776</v>
      </c>
      <c r="D84" s="133" t="s">
        <v>777</v>
      </c>
      <c r="E84" s="133"/>
      <c r="F84" s="131" t="s">
        <v>511</v>
      </c>
      <c r="G84" s="132" t="s">
        <v>512</v>
      </c>
      <c r="H84" s="126" t="s">
        <v>513</v>
      </c>
      <c r="I84" s="126" t="s">
        <v>519</v>
      </c>
      <c r="J84" s="126" t="s">
        <v>771</v>
      </c>
      <c r="K84" s="126" t="s">
        <v>532</v>
      </c>
      <c r="L84" s="124" t="b">
        <v>0</v>
      </c>
      <c r="M84" s="133" t="s">
        <v>569</v>
      </c>
    </row>
    <row r="85" ht="22.5" customHeight="1">
      <c r="A85" s="126">
        <v>2020.0</v>
      </c>
      <c r="B85" s="127">
        <v>45163.0</v>
      </c>
      <c r="C85" s="154" t="s">
        <v>778</v>
      </c>
      <c r="D85" s="154" t="s">
        <v>779</v>
      </c>
      <c r="E85" s="133"/>
      <c r="F85" s="131" t="s">
        <v>511</v>
      </c>
      <c r="G85" s="132" t="s">
        <v>512</v>
      </c>
      <c r="H85" s="126" t="s">
        <v>518</v>
      </c>
      <c r="I85" s="126" t="s">
        <v>514</v>
      </c>
      <c r="J85" s="126" t="s">
        <v>536</v>
      </c>
      <c r="K85" s="126" t="s">
        <v>579</v>
      </c>
      <c r="L85" s="124" t="b">
        <v>0</v>
      </c>
      <c r="M85" s="133" t="s">
        <v>780</v>
      </c>
    </row>
    <row r="86" ht="22.5" customHeight="1">
      <c r="A86" s="126">
        <v>2022.0</v>
      </c>
      <c r="B86" s="127">
        <v>45166.0</v>
      </c>
      <c r="C86" s="133" t="s">
        <v>781</v>
      </c>
      <c r="D86" s="133" t="s">
        <v>782</v>
      </c>
      <c r="E86" s="164"/>
      <c r="F86" s="131" t="s">
        <v>511</v>
      </c>
      <c r="G86" s="132" t="s">
        <v>512</v>
      </c>
      <c r="H86" s="126" t="s">
        <v>513</v>
      </c>
      <c r="I86" s="126" t="s">
        <v>514</v>
      </c>
      <c r="J86" s="126" t="s">
        <v>536</v>
      </c>
      <c r="K86" s="126" t="s">
        <v>579</v>
      </c>
      <c r="L86" s="124" t="b">
        <v>0</v>
      </c>
      <c r="M86" s="133" t="s">
        <v>783</v>
      </c>
    </row>
    <row r="87" ht="22.5" customHeight="1">
      <c r="A87" s="137">
        <v>2022.0</v>
      </c>
      <c r="B87" s="138">
        <v>45163.0</v>
      </c>
      <c r="C87" s="175" t="s">
        <v>784</v>
      </c>
      <c r="D87" s="175" t="s">
        <v>785</v>
      </c>
      <c r="E87" s="176"/>
      <c r="F87" s="140" t="s">
        <v>511</v>
      </c>
      <c r="G87" s="141" t="s">
        <v>180</v>
      </c>
      <c r="H87" s="137" t="s">
        <v>513</v>
      </c>
      <c r="I87" s="137" t="s">
        <v>514</v>
      </c>
      <c r="J87" s="137" t="s">
        <v>536</v>
      </c>
      <c r="K87" s="137" t="s">
        <v>532</v>
      </c>
      <c r="L87" s="124" t="b">
        <v>0</v>
      </c>
      <c r="M87" s="142" t="s">
        <v>786</v>
      </c>
    </row>
    <row r="88" ht="22.5" customHeight="1">
      <c r="A88" s="126">
        <v>2020.0</v>
      </c>
      <c r="B88" s="127">
        <v>45168.0</v>
      </c>
      <c r="C88" s="133" t="s">
        <v>787</v>
      </c>
      <c r="D88" s="133" t="s">
        <v>788</v>
      </c>
      <c r="E88" s="133"/>
      <c r="F88" s="131" t="s">
        <v>511</v>
      </c>
      <c r="G88" s="132" t="s">
        <v>512</v>
      </c>
      <c r="H88" s="126" t="s">
        <v>513</v>
      </c>
      <c r="I88" s="126" t="s">
        <v>514</v>
      </c>
      <c r="J88" s="126" t="s">
        <v>536</v>
      </c>
      <c r="K88" s="126" t="s">
        <v>532</v>
      </c>
      <c r="L88" s="124" t="b">
        <v>0</v>
      </c>
      <c r="M88" s="133" t="s">
        <v>789</v>
      </c>
    </row>
    <row r="89" ht="22.5" customHeight="1">
      <c r="A89" s="126">
        <v>2022.0</v>
      </c>
      <c r="B89" s="127">
        <v>45166.0</v>
      </c>
      <c r="C89" s="133" t="s">
        <v>790</v>
      </c>
      <c r="D89" s="133" t="s">
        <v>791</v>
      </c>
      <c r="E89" s="167"/>
      <c r="F89" s="131" t="s">
        <v>511</v>
      </c>
      <c r="G89" s="132" t="s">
        <v>512</v>
      </c>
      <c r="H89" s="126" t="s">
        <v>513</v>
      </c>
      <c r="I89" s="126" t="s">
        <v>514</v>
      </c>
      <c r="J89" s="126" t="s">
        <v>536</v>
      </c>
      <c r="K89" s="126" t="s">
        <v>532</v>
      </c>
      <c r="L89" s="124" t="b">
        <v>0</v>
      </c>
      <c r="M89" s="133" t="s">
        <v>792</v>
      </c>
    </row>
    <row r="90" ht="22.5" customHeight="1">
      <c r="A90" s="126">
        <v>2020.0</v>
      </c>
      <c r="B90" s="127">
        <v>45168.0</v>
      </c>
      <c r="C90" s="133" t="s">
        <v>793</v>
      </c>
      <c r="D90" s="133" t="s">
        <v>794</v>
      </c>
      <c r="E90" s="164"/>
      <c r="F90" s="131" t="s">
        <v>511</v>
      </c>
      <c r="G90" s="132" t="s">
        <v>795</v>
      </c>
      <c r="H90" s="126" t="s">
        <v>513</v>
      </c>
      <c r="I90" s="126" t="s">
        <v>514</v>
      </c>
      <c r="J90" s="126" t="s">
        <v>536</v>
      </c>
      <c r="K90" s="126" t="s">
        <v>532</v>
      </c>
      <c r="L90" s="124" t="b">
        <v>0</v>
      </c>
      <c r="M90" s="133" t="s">
        <v>796</v>
      </c>
    </row>
    <row r="91" ht="22.5" customHeight="1">
      <c r="A91" s="115">
        <v>2022.0</v>
      </c>
      <c r="B91" s="116">
        <v>45163.0</v>
      </c>
      <c r="C91" s="134" t="s">
        <v>797</v>
      </c>
      <c r="D91" s="134" t="s">
        <v>798</v>
      </c>
      <c r="E91" s="177"/>
      <c r="F91" s="135" t="s">
        <v>511</v>
      </c>
      <c r="G91" s="121" t="s">
        <v>180</v>
      </c>
      <c r="H91" s="115" t="s">
        <v>513</v>
      </c>
      <c r="I91" s="115" t="s">
        <v>514</v>
      </c>
      <c r="J91" s="115" t="s">
        <v>536</v>
      </c>
      <c r="K91" s="115" t="s">
        <v>532</v>
      </c>
      <c r="L91" s="124" t="b">
        <v>0</v>
      </c>
      <c r="M91" s="134" t="s">
        <v>799</v>
      </c>
    </row>
    <row r="92" ht="22.5" customHeight="1">
      <c r="A92" s="126">
        <v>2022.0</v>
      </c>
      <c r="B92" s="127">
        <v>45168.0</v>
      </c>
      <c r="C92" s="133" t="s">
        <v>800</v>
      </c>
      <c r="D92" s="133" t="s">
        <v>801</v>
      </c>
      <c r="E92" s="164"/>
      <c r="F92" s="131" t="s">
        <v>511</v>
      </c>
      <c r="G92" s="132" t="s">
        <v>180</v>
      </c>
      <c r="H92" s="126" t="s">
        <v>513</v>
      </c>
      <c r="I92" s="126" t="s">
        <v>514</v>
      </c>
      <c r="J92" s="126" t="s">
        <v>536</v>
      </c>
      <c r="K92" s="126" t="s">
        <v>532</v>
      </c>
      <c r="L92" s="124" t="b">
        <v>0</v>
      </c>
      <c r="M92" s="133" t="s">
        <v>802</v>
      </c>
    </row>
    <row r="93" ht="22.5" customHeight="1">
      <c r="A93" s="126">
        <v>2022.0</v>
      </c>
      <c r="B93" s="127">
        <v>45163.0</v>
      </c>
      <c r="C93" s="154" t="s">
        <v>803</v>
      </c>
      <c r="D93" s="154" t="s">
        <v>804</v>
      </c>
      <c r="E93" s="164"/>
      <c r="F93" s="131" t="s">
        <v>511</v>
      </c>
      <c r="G93" s="132" t="s">
        <v>180</v>
      </c>
      <c r="H93" s="126" t="s">
        <v>513</v>
      </c>
      <c r="I93" s="126" t="s">
        <v>514</v>
      </c>
      <c r="J93" s="126" t="s">
        <v>536</v>
      </c>
      <c r="K93" s="126" t="s">
        <v>579</v>
      </c>
      <c r="L93" s="124" t="b">
        <v>0</v>
      </c>
      <c r="M93" s="133" t="s">
        <v>805</v>
      </c>
    </row>
    <row r="94" ht="22.5" customHeight="1">
      <c r="A94" s="126">
        <v>2022.0</v>
      </c>
      <c r="B94" s="127">
        <v>45166.0</v>
      </c>
      <c r="C94" s="154" t="s">
        <v>806</v>
      </c>
      <c r="D94" s="154" t="s">
        <v>807</v>
      </c>
      <c r="E94" s="167"/>
      <c r="F94" s="131" t="s">
        <v>511</v>
      </c>
      <c r="G94" s="132" t="s">
        <v>512</v>
      </c>
      <c r="H94" s="126" t="s">
        <v>513</v>
      </c>
      <c r="I94" s="126" t="s">
        <v>514</v>
      </c>
      <c r="J94" s="126" t="s">
        <v>536</v>
      </c>
      <c r="K94" s="126" t="s">
        <v>579</v>
      </c>
      <c r="L94" s="124" t="b">
        <v>0</v>
      </c>
      <c r="M94" s="133" t="s">
        <v>805</v>
      </c>
    </row>
    <row r="95" ht="22.5" customHeight="1">
      <c r="A95" s="126">
        <v>2022.0</v>
      </c>
      <c r="B95" s="127">
        <v>45168.0</v>
      </c>
      <c r="C95" s="133" t="s">
        <v>808</v>
      </c>
      <c r="D95" s="133" t="s">
        <v>809</v>
      </c>
      <c r="E95" s="164"/>
      <c r="F95" s="131" t="s">
        <v>511</v>
      </c>
      <c r="G95" s="132" t="s">
        <v>180</v>
      </c>
      <c r="H95" s="126" t="s">
        <v>513</v>
      </c>
      <c r="I95" s="126" t="s">
        <v>514</v>
      </c>
      <c r="J95" s="126" t="s">
        <v>536</v>
      </c>
      <c r="K95" s="126" t="s">
        <v>579</v>
      </c>
      <c r="L95" s="124" t="b">
        <v>0</v>
      </c>
      <c r="M95" s="133" t="s">
        <v>810</v>
      </c>
    </row>
    <row r="96" ht="22.5" customHeight="1">
      <c r="A96" s="126">
        <v>2020.0</v>
      </c>
      <c r="B96" s="160"/>
      <c r="C96" s="133"/>
      <c r="D96" s="133"/>
      <c r="E96" s="133"/>
      <c r="F96" s="131" t="s">
        <v>511</v>
      </c>
      <c r="G96" s="132" t="s">
        <v>512</v>
      </c>
      <c r="H96" s="126" t="s">
        <v>513</v>
      </c>
      <c r="I96" s="126" t="s">
        <v>519</v>
      </c>
      <c r="J96" s="126" t="s">
        <v>548</v>
      </c>
      <c r="K96" s="126" t="s">
        <v>579</v>
      </c>
      <c r="L96" s="124" t="b">
        <v>1</v>
      </c>
      <c r="M96" s="133" t="s">
        <v>811</v>
      </c>
    </row>
    <row r="97" ht="22.5" customHeight="1">
      <c r="A97" s="126">
        <v>2021.0</v>
      </c>
      <c r="B97" s="127">
        <v>45163.0</v>
      </c>
      <c r="C97" s="128" t="s">
        <v>812</v>
      </c>
      <c r="D97" s="129" t="s">
        <v>813</v>
      </c>
      <c r="E97" s="164"/>
      <c r="F97" s="131" t="s">
        <v>511</v>
      </c>
      <c r="G97" s="132" t="s">
        <v>512</v>
      </c>
      <c r="H97" s="126" t="s">
        <v>518</v>
      </c>
      <c r="I97" s="126" t="s">
        <v>514</v>
      </c>
      <c r="J97" s="126" t="s">
        <v>814</v>
      </c>
      <c r="K97" s="126" t="s">
        <v>532</v>
      </c>
      <c r="L97" s="124" t="b">
        <v>0</v>
      </c>
      <c r="M97" s="133" t="s">
        <v>815</v>
      </c>
    </row>
    <row r="98" ht="22.5" customHeight="1">
      <c r="A98" s="178">
        <v>2022.0</v>
      </c>
      <c r="B98" s="179"/>
      <c r="C98" s="180"/>
      <c r="D98" s="180"/>
      <c r="E98" s="180"/>
      <c r="F98" s="181" t="s">
        <v>511</v>
      </c>
      <c r="G98" s="182" t="s">
        <v>512</v>
      </c>
      <c r="H98" s="178" t="s">
        <v>513</v>
      </c>
      <c r="I98" s="178" t="s">
        <v>519</v>
      </c>
      <c r="J98" s="178" t="s">
        <v>618</v>
      </c>
      <c r="K98" s="178" t="s">
        <v>572</v>
      </c>
      <c r="L98" s="124" t="b">
        <v>0</v>
      </c>
      <c r="M98" s="180" t="s">
        <v>816</v>
      </c>
    </row>
    <row r="99" ht="22.5" customHeight="1">
      <c r="A99" s="126">
        <v>2020.0</v>
      </c>
      <c r="B99" s="127">
        <v>45163.0</v>
      </c>
      <c r="C99" s="133" t="s">
        <v>817</v>
      </c>
      <c r="D99" s="133" t="s">
        <v>818</v>
      </c>
      <c r="E99" s="133"/>
      <c r="F99" s="131" t="s">
        <v>511</v>
      </c>
      <c r="G99" s="132" t="s">
        <v>512</v>
      </c>
      <c r="H99" s="126" t="s">
        <v>513</v>
      </c>
      <c r="I99" s="126" t="s">
        <v>514</v>
      </c>
      <c r="J99" s="126" t="s">
        <v>520</v>
      </c>
      <c r="K99" s="126" t="s">
        <v>532</v>
      </c>
      <c r="L99" s="124" t="b">
        <v>0</v>
      </c>
      <c r="M99" s="133" t="s">
        <v>819</v>
      </c>
    </row>
    <row r="100" ht="22.5" customHeight="1">
      <c r="A100" s="126">
        <v>2020.0</v>
      </c>
      <c r="B100" s="127">
        <v>45163.0</v>
      </c>
      <c r="C100" s="154" t="s">
        <v>820</v>
      </c>
      <c r="D100" s="154" t="s">
        <v>821</v>
      </c>
      <c r="E100" s="163"/>
      <c r="F100" s="131" t="s">
        <v>511</v>
      </c>
      <c r="G100" s="132" t="s">
        <v>512</v>
      </c>
      <c r="H100" s="126" t="s">
        <v>513</v>
      </c>
      <c r="I100" s="126" t="s">
        <v>514</v>
      </c>
      <c r="J100" s="126" t="s">
        <v>520</v>
      </c>
      <c r="K100" s="126" t="s">
        <v>532</v>
      </c>
      <c r="L100" s="124" t="b">
        <v>0</v>
      </c>
      <c r="M100" s="133" t="s">
        <v>822</v>
      </c>
    </row>
    <row r="101" ht="22.5" customHeight="1">
      <c r="A101" s="126">
        <v>2022.0</v>
      </c>
      <c r="B101" s="127">
        <v>45176.0</v>
      </c>
      <c r="C101" s="133" t="s">
        <v>823</v>
      </c>
      <c r="D101" s="133" t="s">
        <v>824</v>
      </c>
      <c r="E101" s="164"/>
      <c r="F101" s="131" t="s">
        <v>511</v>
      </c>
      <c r="G101" s="132" t="s">
        <v>512</v>
      </c>
      <c r="H101" s="126" t="s">
        <v>513</v>
      </c>
      <c r="I101" s="126" t="s">
        <v>514</v>
      </c>
      <c r="J101" s="126" t="s">
        <v>520</v>
      </c>
      <c r="K101" s="126" t="s">
        <v>579</v>
      </c>
      <c r="L101" s="124" t="b">
        <v>0</v>
      </c>
      <c r="M101" s="133" t="s">
        <v>825</v>
      </c>
    </row>
    <row r="102" ht="22.5" customHeight="1">
      <c r="A102" s="126">
        <v>2022.0</v>
      </c>
      <c r="B102" s="127">
        <v>45166.0</v>
      </c>
      <c r="C102" s="154" t="s">
        <v>826</v>
      </c>
      <c r="D102" s="154" t="s">
        <v>827</v>
      </c>
      <c r="E102" s="164"/>
      <c r="F102" s="131" t="s">
        <v>511</v>
      </c>
      <c r="G102" s="132" t="s">
        <v>512</v>
      </c>
      <c r="H102" s="126" t="s">
        <v>524</v>
      </c>
      <c r="I102" s="126" t="s">
        <v>514</v>
      </c>
      <c r="J102" s="126" t="s">
        <v>520</v>
      </c>
      <c r="K102" s="126" t="s">
        <v>579</v>
      </c>
      <c r="L102" s="124" t="b">
        <v>0</v>
      </c>
      <c r="M102" s="133" t="s">
        <v>828</v>
      </c>
    </row>
    <row r="103" ht="22.5" customHeight="1">
      <c r="A103" s="126">
        <v>2022.0</v>
      </c>
      <c r="B103" s="127">
        <v>45168.0</v>
      </c>
      <c r="C103" s="133" t="s">
        <v>829</v>
      </c>
      <c r="D103" s="133" t="s">
        <v>830</v>
      </c>
      <c r="E103" s="164"/>
      <c r="F103" s="131" t="s">
        <v>511</v>
      </c>
      <c r="G103" s="132" t="s">
        <v>512</v>
      </c>
      <c r="H103" s="126" t="s">
        <v>513</v>
      </c>
      <c r="I103" s="126" t="s">
        <v>770</v>
      </c>
      <c r="J103" s="126" t="s">
        <v>552</v>
      </c>
      <c r="K103" s="126" t="s">
        <v>532</v>
      </c>
      <c r="L103" s="124" t="b">
        <v>0</v>
      </c>
      <c r="M103" s="133" t="s">
        <v>831</v>
      </c>
    </row>
    <row r="104" ht="22.5" customHeight="1">
      <c r="A104" s="126">
        <v>2022.0</v>
      </c>
      <c r="B104" s="160">
        <v>45166.0</v>
      </c>
      <c r="C104" s="133" t="s">
        <v>832</v>
      </c>
      <c r="D104" s="133" t="s">
        <v>833</v>
      </c>
      <c r="E104" s="183"/>
      <c r="F104" s="131" t="s">
        <v>511</v>
      </c>
      <c r="G104" s="132" t="s">
        <v>512</v>
      </c>
      <c r="H104" s="126" t="s">
        <v>524</v>
      </c>
      <c r="I104" s="126" t="s">
        <v>514</v>
      </c>
      <c r="J104" s="126" t="s">
        <v>552</v>
      </c>
      <c r="K104" s="126" t="s">
        <v>532</v>
      </c>
      <c r="L104" s="124" t="b">
        <v>0</v>
      </c>
      <c r="M104" s="133" t="s">
        <v>834</v>
      </c>
    </row>
    <row r="105" ht="22.5" customHeight="1">
      <c r="A105" s="126">
        <v>2022.0</v>
      </c>
      <c r="B105" s="127">
        <v>45168.0</v>
      </c>
      <c r="C105" s="133" t="s">
        <v>835</v>
      </c>
      <c r="D105" s="133" t="s">
        <v>836</v>
      </c>
      <c r="E105" s="133"/>
      <c r="F105" s="131" t="s">
        <v>511</v>
      </c>
      <c r="G105" s="132" t="s">
        <v>512</v>
      </c>
      <c r="H105" s="126" t="s">
        <v>513</v>
      </c>
      <c r="I105" s="126" t="s">
        <v>770</v>
      </c>
      <c r="J105" s="126" t="s">
        <v>552</v>
      </c>
      <c r="K105" s="126" t="s">
        <v>525</v>
      </c>
      <c r="L105" s="124" t="b">
        <v>0</v>
      </c>
      <c r="M105" s="133" t="s">
        <v>569</v>
      </c>
    </row>
    <row r="106" ht="22.5" customHeight="1">
      <c r="A106" s="126">
        <v>2022.0</v>
      </c>
      <c r="B106" s="127"/>
      <c r="C106" s="133"/>
      <c r="D106" s="133"/>
      <c r="E106" s="133"/>
      <c r="F106" s="131" t="s">
        <v>511</v>
      </c>
      <c r="G106" s="132" t="s">
        <v>512</v>
      </c>
      <c r="H106" s="126" t="s">
        <v>518</v>
      </c>
      <c r="I106" s="126" t="s">
        <v>530</v>
      </c>
      <c r="J106" s="126" t="s">
        <v>608</v>
      </c>
      <c r="K106" s="126" t="s">
        <v>532</v>
      </c>
      <c r="L106" s="124" t="b">
        <v>0</v>
      </c>
      <c r="M106" s="133" t="s">
        <v>837</v>
      </c>
    </row>
    <row r="107" ht="22.5" customHeight="1">
      <c r="A107" s="126">
        <v>2020.0</v>
      </c>
      <c r="B107" s="127">
        <v>45163.0</v>
      </c>
      <c r="C107" s="154" t="s">
        <v>838</v>
      </c>
      <c r="D107" s="129" t="s">
        <v>839</v>
      </c>
      <c r="E107" s="163"/>
      <c r="F107" s="131" t="s">
        <v>511</v>
      </c>
      <c r="G107" s="132" t="s">
        <v>512</v>
      </c>
      <c r="H107" s="126" t="s">
        <v>513</v>
      </c>
      <c r="I107" s="126" t="s">
        <v>514</v>
      </c>
      <c r="J107" s="126" t="s">
        <v>840</v>
      </c>
      <c r="K107" s="126" t="s">
        <v>532</v>
      </c>
      <c r="L107" s="124" t="b">
        <v>0</v>
      </c>
      <c r="M107" s="133" t="s">
        <v>569</v>
      </c>
    </row>
    <row r="108" ht="22.5" customHeight="1">
      <c r="A108" s="126">
        <v>2021.0</v>
      </c>
      <c r="B108" s="127">
        <v>45166.0</v>
      </c>
      <c r="C108" s="133" t="s">
        <v>841</v>
      </c>
      <c r="D108" s="133" t="s">
        <v>842</v>
      </c>
      <c r="E108" s="164"/>
      <c r="F108" s="131" t="s">
        <v>511</v>
      </c>
      <c r="G108" s="132" t="s">
        <v>512</v>
      </c>
      <c r="H108" s="126" t="s">
        <v>513</v>
      </c>
      <c r="I108" s="126" t="s">
        <v>519</v>
      </c>
      <c r="J108" s="126" t="s">
        <v>840</v>
      </c>
      <c r="K108" s="126" t="s">
        <v>525</v>
      </c>
      <c r="L108" s="124" t="b">
        <v>0</v>
      </c>
      <c r="M108" s="133" t="s">
        <v>569</v>
      </c>
    </row>
    <row r="109" ht="22.5" customHeight="1">
      <c r="A109" s="126">
        <v>2022.0</v>
      </c>
      <c r="B109" s="127">
        <v>45168.0</v>
      </c>
      <c r="C109" s="154" t="s">
        <v>843</v>
      </c>
      <c r="D109" s="154" t="s">
        <v>844</v>
      </c>
      <c r="E109" s="163"/>
      <c r="F109" s="131" t="s">
        <v>511</v>
      </c>
      <c r="G109" s="132" t="s">
        <v>512</v>
      </c>
      <c r="H109" s="126" t="s">
        <v>513</v>
      </c>
      <c r="I109" s="126" t="s">
        <v>514</v>
      </c>
      <c r="J109" s="126" t="s">
        <v>840</v>
      </c>
      <c r="K109" s="126" t="s">
        <v>525</v>
      </c>
      <c r="L109" s="124" t="b">
        <v>0</v>
      </c>
      <c r="M109" s="133" t="s">
        <v>845</v>
      </c>
    </row>
    <row r="110" ht="22.5" customHeight="1">
      <c r="A110" s="126">
        <v>2022.0</v>
      </c>
      <c r="B110" s="166"/>
      <c r="C110" s="163"/>
      <c r="D110" s="163"/>
      <c r="E110" s="163"/>
      <c r="F110" s="131" t="s">
        <v>511</v>
      </c>
      <c r="G110" s="132" t="s">
        <v>512</v>
      </c>
      <c r="H110" s="126" t="s">
        <v>513</v>
      </c>
      <c r="I110" s="126" t="s">
        <v>514</v>
      </c>
      <c r="J110" s="126" t="s">
        <v>840</v>
      </c>
      <c r="K110" s="126" t="s">
        <v>532</v>
      </c>
      <c r="L110" s="124" t="b">
        <v>0</v>
      </c>
      <c r="M110" s="133" t="s">
        <v>846</v>
      </c>
    </row>
    <row r="111" ht="22.5" customHeight="1">
      <c r="A111" s="126">
        <v>2020.0</v>
      </c>
      <c r="B111" s="127">
        <v>45168.0</v>
      </c>
      <c r="C111" s="133" t="s">
        <v>847</v>
      </c>
      <c r="D111" s="133" t="s">
        <v>848</v>
      </c>
      <c r="E111" s="133"/>
      <c r="F111" s="131" t="s">
        <v>511</v>
      </c>
      <c r="G111" s="132" t="s">
        <v>512</v>
      </c>
      <c r="H111" s="126" t="s">
        <v>513</v>
      </c>
      <c r="I111" s="126" t="s">
        <v>519</v>
      </c>
      <c r="J111" s="126" t="s">
        <v>840</v>
      </c>
      <c r="K111" s="126" t="s">
        <v>572</v>
      </c>
      <c r="L111" s="124" t="b">
        <v>0</v>
      </c>
      <c r="M111" s="133" t="s">
        <v>849</v>
      </c>
    </row>
    <row r="112" ht="22.5" customHeight="1">
      <c r="A112" s="126">
        <v>2022.0</v>
      </c>
      <c r="B112" s="127">
        <v>45166.0</v>
      </c>
      <c r="C112" s="133" t="s">
        <v>850</v>
      </c>
      <c r="D112" s="133" t="s">
        <v>851</v>
      </c>
      <c r="E112" s="126"/>
      <c r="F112" s="131" t="s">
        <v>511</v>
      </c>
      <c r="G112" s="132" t="s">
        <v>512</v>
      </c>
      <c r="H112" s="126" t="s">
        <v>513</v>
      </c>
      <c r="I112" s="126" t="s">
        <v>519</v>
      </c>
      <c r="J112" s="126" t="s">
        <v>840</v>
      </c>
      <c r="K112" s="126" t="s">
        <v>579</v>
      </c>
      <c r="L112" s="124" t="b">
        <v>0</v>
      </c>
      <c r="M112" s="133" t="s">
        <v>852</v>
      </c>
    </row>
    <row r="113" ht="22.5" customHeight="1">
      <c r="A113" s="168">
        <v>2020.0</v>
      </c>
      <c r="B113" s="172"/>
      <c r="C113" s="172" t="s">
        <v>693</v>
      </c>
      <c r="D113" s="172" t="s">
        <v>693</v>
      </c>
      <c r="E113" s="184"/>
      <c r="F113" s="170" t="s">
        <v>511</v>
      </c>
      <c r="G113" s="171" t="s">
        <v>512</v>
      </c>
      <c r="H113" s="168" t="s">
        <v>513</v>
      </c>
      <c r="I113" s="168" t="s">
        <v>519</v>
      </c>
      <c r="J113" s="168" t="s">
        <v>840</v>
      </c>
      <c r="K113" s="168" t="s">
        <v>532</v>
      </c>
      <c r="L113" s="124" t="b">
        <v>0</v>
      </c>
      <c r="M113" s="172" t="s">
        <v>853</v>
      </c>
    </row>
    <row r="114" ht="22.5" customHeight="1">
      <c r="A114" s="126">
        <v>2022.0</v>
      </c>
      <c r="B114" s="127">
        <v>45168.0</v>
      </c>
      <c r="C114" s="133" t="s">
        <v>854</v>
      </c>
      <c r="D114" s="133" t="s">
        <v>855</v>
      </c>
      <c r="E114" s="163"/>
      <c r="F114" s="131" t="s">
        <v>511</v>
      </c>
      <c r="G114" s="132" t="s">
        <v>512</v>
      </c>
      <c r="H114" s="126" t="s">
        <v>513</v>
      </c>
      <c r="I114" s="126" t="s">
        <v>514</v>
      </c>
      <c r="J114" s="126" t="s">
        <v>840</v>
      </c>
      <c r="K114" s="126" t="s">
        <v>579</v>
      </c>
      <c r="L114" s="124" t="b">
        <v>0</v>
      </c>
      <c r="M114" s="133" t="s">
        <v>856</v>
      </c>
    </row>
    <row r="115" ht="22.5" customHeight="1">
      <c r="A115" s="126">
        <v>2020.0</v>
      </c>
      <c r="B115" s="127">
        <v>45166.0</v>
      </c>
      <c r="C115" s="130" t="s">
        <v>857</v>
      </c>
      <c r="D115" s="130" t="s">
        <v>858</v>
      </c>
      <c r="E115" s="164"/>
      <c r="F115" s="131" t="s">
        <v>511</v>
      </c>
      <c r="G115" s="132" t="s">
        <v>512</v>
      </c>
      <c r="H115" s="126" t="s">
        <v>513</v>
      </c>
      <c r="I115" s="126" t="s">
        <v>514</v>
      </c>
      <c r="J115" s="126" t="s">
        <v>840</v>
      </c>
      <c r="K115" s="126" t="s">
        <v>579</v>
      </c>
      <c r="L115" s="124" t="b">
        <v>0</v>
      </c>
      <c r="M115" s="133" t="s">
        <v>859</v>
      </c>
    </row>
    <row r="116" ht="22.5" customHeight="1">
      <c r="A116" s="126">
        <v>2022.0</v>
      </c>
      <c r="B116" s="127">
        <v>45163.0</v>
      </c>
      <c r="C116" s="128" t="s">
        <v>860</v>
      </c>
      <c r="D116" s="128" t="s">
        <v>861</v>
      </c>
      <c r="E116" s="164"/>
      <c r="F116" s="131" t="s">
        <v>511</v>
      </c>
      <c r="G116" s="132" t="s">
        <v>512</v>
      </c>
      <c r="H116" s="126" t="s">
        <v>518</v>
      </c>
      <c r="I116" s="126" t="s">
        <v>514</v>
      </c>
      <c r="J116" s="126" t="s">
        <v>840</v>
      </c>
      <c r="K116" s="126" t="s">
        <v>525</v>
      </c>
      <c r="L116" s="124" t="b">
        <v>0</v>
      </c>
      <c r="M116" s="133" t="s">
        <v>862</v>
      </c>
    </row>
    <row r="117" ht="22.5" customHeight="1">
      <c r="A117" s="126">
        <v>2022.0</v>
      </c>
      <c r="B117" s="127">
        <v>45168.0</v>
      </c>
      <c r="C117" s="133" t="s">
        <v>863</v>
      </c>
      <c r="D117" s="133" t="s">
        <v>864</v>
      </c>
      <c r="E117" s="164"/>
      <c r="F117" s="131" t="s">
        <v>511</v>
      </c>
      <c r="G117" s="132" t="s">
        <v>512</v>
      </c>
      <c r="H117" s="126" t="s">
        <v>513</v>
      </c>
      <c r="I117" s="126" t="s">
        <v>514</v>
      </c>
      <c r="J117" s="126" t="s">
        <v>840</v>
      </c>
      <c r="K117" s="126" t="s">
        <v>532</v>
      </c>
      <c r="L117" s="124" t="b">
        <v>0</v>
      </c>
      <c r="M117" s="133" t="s">
        <v>569</v>
      </c>
    </row>
    <row r="118" ht="22.5" customHeight="1">
      <c r="A118" s="126">
        <v>2022.0</v>
      </c>
      <c r="B118" s="127">
        <v>45163.0</v>
      </c>
      <c r="C118" s="128" t="s">
        <v>865</v>
      </c>
      <c r="D118" s="128" t="s">
        <v>866</v>
      </c>
      <c r="E118" s="133"/>
      <c r="F118" s="131" t="s">
        <v>511</v>
      </c>
      <c r="G118" s="132" t="s">
        <v>512</v>
      </c>
      <c r="H118" s="126" t="s">
        <v>524</v>
      </c>
      <c r="I118" s="126" t="s">
        <v>514</v>
      </c>
      <c r="J118" s="126" t="s">
        <v>867</v>
      </c>
      <c r="K118" s="126" t="s">
        <v>532</v>
      </c>
      <c r="L118" s="124" t="b">
        <v>0</v>
      </c>
      <c r="M118" s="133" t="s">
        <v>868</v>
      </c>
    </row>
    <row r="119" ht="22.5" customHeight="1">
      <c r="A119" s="126">
        <v>2022.0</v>
      </c>
      <c r="B119" s="166"/>
      <c r="C119" s="164"/>
      <c r="D119" s="164"/>
      <c r="E119" s="164"/>
      <c r="F119" s="131" t="s">
        <v>511</v>
      </c>
      <c r="G119" s="132" t="s">
        <v>512</v>
      </c>
      <c r="H119" s="126" t="s">
        <v>518</v>
      </c>
      <c r="I119" s="126" t="s">
        <v>567</v>
      </c>
      <c r="J119" s="126" t="s">
        <v>568</v>
      </c>
      <c r="K119" s="126" t="s">
        <v>525</v>
      </c>
      <c r="L119" s="124" t="b">
        <v>0</v>
      </c>
      <c r="M119" s="133" t="s">
        <v>569</v>
      </c>
    </row>
    <row r="120" ht="22.5" customHeight="1">
      <c r="A120" s="126">
        <v>2020.0</v>
      </c>
      <c r="B120" s="127">
        <v>45163.0</v>
      </c>
      <c r="C120" s="128" t="s">
        <v>869</v>
      </c>
      <c r="D120" s="129" t="s">
        <v>870</v>
      </c>
      <c r="E120" s="164"/>
      <c r="F120" s="131" t="s">
        <v>511</v>
      </c>
      <c r="G120" s="132" t="s">
        <v>512</v>
      </c>
      <c r="H120" s="126" t="s">
        <v>518</v>
      </c>
      <c r="I120" s="126" t="s">
        <v>530</v>
      </c>
      <c r="J120" s="126" t="s">
        <v>568</v>
      </c>
      <c r="K120" s="126" t="s">
        <v>525</v>
      </c>
      <c r="L120" s="124" t="b">
        <v>0</v>
      </c>
      <c r="M120" s="133" t="s">
        <v>871</v>
      </c>
    </row>
    <row r="121" ht="22.5" customHeight="1">
      <c r="A121" s="126">
        <v>2022.0</v>
      </c>
      <c r="B121" s="166"/>
      <c r="C121" s="164"/>
      <c r="D121" s="164"/>
      <c r="E121" s="164"/>
      <c r="F121" s="131" t="s">
        <v>511</v>
      </c>
      <c r="G121" s="132" t="s">
        <v>512</v>
      </c>
      <c r="H121" s="126" t="s">
        <v>518</v>
      </c>
      <c r="I121" s="126" t="s">
        <v>872</v>
      </c>
      <c r="J121" s="126" t="s">
        <v>568</v>
      </c>
      <c r="K121" s="126" t="s">
        <v>532</v>
      </c>
      <c r="L121" s="124" t="b">
        <v>0</v>
      </c>
      <c r="M121" s="133" t="s">
        <v>873</v>
      </c>
    </row>
    <row r="122" ht="22.5" customHeight="1">
      <c r="A122" s="126">
        <v>2020.0</v>
      </c>
      <c r="B122" s="127">
        <v>45163.0</v>
      </c>
      <c r="C122" s="129" t="s">
        <v>874</v>
      </c>
      <c r="D122" s="129" t="s">
        <v>875</v>
      </c>
      <c r="E122" s="164"/>
      <c r="F122" s="131" t="s">
        <v>511</v>
      </c>
      <c r="G122" s="132" t="s">
        <v>512</v>
      </c>
      <c r="H122" s="126" t="s">
        <v>518</v>
      </c>
      <c r="I122" s="126" t="s">
        <v>530</v>
      </c>
      <c r="J122" s="126" t="s">
        <v>568</v>
      </c>
      <c r="K122" s="126" t="s">
        <v>579</v>
      </c>
      <c r="L122" s="124" t="b">
        <v>0</v>
      </c>
      <c r="M122" s="133" t="s">
        <v>876</v>
      </c>
    </row>
    <row r="123" ht="22.5" customHeight="1">
      <c r="A123" s="126">
        <v>2022.0</v>
      </c>
      <c r="B123" s="127">
        <v>45163.0</v>
      </c>
      <c r="C123" s="129" t="s">
        <v>877</v>
      </c>
      <c r="D123" s="129" t="s">
        <v>878</v>
      </c>
      <c r="E123" s="133"/>
      <c r="F123" s="131" t="s">
        <v>511</v>
      </c>
      <c r="G123" s="132" t="s">
        <v>512</v>
      </c>
      <c r="H123" s="126" t="s">
        <v>518</v>
      </c>
      <c r="I123" s="126" t="s">
        <v>567</v>
      </c>
      <c r="J123" s="126" t="s">
        <v>568</v>
      </c>
      <c r="K123" s="126" t="s">
        <v>532</v>
      </c>
      <c r="L123" s="124" t="b">
        <v>0</v>
      </c>
      <c r="M123" s="133" t="s">
        <v>879</v>
      </c>
    </row>
    <row r="124" ht="22.5" customHeight="1">
      <c r="A124" s="126">
        <v>2022.0</v>
      </c>
      <c r="B124" s="127">
        <v>45163.0</v>
      </c>
      <c r="C124" s="128" t="s">
        <v>880</v>
      </c>
      <c r="D124" s="128" t="s">
        <v>881</v>
      </c>
      <c r="E124" s="133"/>
      <c r="F124" s="131" t="s">
        <v>511</v>
      </c>
      <c r="G124" s="132" t="s">
        <v>512</v>
      </c>
      <c r="H124" s="126" t="s">
        <v>518</v>
      </c>
      <c r="I124" s="126" t="s">
        <v>530</v>
      </c>
      <c r="J124" s="126" t="s">
        <v>568</v>
      </c>
      <c r="K124" s="126" t="s">
        <v>525</v>
      </c>
      <c r="L124" s="124" t="b">
        <v>0</v>
      </c>
      <c r="M124" s="133" t="s">
        <v>882</v>
      </c>
    </row>
    <row r="125" ht="22.5" customHeight="1">
      <c r="A125" s="168">
        <v>2022.0</v>
      </c>
      <c r="B125" s="185">
        <v>45163.0</v>
      </c>
      <c r="C125" s="186" t="s">
        <v>693</v>
      </c>
      <c r="D125" s="186" t="s">
        <v>693</v>
      </c>
      <c r="E125" s="172"/>
      <c r="F125" s="170" t="s">
        <v>511</v>
      </c>
      <c r="G125" s="171" t="s">
        <v>883</v>
      </c>
      <c r="H125" s="168" t="s">
        <v>518</v>
      </c>
      <c r="I125" s="168" t="s">
        <v>567</v>
      </c>
      <c r="J125" s="168" t="s">
        <v>568</v>
      </c>
      <c r="K125" s="168" t="s">
        <v>532</v>
      </c>
      <c r="L125" s="187" t="b">
        <v>1</v>
      </c>
      <c r="M125" s="172" t="s">
        <v>884</v>
      </c>
    </row>
    <row r="126" ht="22.5" customHeight="1">
      <c r="A126" s="126">
        <v>2022.0</v>
      </c>
      <c r="B126" s="166"/>
      <c r="C126" s="164"/>
      <c r="D126" s="164"/>
      <c r="E126" s="164"/>
      <c r="F126" s="131" t="s">
        <v>511</v>
      </c>
      <c r="G126" s="132" t="s">
        <v>512</v>
      </c>
      <c r="H126" s="126" t="s">
        <v>524</v>
      </c>
      <c r="I126" s="126" t="s">
        <v>567</v>
      </c>
      <c r="J126" s="126" t="s">
        <v>568</v>
      </c>
      <c r="K126" s="126" t="s">
        <v>525</v>
      </c>
      <c r="L126" s="124" t="b">
        <v>0</v>
      </c>
      <c r="M126" s="133" t="s">
        <v>885</v>
      </c>
    </row>
    <row r="127" ht="22.5" customHeight="1">
      <c r="A127" s="126">
        <v>2022.0</v>
      </c>
      <c r="B127" s="127">
        <v>45166.0</v>
      </c>
      <c r="C127" s="133" t="s">
        <v>857</v>
      </c>
      <c r="D127" s="133" t="s">
        <v>858</v>
      </c>
      <c r="E127" s="164"/>
      <c r="F127" s="131" t="s">
        <v>511</v>
      </c>
      <c r="G127" s="132" t="s">
        <v>795</v>
      </c>
      <c r="H127" s="126" t="s">
        <v>886</v>
      </c>
      <c r="I127" s="126" t="s">
        <v>519</v>
      </c>
      <c r="J127" s="126" t="s">
        <v>887</v>
      </c>
      <c r="K127" s="126" t="s">
        <v>532</v>
      </c>
      <c r="L127" s="124" t="b">
        <v>0</v>
      </c>
      <c r="M127" s="133" t="s">
        <v>888</v>
      </c>
    </row>
    <row r="128" ht="22.5" customHeight="1">
      <c r="A128" s="126">
        <v>2022.0</v>
      </c>
      <c r="B128" s="127">
        <v>45163.0</v>
      </c>
      <c r="C128" s="129" t="s">
        <v>889</v>
      </c>
      <c r="D128" s="129" t="s">
        <v>890</v>
      </c>
      <c r="E128" s="130"/>
      <c r="F128" s="131" t="s">
        <v>511</v>
      </c>
      <c r="G128" s="132" t="s">
        <v>512</v>
      </c>
      <c r="H128" s="126" t="s">
        <v>518</v>
      </c>
      <c r="I128" s="126" t="s">
        <v>514</v>
      </c>
      <c r="J128" s="126" t="s">
        <v>515</v>
      </c>
      <c r="K128" s="126" t="s">
        <v>579</v>
      </c>
      <c r="L128" s="124" t="b">
        <v>0</v>
      </c>
      <c r="M128" s="133" t="s">
        <v>891</v>
      </c>
    </row>
    <row r="129" ht="22.5" customHeight="1">
      <c r="A129" s="126">
        <v>2020.0</v>
      </c>
      <c r="B129" s="127"/>
      <c r="C129" s="164"/>
      <c r="D129" s="164"/>
      <c r="E129" s="164"/>
      <c r="F129" s="155" t="s">
        <v>511</v>
      </c>
      <c r="G129" s="132" t="s">
        <v>512</v>
      </c>
      <c r="H129" s="156" t="s">
        <v>513</v>
      </c>
      <c r="I129" s="156" t="s">
        <v>740</v>
      </c>
      <c r="J129" s="156" t="s">
        <v>608</v>
      </c>
      <c r="K129" s="156" t="s">
        <v>579</v>
      </c>
      <c r="L129" s="124" t="b">
        <v>1</v>
      </c>
      <c r="M129" s="158" t="s">
        <v>892</v>
      </c>
    </row>
    <row r="130" ht="22.5" customHeight="1">
      <c r="A130" s="115">
        <v>2023.0</v>
      </c>
      <c r="B130" s="116">
        <v>45163.0</v>
      </c>
      <c r="C130" s="118" t="s">
        <v>893</v>
      </c>
      <c r="D130" s="118" t="s">
        <v>894</v>
      </c>
      <c r="E130" s="177"/>
      <c r="F130" s="120" t="s">
        <v>511</v>
      </c>
      <c r="G130" s="121" t="s">
        <v>512</v>
      </c>
      <c r="H130" s="122" t="s">
        <v>513</v>
      </c>
      <c r="I130" s="122" t="s">
        <v>514</v>
      </c>
      <c r="J130" s="122" t="s">
        <v>840</v>
      </c>
      <c r="K130" s="122" t="s">
        <v>532</v>
      </c>
      <c r="L130" s="124" t="b">
        <v>0</v>
      </c>
      <c r="M130" s="125" t="s">
        <v>895</v>
      </c>
    </row>
    <row r="131" ht="22.5" customHeight="1">
      <c r="A131" s="115">
        <v>2023.0</v>
      </c>
      <c r="B131" s="116">
        <v>45163.0</v>
      </c>
      <c r="C131" s="188" t="s">
        <v>896</v>
      </c>
      <c r="D131" s="188" t="s">
        <v>897</v>
      </c>
      <c r="E131" s="177"/>
      <c r="F131" s="120" t="s">
        <v>511</v>
      </c>
      <c r="G131" s="121" t="s">
        <v>512</v>
      </c>
      <c r="H131" s="122" t="s">
        <v>513</v>
      </c>
      <c r="I131" s="122" t="s">
        <v>514</v>
      </c>
      <c r="J131" s="122" t="s">
        <v>618</v>
      </c>
      <c r="K131" s="123"/>
      <c r="L131" s="124" t="b">
        <v>0</v>
      </c>
      <c r="M131" s="125"/>
    </row>
    <row r="132" ht="22.5" customHeight="1">
      <c r="A132" s="126">
        <v>2023.0</v>
      </c>
      <c r="B132" s="127">
        <v>45168.0</v>
      </c>
      <c r="C132" s="128" t="s">
        <v>898</v>
      </c>
      <c r="D132" s="128" t="s">
        <v>899</v>
      </c>
      <c r="E132" s="164"/>
      <c r="F132" s="155" t="s">
        <v>511</v>
      </c>
      <c r="G132" s="132" t="s">
        <v>512</v>
      </c>
      <c r="H132" s="157" t="s">
        <v>513</v>
      </c>
      <c r="I132" s="157" t="s">
        <v>514</v>
      </c>
      <c r="J132" s="157" t="s">
        <v>552</v>
      </c>
      <c r="K132" s="157" t="s">
        <v>532</v>
      </c>
      <c r="L132" s="124" t="b">
        <v>0</v>
      </c>
      <c r="M132" s="158" t="s">
        <v>627</v>
      </c>
    </row>
    <row r="133" ht="22.5" customHeight="1">
      <c r="A133" s="126">
        <v>2023.0</v>
      </c>
      <c r="B133" s="127"/>
      <c r="C133" s="164"/>
      <c r="D133" s="164"/>
      <c r="E133" s="164"/>
      <c r="F133" s="155" t="s">
        <v>511</v>
      </c>
      <c r="G133" s="132" t="s">
        <v>512</v>
      </c>
      <c r="H133" s="157" t="s">
        <v>513</v>
      </c>
      <c r="I133" s="157" t="s">
        <v>519</v>
      </c>
      <c r="J133" s="157" t="s">
        <v>649</v>
      </c>
      <c r="K133" s="156"/>
      <c r="L133" s="124" t="b">
        <v>0</v>
      </c>
      <c r="M133" s="158"/>
    </row>
    <row r="134" ht="22.5" customHeight="1">
      <c r="A134" s="126">
        <v>2023.0</v>
      </c>
      <c r="B134" s="127">
        <v>45168.0</v>
      </c>
      <c r="C134" s="133" t="s">
        <v>900</v>
      </c>
      <c r="D134" s="133" t="s">
        <v>901</v>
      </c>
      <c r="E134" s="164"/>
      <c r="F134" s="155" t="s">
        <v>511</v>
      </c>
      <c r="G134" s="132" t="s">
        <v>512</v>
      </c>
      <c r="H134" s="157" t="s">
        <v>513</v>
      </c>
      <c r="I134" s="157" t="s">
        <v>514</v>
      </c>
      <c r="J134" s="157" t="s">
        <v>840</v>
      </c>
      <c r="K134" s="157" t="s">
        <v>532</v>
      </c>
      <c r="L134" s="124" t="b">
        <v>0</v>
      </c>
      <c r="M134" s="158" t="s">
        <v>902</v>
      </c>
    </row>
    <row r="135" ht="22.5" customHeight="1">
      <c r="A135" s="126">
        <v>2023.0</v>
      </c>
      <c r="B135" s="127"/>
      <c r="C135" s="164"/>
      <c r="D135" s="164"/>
      <c r="E135" s="164"/>
      <c r="F135" s="155" t="s">
        <v>511</v>
      </c>
      <c r="G135" s="132" t="s">
        <v>512</v>
      </c>
      <c r="H135" s="156"/>
      <c r="I135" s="157" t="s">
        <v>514</v>
      </c>
      <c r="J135" s="157" t="s">
        <v>903</v>
      </c>
      <c r="K135" s="156"/>
      <c r="L135" s="124" t="b">
        <v>0</v>
      </c>
      <c r="M135" s="158"/>
    </row>
    <row r="136" ht="22.5" customHeight="1">
      <c r="A136" s="126">
        <v>2023.0</v>
      </c>
      <c r="B136" s="127">
        <v>45168.0</v>
      </c>
      <c r="C136" s="128" t="s">
        <v>904</v>
      </c>
      <c r="D136" s="128" t="s">
        <v>905</v>
      </c>
      <c r="E136" s="164"/>
      <c r="F136" s="155" t="s">
        <v>511</v>
      </c>
      <c r="G136" s="132" t="s">
        <v>512</v>
      </c>
      <c r="H136" s="157" t="s">
        <v>513</v>
      </c>
      <c r="I136" s="157" t="s">
        <v>514</v>
      </c>
      <c r="J136" s="157" t="s">
        <v>840</v>
      </c>
      <c r="K136" s="157" t="s">
        <v>532</v>
      </c>
      <c r="L136" s="124" t="b">
        <v>0</v>
      </c>
      <c r="M136" s="158" t="s">
        <v>906</v>
      </c>
    </row>
    <row r="137" ht="22.5" customHeight="1">
      <c r="A137" s="126">
        <v>2023.0</v>
      </c>
      <c r="B137" s="127">
        <v>45168.0</v>
      </c>
      <c r="C137" s="133" t="s">
        <v>907</v>
      </c>
      <c r="D137" s="133" t="s">
        <v>908</v>
      </c>
      <c r="E137" s="164"/>
      <c r="F137" s="155" t="s">
        <v>511</v>
      </c>
      <c r="G137" s="132" t="s">
        <v>512</v>
      </c>
      <c r="H137" s="157" t="s">
        <v>513</v>
      </c>
      <c r="I137" s="157" t="s">
        <v>514</v>
      </c>
      <c r="J137" s="157" t="s">
        <v>536</v>
      </c>
      <c r="K137" s="157" t="s">
        <v>579</v>
      </c>
      <c r="L137" s="124" t="b">
        <v>0</v>
      </c>
      <c r="M137" s="158" t="s">
        <v>909</v>
      </c>
    </row>
    <row r="138" ht="22.5" customHeight="1">
      <c r="A138" s="126">
        <v>2023.0</v>
      </c>
      <c r="B138" s="127">
        <v>45168.0</v>
      </c>
      <c r="C138" s="133" t="s">
        <v>910</v>
      </c>
      <c r="D138" s="133" t="s">
        <v>911</v>
      </c>
      <c r="E138" s="164"/>
      <c r="F138" s="155" t="s">
        <v>511</v>
      </c>
      <c r="G138" s="132" t="s">
        <v>180</v>
      </c>
      <c r="H138" s="157" t="s">
        <v>513</v>
      </c>
      <c r="I138" s="157" t="s">
        <v>514</v>
      </c>
      <c r="J138" s="157" t="s">
        <v>536</v>
      </c>
      <c r="K138" s="157" t="s">
        <v>525</v>
      </c>
      <c r="L138" s="124" t="b">
        <v>0</v>
      </c>
      <c r="M138" s="158" t="s">
        <v>912</v>
      </c>
    </row>
    <row r="139" ht="22.5" customHeight="1">
      <c r="A139" s="115">
        <v>2023.0</v>
      </c>
      <c r="B139" s="116">
        <v>45166.0</v>
      </c>
      <c r="C139" s="117" t="s">
        <v>913</v>
      </c>
      <c r="D139" s="117" t="s">
        <v>914</v>
      </c>
      <c r="E139" s="177"/>
      <c r="F139" s="120" t="s">
        <v>511</v>
      </c>
      <c r="G139" s="121" t="s">
        <v>512</v>
      </c>
      <c r="H139" s="122" t="s">
        <v>513</v>
      </c>
      <c r="I139" s="122" t="s">
        <v>519</v>
      </c>
      <c r="J139" s="122" t="s">
        <v>515</v>
      </c>
      <c r="K139" s="123"/>
      <c r="L139" s="124" t="b">
        <v>0</v>
      </c>
      <c r="M139" s="125" t="s">
        <v>915</v>
      </c>
    </row>
    <row r="140" ht="22.5" customHeight="1">
      <c r="A140" s="126">
        <v>2023.0</v>
      </c>
      <c r="B140" s="127">
        <v>45166.0</v>
      </c>
      <c r="C140" s="128" t="s">
        <v>916</v>
      </c>
      <c r="D140" s="128" t="s">
        <v>917</v>
      </c>
      <c r="E140" s="164"/>
      <c r="F140" s="155" t="s">
        <v>511</v>
      </c>
      <c r="G140" s="132" t="s">
        <v>512</v>
      </c>
      <c r="H140" s="157" t="s">
        <v>513</v>
      </c>
      <c r="I140" s="157" t="s">
        <v>519</v>
      </c>
      <c r="J140" s="157" t="s">
        <v>840</v>
      </c>
      <c r="K140" s="156"/>
      <c r="L140" s="124" t="b">
        <v>1</v>
      </c>
      <c r="M140" s="158" t="s">
        <v>918</v>
      </c>
    </row>
    <row r="141" ht="22.5" customHeight="1">
      <c r="A141" s="115">
        <v>2023.0</v>
      </c>
      <c r="B141" s="116">
        <v>45163.0</v>
      </c>
      <c r="C141" s="117" t="s">
        <v>919</v>
      </c>
      <c r="D141" s="117" t="s">
        <v>920</v>
      </c>
      <c r="E141" s="177"/>
      <c r="F141" s="120" t="s">
        <v>511</v>
      </c>
      <c r="G141" s="121" t="s">
        <v>512</v>
      </c>
      <c r="H141" s="122" t="s">
        <v>518</v>
      </c>
      <c r="I141" s="122" t="s">
        <v>514</v>
      </c>
      <c r="J141" s="122" t="s">
        <v>552</v>
      </c>
      <c r="K141" s="123"/>
      <c r="L141" s="124" t="b">
        <v>0</v>
      </c>
      <c r="M141" s="125"/>
    </row>
    <row r="142" ht="22.5" customHeight="1">
      <c r="A142" s="115">
        <v>2023.0</v>
      </c>
      <c r="B142" s="116">
        <v>45163.0</v>
      </c>
      <c r="C142" s="117" t="s">
        <v>921</v>
      </c>
      <c r="D142" s="118" t="s">
        <v>922</v>
      </c>
      <c r="E142" s="177"/>
      <c r="F142" s="120" t="s">
        <v>511</v>
      </c>
      <c r="G142" s="121" t="s">
        <v>512</v>
      </c>
      <c r="H142" s="122" t="s">
        <v>518</v>
      </c>
      <c r="I142" s="122" t="s">
        <v>530</v>
      </c>
      <c r="J142" s="122" t="s">
        <v>568</v>
      </c>
      <c r="K142" s="123"/>
      <c r="L142" s="124" t="b">
        <v>0</v>
      </c>
      <c r="M142" s="125"/>
    </row>
    <row r="143" ht="22.5" customHeight="1">
      <c r="A143" s="115">
        <v>2023.0</v>
      </c>
      <c r="B143" s="116">
        <v>45163.0</v>
      </c>
      <c r="C143" s="118" t="s">
        <v>923</v>
      </c>
      <c r="D143" s="118" t="s">
        <v>924</v>
      </c>
      <c r="E143" s="177"/>
      <c r="F143" s="120" t="s">
        <v>511</v>
      </c>
      <c r="G143" s="121" t="s">
        <v>512</v>
      </c>
      <c r="H143" s="122" t="s">
        <v>513</v>
      </c>
      <c r="I143" s="122" t="s">
        <v>519</v>
      </c>
      <c r="J143" s="122" t="s">
        <v>515</v>
      </c>
      <c r="K143" s="123"/>
      <c r="L143" s="124" t="b">
        <v>0</v>
      </c>
      <c r="M143" s="125"/>
    </row>
    <row r="144" ht="22.5" customHeight="1">
      <c r="A144" s="126">
        <v>2023.0</v>
      </c>
      <c r="B144" s="127">
        <v>45163.0</v>
      </c>
      <c r="C144" s="128" t="s">
        <v>925</v>
      </c>
      <c r="D144" s="128" t="s">
        <v>926</v>
      </c>
      <c r="E144" s="164"/>
      <c r="F144" s="155" t="s">
        <v>511</v>
      </c>
      <c r="G144" s="132" t="s">
        <v>512</v>
      </c>
      <c r="H144" s="157" t="s">
        <v>524</v>
      </c>
      <c r="I144" s="157" t="s">
        <v>530</v>
      </c>
      <c r="J144" s="157" t="s">
        <v>591</v>
      </c>
      <c r="K144" s="156"/>
      <c r="L144" s="124" t="b">
        <v>0</v>
      </c>
      <c r="M144" s="158" t="s">
        <v>927</v>
      </c>
    </row>
    <row r="145" ht="22.5" customHeight="1">
      <c r="A145" s="115">
        <v>2023.0</v>
      </c>
      <c r="B145" s="116">
        <v>45163.0</v>
      </c>
      <c r="C145" s="134" t="s">
        <v>928</v>
      </c>
      <c r="D145" s="134" t="s">
        <v>929</v>
      </c>
      <c r="E145" s="177"/>
      <c r="F145" s="120" t="s">
        <v>511</v>
      </c>
      <c r="G145" s="121" t="s">
        <v>512</v>
      </c>
      <c r="H145" s="122" t="s">
        <v>513</v>
      </c>
      <c r="I145" s="122" t="s">
        <v>514</v>
      </c>
      <c r="J145" s="122" t="s">
        <v>600</v>
      </c>
      <c r="K145" s="123"/>
      <c r="L145" s="124" t="b">
        <v>0</v>
      </c>
      <c r="M145" s="125"/>
    </row>
    <row r="146" ht="22.5" customHeight="1">
      <c r="A146" s="115">
        <v>2023.0</v>
      </c>
      <c r="B146" s="116">
        <v>45163.0</v>
      </c>
      <c r="C146" s="118" t="s">
        <v>930</v>
      </c>
      <c r="D146" s="118" t="s">
        <v>931</v>
      </c>
      <c r="E146" s="119"/>
      <c r="F146" s="189" t="s">
        <v>511</v>
      </c>
      <c r="G146" s="121" t="s">
        <v>512</v>
      </c>
      <c r="H146" s="122" t="s">
        <v>518</v>
      </c>
      <c r="I146" s="122" t="s">
        <v>530</v>
      </c>
      <c r="J146" s="122" t="s">
        <v>595</v>
      </c>
      <c r="K146" s="123"/>
      <c r="L146" s="124" t="b">
        <v>0</v>
      </c>
      <c r="M146" s="125" t="s">
        <v>932</v>
      </c>
    </row>
    <row r="147" ht="22.5" customHeight="1">
      <c r="A147" s="115">
        <v>2023.0</v>
      </c>
      <c r="B147" s="116">
        <v>45163.0</v>
      </c>
      <c r="C147" s="117" t="s">
        <v>933</v>
      </c>
      <c r="D147" s="118" t="s">
        <v>934</v>
      </c>
      <c r="E147" s="177"/>
      <c r="F147" s="120" t="s">
        <v>511</v>
      </c>
      <c r="G147" s="121" t="s">
        <v>512</v>
      </c>
      <c r="H147" s="122" t="s">
        <v>513</v>
      </c>
      <c r="I147" s="122" t="s">
        <v>514</v>
      </c>
      <c r="J147" s="122" t="s">
        <v>726</v>
      </c>
      <c r="K147" s="123"/>
      <c r="L147" s="124" t="b">
        <v>0</v>
      </c>
      <c r="M147" s="125"/>
    </row>
    <row r="148" ht="22.5" customHeight="1">
      <c r="A148" s="115">
        <v>2023.0</v>
      </c>
      <c r="B148" s="116">
        <v>45163.0</v>
      </c>
      <c r="C148" s="118" t="s">
        <v>935</v>
      </c>
      <c r="D148" s="118" t="s">
        <v>936</v>
      </c>
      <c r="E148" s="177"/>
      <c r="F148" s="120" t="s">
        <v>511</v>
      </c>
      <c r="G148" s="121" t="s">
        <v>512</v>
      </c>
      <c r="H148" s="122" t="s">
        <v>524</v>
      </c>
      <c r="I148" s="122" t="s">
        <v>514</v>
      </c>
      <c r="J148" s="122" t="s">
        <v>536</v>
      </c>
      <c r="K148" s="123"/>
      <c r="L148" s="124" t="b">
        <v>0</v>
      </c>
      <c r="M148" s="125"/>
    </row>
    <row r="149" ht="22.5" customHeight="1">
      <c r="A149" s="115">
        <v>2023.0</v>
      </c>
      <c r="B149" s="116">
        <v>45163.0</v>
      </c>
      <c r="C149" s="118" t="s">
        <v>937</v>
      </c>
      <c r="D149" s="118" t="s">
        <v>938</v>
      </c>
      <c r="E149" s="177"/>
      <c r="F149" s="120" t="s">
        <v>511</v>
      </c>
      <c r="G149" s="121" t="s">
        <v>512</v>
      </c>
      <c r="H149" s="122" t="s">
        <v>518</v>
      </c>
      <c r="I149" s="122" t="s">
        <v>567</v>
      </c>
      <c r="J149" s="122" t="s">
        <v>568</v>
      </c>
      <c r="K149" s="123"/>
      <c r="L149" s="124" t="b">
        <v>0</v>
      </c>
      <c r="M149" s="125"/>
    </row>
    <row r="150" ht="22.5" customHeight="1">
      <c r="A150" s="178">
        <v>2020.0</v>
      </c>
      <c r="B150" s="179"/>
      <c r="C150" s="190"/>
      <c r="D150" s="190"/>
      <c r="E150" s="191"/>
      <c r="F150" s="192" t="s">
        <v>511</v>
      </c>
      <c r="G150" s="182" t="s">
        <v>512</v>
      </c>
      <c r="H150" s="193" t="s">
        <v>518</v>
      </c>
      <c r="I150" s="193" t="s">
        <v>514</v>
      </c>
      <c r="J150" s="193" t="s">
        <v>548</v>
      </c>
      <c r="K150" s="193" t="s">
        <v>579</v>
      </c>
      <c r="L150" s="124" t="b">
        <v>1</v>
      </c>
      <c r="M150" s="194" t="s">
        <v>939</v>
      </c>
    </row>
    <row r="151" ht="22.5" customHeight="1">
      <c r="A151" s="178">
        <v>2023.0</v>
      </c>
      <c r="B151" s="179"/>
      <c r="C151" s="190"/>
      <c r="D151" s="190"/>
      <c r="E151" s="191"/>
      <c r="F151" s="192" t="s">
        <v>511</v>
      </c>
      <c r="G151" s="182" t="s">
        <v>512</v>
      </c>
      <c r="H151" s="193" t="s">
        <v>518</v>
      </c>
      <c r="I151" s="193" t="s">
        <v>530</v>
      </c>
      <c r="J151" s="193" t="s">
        <v>568</v>
      </c>
      <c r="K151" s="193" t="s">
        <v>532</v>
      </c>
      <c r="L151" s="124" t="b">
        <v>0</v>
      </c>
      <c r="M151" s="194" t="s">
        <v>940</v>
      </c>
    </row>
    <row r="152" ht="22.5" customHeight="1">
      <c r="A152" s="115">
        <v>2023.0</v>
      </c>
      <c r="B152" s="116">
        <v>45267.0</v>
      </c>
      <c r="C152" s="136" t="s">
        <v>941</v>
      </c>
      <c r="D152" s="136" t="s">
        <v>942</v>
      </c>
      <c r="E152" s="177"/>
      <c r="F152" s="189" t="s">
        <v>511</v>
      </c>
      <c r="G152" s="121" t="s">
        <v>512</v>
      </c>
      <c r="H152" s="122" t="s">
        <v>513</v>
      </c>
      <c r="I152" s="122" t="s">
        <v>514</v>
      </c>
      <c r="J152" s="122" t="s">
        <v>726</v>
      </c>
      <c r="K152" s="122" t="s">
        <v>532</v>
      </c>
      <c r="L152" s="124" t="b">
        <v>0</v>
      </c>
      <c r="M152" s="125" t="s">
        <v>943</v>
      </c>
    </row>
    <row r="153" ht="22.5" customHeight="1">
      <c r="A153" s="178">
        <v>2023.0</v>
      </c>
      <c r="B153" s="179"/>
      <c r="C153" s="190"/>
      <c r="D153" s="190"/>
      <c r="E153" s="191"/>
      <c r="F153" s="192" t="s">
        <v>511</v>
      </c>
      <c r="G153" s="182" t="s">
        <v>512</v>
      </c>
      <c r="H153" s="193" t="s">
        <v>529</v>
      </c>
      <c r="I153" s="193" t="s">
        <v>519</v>
      </c>
      <c r="J153" s="193" t="s">
        <v>531</v>
      </c>
      <c r="K153" s="193" t="s">
        <v>532</v>
      </c>
      <c r="L153" s="124" t="b">
        <v>1</v>
      </c>
      <c r="M153" s="194" t="s">
        <v>944</v>
      </c>
    </row>
    <row r="154" ht="22.5" customHeight="1">
      <c r="A154" s="126">
        <v>2023.0</v>
      </c>
      <c r="B154" s="127">
        <v>45320.0</v>
      </c>
      <c r="C154" s="154" t="s">
        <v>945</v>
      </c>
      <c r="D154" s="154" t="s">
        <v>946</v>
      </c>
      <c r="E154" s="164"/>
      <c r="F154" s="195" t="s">
        <v>511</v>
      </c>
      <c r="G154" s="132" t="s">
        <v>512</v>
      </c>
      <c r="H154" s="157" t="s">
        <v>524</v>
      </c>
      <c r="I154" s="157" t="s">
        <v>514</v>
      </c>
      <c r="J154" s="157" t="s">
        <v>947</v>
      </c>
      <c r="K154" s="157" t="s">
        <v>579</v>
      </c>
      <c r="L154" s="124" t="b">
        <v>0</v>
      </c>
      <c r="M154" s="158" t="s">
        <v>948</v>
      </c>
    </row>
    <row r="155" ht="22.5" customHeight="1">
      <c r="A155" s="115">
        <v>2023.0</v>
      </c>
      <c r="B155" s="116">
        <v>45320.0</v>
      </c>
      <c r="C155" s="136" t="s">
        <v>949</v>
      </c>
      <c r="D155" s="136" t="s">
        <v>950</v>
      </c>
      <c r="E155" s="177"/>
      <c r="F155" s="189" t="s">
        <v>511</v>
      </c>
      <c r="G155" s="121" t="s">
        <v>512</v>
      </c>
      <c r="H155" s="122" t="s">
        <v>513</v>
      </c>
      <c r="I155" s="122" t="s">
        <v>951</v>
      </c>
      <c r="J155" s="122" t="s">
        <v>947</v>
      </c>
      <c r="K155" s="122" t="s">
        <v>532</v>
      </c>
      <c r="L155" s="124" t="b">
        <v>0</v>
      </c>
      <c r="M155" s="125"/>
    </row>
  </sheetData>
  <dataValidations>
    <dataValidation type="list" allowBlank="1" sqref="F2:F155">
      <formula1>"Storage &amp; Organization,Office,Miscellaneous,Home Improvement,Cleaning Products,Bathroom,Furniture,Lighting,Sports Fitness &amp; Outdoors,Laundry,Electronics,Arts &amp; Crafts,Appliances,Decor,Kitchen,Entertainment,Clothing/Jewelry"</formula1>
    </dataValidation>
    <dataValidation type="custom" allowBlank="1" showDropDown="1" sqref="B2:B155">
      <formula1>OR(NOT(ISERROR(DATEVALUE(B2))), AND(ISNUMBER(B2), LEFT(CELL("format", B2))="D"))</formula1>
    </dataValidation>
    <dataValidation type="list" allowBlank="1" sqref="H2:H126 H128:H155">
      <formula1>"Cube,Mid,Large,Seperate Freezer"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sheetViews>
  <sheetFormatPr customHeight="1" defaultColWidth="12.63" defaultRowHeight="15.75"/>
  <cols>
    <col customWidth="1" min="1" max="1" width="11.0"/>
    <col customWidth="1" min="2" max="2" width="34.0"/>
    <col customWidth="1" min="3" max="3" width="25.0"/>
    <col customWidth="1" min="4" max="4" width="21.13"/>
    <col customWidth="1" min="5" max="5" width="13.75"/>
    <col customWidth="1" min="6" max="6" width="102.38"/>
    <col customWidth="1" min="7" max="7" width="18.5"/>
    <col customWidth="1" min="8" max="8" width="14.38"/>
  </cols>
  <sheetData>
    <row r="1" ht="35.25" customHeight="1">
      <c r="A1" s="196" t="s">
        <v>952</v>
      </c>
      <c r="B1" s="196" t="s">
        <v>499</v>
      </c>
      <c r="C1" s="196" t="s">
        <v>500</v>
      </c>
      <c r="D1" s="196" t="s">
        <v>953</v>
      </c>
      <c r="E1" s="197" t="s">
        <v>954</v>
      </c>
      <c r="F1" s="198" t="s">
        <v>955</v>
      </c>
      <c r="G1" s="22" t="s">
        <v>956</v>
      </c>
      <c r="H1" s="196" t="s">
        <v>508</v>
      </c>
    </row>
    <row r="2" ht="22.5" customHeight="1">
      <c r="A2" s="127">
        <v>45163.0</v>
      </c>
      <c r="B2" s="128" t="s">
        <v>602</v>
      </c>
      <c r="C2" s="128" t="s">
        <v>603</v>
      </c>
      <c r="D2" s="133" t="s">
        <v>957</v>
      </c>
      <c r="E2" s="133">
        <v>2027.0</v>
      </c>
      <c r="F2" s="199" t="s">
        <v>958</v>
      </c>
      <c r="G2" s="200">
        <v>7.0</v>
      </c>
      <c r="H2" s="201"/>
    </row>
    <row r="3" ht="22.5" customHeight="1">
      <c r="A3" s="127">
        <v>45163.0</v>
      </c>
      <c r="B3" s="128" t="s">
        <v>959</v>
      </c>
      <c r="C3" s="128" t="s">
        <v>960</v>
      </c>
      <c r="D3" s="133" t="s">
        <v>961</v>
      </c>
      <c r="E3" s="133">
        <v>2027.0</v>
      </c>
      <c r="F3" s="202" t="s">
        <v>962</v>
      </c>
      <c r="G3" s="200">
        <v>2.0</v>
      </c>
      <c r="H3" s="201"/>
    </row>
    <row r="4" ht="22.5" customHeight="1">
      <c r="A4" s="127">
        <v>45163.0</v>
      </c>
      <c r="B4" s="133" t="s">
        <v>963</v>
      </c>
      <c r="C4" s="133" t="s">
        <v>964</v>
      </c>
      <c r="D4" s="133" t="s">
        <v>965</v>
      </c>
      <c r="E4" s="133">
        <v>2026.0</v>
      </c>
      <c r="F4" s="202" t="s">
        <v>966</v>
      </c>
      <c r="G4" s="200">
        <v>16.0</v>
      </c>
      <c r="H4" s="201"/>
    </row>
    <row r="5" ht="22.5" customHeight="1">
      <c r="A5" s="127">
        <v>45163.0</v>
      </c>
      <c r="B5" s="133" t="s">
        <v>967</v>
      </c>
      <c r="C5" s="133" t="s">
        <v>968</v>
      </c>
      <c r="D5" s="133" t="s">
        <v>965</v>
      </c>
      <c r="E5" s="133">
        <v>2024.0</v>
      </c>
      <c r="F5" s="199" t="s">
        <v>969</v>
      </c>
      <c r="G5" s="200">
        <v>1.0</v>
      </c>
      <c r="H5" s="201"/>
    </row>
    <row r="6" ht="22.5" customHeight="1">
      <c r="A6" s="127">
        <v>45163.0</v>
      </c>
      <c r="B6" s="133" t="s">
        <v>540</v>
      </c>
      <c r="C6" s="133" t="s">
        <v>541</v>
      </c>
      <c r="D6" s="133" t="s">
        <v>970</v>
      </c>
      <c r="E6" s="133">
        <v>2027.0</v>
      </c>
      <c r="F6" s="199" t="s">
        <v>971</v>
      </c>
      <c r="G6" s="200">
        <v>66.0</v>
      </c>
      <c r="H6" s="201"/>
    </row>
    <row r="7" ht="22.5" customHeight="1">
      <c r="A7" s="127">
        <v>45163.0</v>
      </c>
      <c r="B7" s="133" t="s">
        <v>581</v>
      </c>
      <c r="C7" s="133" t="s">
        <v>582</v>
      </c>
      <c r="D7" s="133" t="s">
        <v>961</v>
      </c>
      <c r="E7" s="133">
        <v>2027.0</v>
      </c>
      <c r="F7" s="199" t="s">
        <v>972</v>
      </c>
      <c r="G7" s="200">
        <v>15.0</v>
      </c>
      <c r="H7" s="201"/>
    </row>
    <row r="8" ht="22.5" customHeight="1">
      <c r="A8" s="127">
        <v>45163.0</v>
      </c>
      <c r="B8" s="133" t="s">
        <v>620</v>
      </c>
      <c r="C8" s="133" t="s">
        <v>621</v>
      </c>
      <c r="D8" s="133" t="s">
        <v>970</v>
      </c>
      <c r="E8" s="133">
        <v>2027.0</v>
      </c>
      <c r="F8" s="199" t="s">
        <v>973</v>
      </c>
      <c r="G8" s="200">
        <v>4.0</v>
      </c>
      <c r="H8" s="201"/>
    </row>
    <row r="9" ht="22.5" customHeight="1">
      <c r="A9" s="127">
        <v>45163.0</v>
      </c>
      <c r="B9" s="128" t="s">
        <v>869</v>
      </c>
      <c r="C9" s="129" t="s">
        <v>870</v>
      </c>
      <c r="D9" s="133" t="s">
        <v>974</v>
      </c>
      <c r="E9" s="133">
        <v>2026.0</v>
      </c>
      <c r="F9" s="199" t="s">
        <v>975</v>
      </c>
      <c r="G9" s="200">
        <v>2.0</v>
      </c>
      <c r="H9" s="201"/>
    </row>
    <row r="10" ht="22.5" customHeight="1">
      <c r="A10" s="127">
        <v>45163.0</v>
      </c>
      <c r="B10" s="133" t="s">
        <v>817</v>
      </c>
      <c r="C10" s="133" t="s">
        <v>818</v>
      </c>
      <c r="D10" s="133" t="s">
        <v>961</v>
      </c>
      <c r="E10" s="133">
        <v>2026.0</v>
      </c>
      <c r="F10" s="202" t="s">
        <v>976</v>
      </c>
      <c r="G10" s="200">
        <v>19.0</v>
      </c>
      <c r="H10" s="201"/>
    </row>
    <row r="11" ht="22.5" customHeight="1">
      <c r="A11" s="127">
        <v>45163.0</v>
      </c>
      <c r="B11" s="133" t="s">
        <v>546</v>
      </c>
      <c r="C11" s="143" t="s">
        <v>547</v>
      </c>
      <c r="D11" s="133" t="s">
        <v>961</v>
      </c>
      <c r="E11" s="133">
        <v>2026.0</v>
      </c>
      <c r="F11" s="202" t="s">
        <v>977</v>
      </c>
      <c r="G11" s="200">
        <v>29.0</v>
      </c>
      <c r="H11" s="201"/>
    </row>
    <row r="12" ht="22.5" customHeight="1">
      <c r="A12" s="127">
        <v>45163.0</v>
      </c>
      <c r="B12" s="133" t="s">
        <v>928</v>
      </c>
      <c r="C12" s="133" t="s">
        <v>929</v>
      </c>
      <c r="D12" s="133" t="s">
        <v>957</v>
      </c>
      <c r="E12" s="133">
        <v>2027.0</v>
      </c>
      <c r="F12" s="199" t="s">
        <v>978</v>
      </c>
      <c r="G12" s="200">
        <v>54.0</v>
      </c>
      <c r="H12" s="201"/>
    </row>
    <row r="13" ht="22.5" customHeight="1">
      <c r="A13" s="127">
        <v>45163.0</v>
      </c>
      <c r="B13" s="133" t="s">
        <v>728</v>
      </c>
      <c r="C13" s="133" t="s">
        <v>729</v>
      </c>
      <c r="D13" s="133" t="s">
        <v>957</v>
      </c>
      <c r="E13" s="133">
        <v>2027.0</v>
      </c>
      <c r="F13" s="202" t="s">
        <v>979</v>
      </c>
      <c r="G13" s="200">
        <v>7.0</v>
      </c>
      <c r="H13" s="201"/>
    </row>
    <row r="14" ht="22.5" customHeight="1">
      <c r="A14" s="127">
        <v>45163.0</v>
      </c>
      <c r="B14" s="154" t="s">
        <v>980</v>
      </c>
      <c r="C14" s="154" t="s">
        <v>981</v>
      </c>
      <c r="D14" s="133" t="s">
        <v>957</v>
      </c>
      <c r="E14" s="133">
        <v>2027.0</v>
      </c>
      <c r="F14" s="199" t="s">
        <v>982</v>
      </c>
      <c r="G14" s="200">
        <v>5.0</v>
      </c>
      <c r="H14" s="201"/>
    </row>
    <row r="15" ht="22.5" customHeight="1">
      <c r="A15" s="127">
        <v>45163.0</v>
      </c>
      <c r="B15" s="154" t="s">
        <v>597</v>
      </c>
      <c r="C15" s="154" t="s">
        <v>598</v>
      </c>
      <c r="D15" s="133" t="s">
        <v>957</v>
      </c>
      <c r="E15" s="133">
        <v>2027.0</v>
      </c>
      <c r="F15" s="199" t="s">
        <v>983</v>
      </c>
      <c r="G15" s="200">
        <v>19.0</v>
      </c>
      <c r="H15" s="201"/>
    </row>
    <row r="16" ht="22.5" customHeight="1">
      <c r="A16" s="127">
        <v>45163.0</v>
      </c>
      <c r="B16" s="133" t="s">
        <v>631</v>
      </c>
      <c r="C16" s="133" t="s">
        <v>632</v>
      </c>
      <c r="D16" s="133" t="s">
        <v>957</v>
      </c>
      <c r="E16" s="133">
        <v>2027.0</v>
      </c>
      <c r="F16" s="199" t="s">
        <v>984</v>
      </c>
      <c r="G16" s="200">
        <v>3.0</v>
      </c>
      <c r="H16" s="201"/>
    </row>
    <row r="17" ht="22.5" customHeight="1">
      <c r="A17" s="127">
        <v>45163.0</v>
      </c>
      <c r="B17" s="154" t="s">
        <v>759</v>
      </c>
      <c r="C17" s="154" t="s">
        <v>760</v>
      </c>
      <c r="D17" s="133" t="s">
        <v>970</v>
      </c>
      <c r="E17" s="133">
        <v>2027.0</v>
      </c>
      <c r="F17" s="199" t="s">
        <v>985</v>
      </c>
      <c r="G17" s="200">
        <v>4.0</v>
      </c>
      <c r="H17" s="201"/>
    </row>
    <row r="18" ht="22.5" customHeight="1">
      <c r="A18" s="127">
        <v>45163.0</v>
      </c>
      <c r="B18" s="154" t="s">
        <v>534</v>
      </c>
      <c r="C18" s="154" t="s">
        <v>535</v>
      </c>
      <c r="D18" s="133" t="s">
        <v>961</v>
      </c>
      <c r="E18" s="133">
        <v>2027.0</v>
      </c>
      <c r="F18" s="199" t="s">
        <v>986</v>
      </c>
      <c r="G18" s="200">
        <v>23.0</v>
      </c>
      <c r="H18" s="201"/>
    </row>
    <row r="19" ht="22.5" customHeight="1">
      <c r="A19" s="127">
        <v>45163.0</v>
      </c>
      <c r="B19" s="133" t="s">
        <v>544</v>
      </c>
      <c r="C19" s="133" t="s">
        <v>545</v>
      </c>
      <c r="D19" s="133" t="s">
        <v>961</v>
      </c>
      <c r="E19" s="133">
        <v>2027.0</v>
      </c>
      <c r="F19" s="199" t="s">
        <v>987</v>
      </c>
      <c r="G19" s="200">
        <v>21.0</v>
      </c>
      <c r="H19" s="201"/>
    </row>
    <row r="20" ht="22.5" customHeight="1">
      <c r="A20" s="127">
        <v>45163.0</v>
      </c>
      <c r="B20" s="133" t="s">
        <v>557</v>
      </c>
      <c r="C20" s="133" t="s">
        <v>558</v>
      </c>
      <c r="D20" s="133" t="s">
        <v>961</v>
      </c>
      <c r="E20" s="133">
        <v>2027.0</v>
      </c>
      <c r="F20" s="199" t="s">
        <v>988</v>
      </c>
      <c r="G20" s="200">
        <v>4.0</v>
      </c>
      <c r="H20" s="201"/>
    </row>
    <row r="21" ht="22.5" customHeight="1">
      <c r="A21" s="127">
        <v>45163.0</v>
      </c>
      <c r="B21" s="133" t="s">
        <v>625</v>
      </c>
      <c r="C21" s="133" t="s">
        <v>626</v>
      </c>
      <c r="D21" s="133" t="s">
        <v>961</v>
      </c>
      <c r="E21" s="133">
        <v>2027.0</v>
      </c>
      <c r="F21" s="199" t="s">
        <v>989</v>
      </c>
      <c r="G21" s="200">
        <v>16.0</v>
      </c>
      <c r="H21" s="201"/>
    </row>
    <row r="22" ht="22.5" customHeight="1">
      <c r="A22" s="127">
        <v>45163.0</v>
      </c>
      <c r="B22" s="129" t="s">
        <v>622</v>
      </c>
      <c r="C22" s="129" t="s">
        <v>623</v>
      </c>
      <c r="D22" s="133" t="s">
        <v>961</v>
      </c>
      <c r="E22" s="133">
        <v>2027.0</v>
      </c>
      <c r="F22" s="199" t="s">
        <v>990</v>
      </c>
      <c r="G22" s="200">
        <v>23.0</v>
      </c>
      <c r="H22" s="201"/>
    </row>
    <row r="23" ht="22.5" customHeight="1">
      <c r="A23" s="127">
        <v>45163.0</v>
      </c>
      <c r="B23" s="154" t="s">
        <v>820</v>
      </c>
      <c r="C23" s="154" t="s">
        <v>821</v>
      </c>
      <c r="D23" s="133" t="s">
        <v>957</v>
      </c>
      <c r="E23" s="133">
        <v>2027.0</v>
      </c>
      <c r="F23" s="199" t="s">
        <v>991</v>
      </c>
      <c r="G23" s="200">
        <v>14.0</v>
      </c>
      <c r="H23" s="201"/>
    </row>
    <row r="24" ht="22.5" customHeight="1">
      <c r="A24" s="127">
        <v>45163.0</v>
      </c>
      <c r="B24" s="133" t="s">
        <v>992</v>
      </c>
      <c r="C24" s="133" t="s">
        <v>993</v>
      </c>
      <c r="D24" s="133" t="s">
        <v>961</v>
      </c>
      <c r="E24" s="133">
        <v>2027.0</v>
      </c>
      <c r="F24" s="202" t="s">
        <v>994</v>
      </c>
      <c r="G24" s="200">
        <v>16.0</v>
      </c>
      <c r="H24" s="201"/>
    </row>
    <row r="25" ht="22.5" customHeight="1">
      <c r="A25" s="127">
        <v>45163.0</v>
      </c>
      <c r="B25" s="154" t="s">
        <v>565</v>
      </c>
      <c r="C25" s="154" t="s">
        <v>566</v>
      </c>
      <c r="D25" s="133" t="s">
        <v>957</v>
      </c>
      <c r="E25" s="133">
        <v>2027.0</v>
      </c>
      <c r="F25" s="199" t="s">
        <v>995</v>
      </c>
      <c r="G25" s="200">
        <v>3.0</v>
      </c>
      <c r="H25" s="201"/>
    </row>
    <row r="26" ht="22.5" customHeight="1">
      <c r="A26" s="127">
        <v>45163.0</v>
      </c>
      <c r="B26" s="128" t="s">
        <v>613</v>
      </c>
      <c r="C26" s="129" t="s">
        <v>614</v>
      </c>
      <c r="D26" s="133" t="s">
        <v>961</v>
      </c>
      <c r="E26" s="133">
        <v>2027.0</v>
      </c>
      <c r="F26" s="202" t="s">
        <v>996</v>
      </c>
      <c r="G26" s="200">
        <v>2.0</v>
      </c>
      <c r="H26" s="201"/>
    </row>
    <row r="27" ht="22.5" customHeight="1">
      <c r="A27" s="127">
        <v>45163.0</v>
      </c>
      <c r="B27" s="129" t="s">
        <v>711</v>
      </c>
      <c r="C27" s="129" t="s">
        <v>712</v>
      </c>
      <c r="D27" s="133" t="s">
        <v>957</v>
      </c>
      <c r="E27" s="133">
        <v>2027.0</v>
      </c>
      <c r="F27" s="202" t="s">
        <v>997</v>
      </c>
      <c r="G27" s="200">
        <v>9.0</v>
      </c>
      <c r="H27" s="201"/>
    </row>
    <row r="28" ht="22.5" customHeight="1">
      <c r="A28" s="127">
        <v>45163.0</v>
      </c>
      <c r="B28" s="129" t="s">
        <v>937</v>
      </c>
      <c r="C28" s="129" t="s">
        <v>938</v>
      </c>
      <c r="D28" s="133" t="s">
        <v>961</v>
      </c>
      <c r="E28" s="133">
        <v>2027.0</v>
      </c>
      <c r="F28" s="199" t="s">
        <v>998</v>
      </c>
      <c r="G28" s="200">
        <v>8.0</v>
      </c>
      <c r="H28" s="201"/>
    </row>
    <row r="29" ht="22.5" customHeight="1">
      <c r="A29" s="127">
        <v>45163.0</v>
      </c>
      <c r="B29" s="129" t="s">
        <v>574</v>
      </c>
      <c r="C29" s="129" t="s">
        <v>575</v>
      </c>
      <c r="D29" s="133" t="s">
        <v>970</v>
      </c>
      <c r="E29" s="133">
        <v>2027.0</v>
      </c>
      <c r="F29" s="199" t="s">
        <v>999</v>
      </c>
      <c r="G29" s="200">
        <v>3.0</v>
      </c>
      <c r="H29" s="201"/>
    </row>
    <row r="30" ht="22.5" customHeight="1">
      <c r="A30" s="127">
        <v>45163.0</v>
      </c>
      <c r="B30" s="129" t="s">
        <v>1000</v>
      </c>
      <c r="C30" s="129" t="s">
        <v>1001</v>
      </c>
      <c r="D30" s="133" t="s">
        <v>957</v>
      </c>
      <c r="E30" s="133">
        <v>2027.0</v>
      </c>
      <c r="F30" s="199" t="s">
        <v>1002</v>
      </c>
      <c r="G30" s="200">
        <v>5.0</v>
      </c>
      <c r="H30" s="201"/>
    </row>
    <row r="31" ht="22.5" customHeight="1">
      <c r="A31" s="127">
        <v>45163.0</v>
      </c>
      <c r="B31" s="128" t="s">
        <v>516</v>
      </c>
      <c r="C31" s="128" t="s">
        <v>517</v>
      </c>
      <c r="D31" s="133" t="s">
        <v>970</v>
      </c>
      <c r="E31" s="133">
        <v>2027.0</v>
      </c>
      <c r="F31" s="199" t="s">
        <v>1003</v>
      </c>
      <c r="G31" s="200">
        <v>1.0</v>
      </c>
      <c r="H31" s="201"/>
    </row>
    <row r="32" ht="22.5" customHeight="1">
      <c r="A32" s="127">
        <v>45163.0</v>
      </c>
      <c r="B32" s="128" t="s">
        <v>593</v>
      </c>
      <c r="C32" s="128" t="s">
        <v>594</v>
      </c>
      <c r="D32" s="133" t="s">
        <v>961</v>
      </c>
      <c r="E32" s="133">
        <v>2027.0</v>
      </c>
      <c r="F32" s="199" t="s">
        <v>1004</v>
      </c>
      <c r="G32" s="200">
        <v>1.0</v>
      </c>
      <c r="H32" s="201"/>
    </row>
    <row r="33" ht="22.5" customHeight="1">
      <c r="A33" s="127">
        <v>45163.0</v>
      </c>
      <c r="B33" s="129" t="s">
        <v>586</v>
      </c>
      <c r="C33" s="129" t="s">
        <v>587</v>
      </c>
      <c r="D33" s="133" t="s">
        <v>961</v>
      </c>
      <c r="E33" s="133">
        <v>2027.0</v>
      </c>
      <c r="F33" s="199" t="s">
        <v>1005</v>
      </c>
      <c r="G33" s="200">
        <v>33.0</v>
      </c>
      <c r="H33" s="201"/>
    </row>
    <row r="34" ht="22.5" customHeight="1">
      <c r="A34" s="127">
        <v>45163.0</v>
      </c>
      <c r="B34" s="154" t="s">
        <v>1006</v>
      </c>
      <c r="C34" s="154" t="s">
        <v>1007</v>
      </c>
      <c r="D34" s="133" t="s">
        <v>961</v>
      </c>
      <c r="E34" s="133">
        <v>2026.0</v>
      </c>
      <c r="F34" s="199" t="s">
        <v>1008</v>
      </c>
      <c r="G34" s="200">
        <v>20.0</v>
      </c>
      <c r="H34" s="201"/>
    </row>
    <row r="35" ht="22.5" customHeight="1">
      <c r="A35" s="127">
        <v>45163.0</v>
      </c>
      <c r="B35" s="129" t="s">
        <v>606</v>
      </c>
      <c r="C35" s="129" t="s">
        <v>607</v>
      </c>
      <c r="D35" s="133" t="s">
        <v>961</v>
      </c>
      <c r="E35" s="133">
        <v>2027.0</v>
      </c>
      <c r="F35" s="199" t="s">
        <v>1009</v>
      </c>
      <c r="G35" s="200">
        <v>3.0</v>
      </c>
      <c r="H35" s="201"/>
    </row>
    <row r="36" ht="22.5" customHeight="1">
      <c r="A36" s="127">
        <v>45163.0</v>
      </c>
      <c r="B36" s="129" t="s">
        <v>935</v>
      </c>
      <c r="C36" s="129" t="s">
        <v>936</v>
      </c>
      <c r="D36" s="133" t="s">
        <v>961</v>
      </c>
      <c r="E36" s="133">
        <v>2027.0</v>
      </c>
      <c r="F36" s="199" t="s">
        <v>1010</v>
      </c>
      <c r="G36" s="200">
        <v>15.0</v>
      </c>
      <c r="H36" s="201"/>
    </row>
    <row r="37" ht="22.5" customHeight="1">
      <c r="A37" s="127">
        <v>45163.0</v>
      </c>
      <c r="B37" s="129" t="s">
        <v>877</v>
      </c>
      <c r="C37" s="129" t="s">
        <v>878</v>
      </c>
      <c r="D37" s="133" t="s">
        <v>961</v>
      </c>
      <c r="E37" s="133">
        <v>2027.0</v>
      </c>
      <c r="F37" s="199" t="s">
        <v>1011</v>
      </c>
      <c r="G37" s="200">
        <v>27.0</v>
      </c>
      <c r="H37" s="201"/>
    </row>
    <row r="38" ht="22.5" customHeight="1">
      <c r="A38" s="127">
        <v>45163.0</v>
      </c>
      <c r="B38" s="129" t="s">
        <v>563</v>
      </c>
      <c r="C38" s="129" t="s">
        <v>564</v>
      </c>
      <c r="D38" s="133" t="s">
        <v>961</v>
      </c>
      <c r="E38" s="133">
        <v>2027.0</v>
      </c>
      <c r="F38" s="199" t="s">
        <v>1012</v>
      </c>
      <c r="G38" s="200">
        <v>3.0</v>
      </c>
      <c r="H38" s="201"/>
    </row>
    <row r="39" ht="22.5" customHeight="1">
      <c r="A39" s="127">
        <v>45163.0</v>
      </c>
      <c r="B39" s="154" t="s">
        <v>1013</v>
      </c>
      <c r="C39" s="154" t="s">
        <v>1014</v>
      </c>
      <c r="D39" s="133" t="s">
        <v>965</v>
      </c>
      <c r="E39" s="133">
        <v>2025.0</v>
      </c>
      <c r="F39" s="199" t="s">
        <v>1015</v>
      </c>
      <c r="G39" s="200">
        <v>2.0</v>
      </c>
      <c r="H39" s="201"/>
    </row>
    <row r="40" ht="22.5" customHeight="1">
      <c r="A40" s="127">
        <v>45163.0</v>
      </c>
      <c r="B40" s="154" t="s">
        <v>616</v>
      </c>
      <c r="C40" s="154" t="s">
        <v>617</v>
      </c>
      <c r="D40" s="133" t="s">
        <v>957</v>
      </c>
      <c r="E40" s="133">
        <v>2027.0</v>
      </c>
      <c r="F40" s="199" t="s">
        <v>1016</v>
      </c>
      <c r="G40" s="200">
        <v>14.0</v>
      </c>
      <c r="H40" s="201"/>
    </row>
    <row r="41" ht="22.5" customHeight="1">
      <c r="A41" s="127">
        <v>45163.0</v>
      </c>
      <c r="B41" s="128" t="s">
        <v>880</v>
      </c>
      <c r="C41" s="128" t="s">
        <v>881</v>
      </c>
      <c r="D41" s="133"/>
      <c r="E41" s="133"/>
      <c r="F41" s="199" t="s">
        <v>1017</v>
      </c>
      <c r="G41" s="200">
        <v>6.0</v>
      </c>
      <c r="H41" s="201"/>
    </row>
    <row r="42" ht="22.5" customHeight="1">
      <c r="A42" s="127">
        <v>45163.0</v>
      </c>
      <c r="B42" s="154" t="s">
        <v>1018</v>
      </c>
      <c r="C42" s="154" t="s">
        <v>1019</v>
      </c>
      <c r="D42" s="133" t="s">
        <v>961</v>
      </c>
      <c r="E42" s="133">
        <v>2027.0</v>
      </c>
      <c r="F42" s="199" t="s">
        <v>1020</v>
      </c>
      <c r="G42" s="200">
        <v>30.0</v>
      </c>
      <c r="H42" s="201"/>
    </row>
    <row r="43" ht="22.5" customHeight="1">
      <c r="A43" s="127">
        <v>45163.0</v>
      </c>
      <c r="B43" s="128" t="s">
        <v>1021</v>
      </c>
      <c r="C43" s="128" t="s">
        <v>1022</v>
      </c>
      <c r="D43" s="133" t="s">
        <v>957</v>
      </c>
      <c r="E43" s="133">
        <v>2027.0</v>
      </c>
      <c r="F43" s="202" t="s">
        <v>1023</v>
      </c>
      <c r="G43" s="200">
        <v>5.0</v>
      </c>
      <c r="H43" s="201"/>
    </row>
    <row r="44" ht="22.5" customHeight="1">
      <c r="A44" s="127">
        <v>45163.0</v>
      </c>
      <c r="B44" s="129" t="s">
        <v>724</v>
      </c>
      <c r="C44" s="129" t="s">
        <v>725</v>
      </c>
      <c r="D44" s="133" t="s">
        <v>961</v>
      </c>
      <c r="E44" s="133">
        <v>2027.0</v>
      </c>
      <c r="F44" s="199" t="s">
        <v>1024</v>
      </c>
      <c r="G44" s="200">
        <v>2.0</v>
      </c>
      <c r="H44" s="201"/>
    </row>
    <row r="45" ht="22.5" customHeight="1">
      <c r="A45" s="127">
        <v>45163.0</v>
      </c>
      <c r="B45" s="154" t="s">
        <v>838</v>
      </c>
      <c r="C45" s="129" t="s">
        <v>839</v>
      </c>
      <c r="D45" s="133" t="s">
        <v>970</v>
      </c>
      <c r="E45" s="133">
        <v>2027.0</v>
      </c>
      <c r="F45" s="199" t="s">
        <v>1025</v>
      </c>
      <c r="G45" s="200">
        <v>2.0</v>
      </c>
      <c r="H45" s="201"/>
    </row>
    <row r="46" ht="22.5" customHeight="1">
      <c r="A46" s="127">
        <v>45163.0</v>
      </c>
      <c r="B46" s="128" t="s">
        <v>933</v>
      </c>
      <c r="C46" s="129" t="s">
        <v>934</v>
      </c>
      <c r="D46" s="133" t="s">
        <v>961</v>
      </c>
      <c r="E46" s="133">
        <v>2027.0</v>
      </c>
      <c r="F46" s="199" t="s">
        <v>1026</v>
      </c>
      <c r="G46" s="200">
        <v>19.0</v>
      </c>
      <c r="H46" s="201"/>
    </row>
    <row r="47" ht="22.5" customHeight="1">
      <c r="A47" s="127">
        <v>45163.0</v>
      </c>
      <c r="B47" s="128" t="s">
        <v>509</v>
      </c>
      <c r="C47" s="129" t="s">
        <v>510</v>
      </c>
      <c r="D47" s="133" t="s">
        <v>970</v>
      </c>
      <c r="E47" s="133">
        <v>2027.0</v>
      </c>
      <c r="F47" s="199" t="s">
        <v>1027</v>
      </c>
      <c r="G47" s="200">
        <v>15.0</v>
      </c>
      <c r="H47" s="201"/>
    </row>
    <row r="48" ht="22.5" customHeight="1">
      <c r="A48" s="127">
        <v>45163.0</v>
      </c>
      <c r="B48" s="133" t="s">
        <v>1028</v>
      </c>
      <c r="C48" s="133" t="s">
        <v>1029</v>
      </c>
      <c r="D48" s="133" t="s">
        <v>965</v>
      </c>
      <c r="E48" s="133">
        <v>2025.0</v>
      </c>
      <c r="F48" s="199" t="s">
        <v>1030</v>
      </c>
      <c r="G48" s="200">
        <v>16.0</v>
      </c>
      <c r="H48" s="201"/>
    </row>
    <row r="49" ht="22.5" customHeight="1">
      <c r="A49" s="127">
        <v>45163.0</v>
      </c>
      <c r="B49" s="154" t="s">
        <v>583</v>
      </c>
      <c r="C49" s="154" t="s">
        <v>584</v>
      </c>
      <c r="D49" s="133" t="s">
        <v>1031</v>
      </c>
      <c r="E49" s="133">
        <v>2024.0</v>
      </c>
      <c r="F49" s="199" t="s">
        <v>1032</v>
      </c>
      <c r="G49" s="200">
        <v>1.0</v>
      </c>
      <c r="H49" s="201"/>
    </row>
    <row r="50" ht="22.5" customHeight="1">
      <c r="A50" s="127">
        <v>45163.0</v>
      </c>
      <c r="B50" s="133" t="s">
        <v>610</v>
      </c>
      <c r="C50" s="133" t="s">
        <v>611</v>
      </c>
      <c r="D50" s="133" t="s">
        <v>1031</v>
      </c>
      <c r="E50" s="133">
        <v>2025.0</v>
      </c>
      <c r="F50" s="199" t="s">
        <v>1033</v>
      </c>
      <c r="G50" s="200">
        <v>3.0</v>
      </c>
      <c r="H50" s="201"/>
    </row>
    <row r="51" ht="22.5" customHeight="1">
      <c r="A51" s="127">
        <v>45163.0</v>
      </c>
      <c r="B51" s="129" t="s">
        <v>589</v>
      </c>
      <c r="C51" s="129" t="s">
        <v>590</v>
      </c>
      <c r="D51" s="133" t="s">
        <v>957</v>
      </c>
      <c r="E51" s="133">
        <v>2027.0</v>
      </c>
      <c r="F51" s="199" t="s">
        <v>1034</v>
      </c>
      <c r="G51" s="200">
        <v>5.0</v>
      </c>
      <c r="H51" s="201"/>
    </row>
    <row r="52" ht="22.5" customHeight="1">
      <c r="A52" s="127">
        <v>45163.0</v>
      </c>
      <c r="B52" s="129" t="s">
        <v>527</v>
      </c>
      <c r="C52" s="129" t="s">
        <v>528</v>
      </c>
      <c r="D52" s="133" t="s">
        <v>961</v>
      </c>
      <c r="E52" s="133">
        <v>2027.0</v>
      </c>
      <c r="F52" s="199" t="s">
        <v>1035</v>
      </c>
      <c r="G52" s="200">
        <v>36.0</v>
      </c>
      <c r="H52" s="201"/>
    </row>
    <row r="53" ht="22.5" customHeight="1">
      <c r="A53" s="127">
        <v>45163.0</v>
      </c>
      <c r="B53" s="128" t="s">
        <v>925</v>
      </c>
      <c r="C53" s="128" t="s">
        <v>926</v>
      </c>
      <c r="D53" s="143" t="s">
        <v>957</v>
      </c>
      <c r="E53" s="133">
        <v>2027.0</v>
      </c>
      <c r="F53" s="202" t="s">
        <v>1036</v>
      </c>
      <c r="G53" s="200">
        <v>11.0</v>
      </c>
      <c r="H53" s="201"/>
    </row>
    <row r="54" ht="22.5" customHeight="1">
      <c r="A54" s="127">
        <v>45163.0</v>
      </c>
      <c r="B54" s="128" t="s">
        <v>522</v>
      </c>
      <c r="C54" s="129" t="s">
        <v>523</v>
      </c>
      <c r="D54" s="133" t="s">
        <v>961</v>
      </c>
      <c r="E54" s="133">
        <v>2027.0</v>
      </c>
      <c r="F54" s="199" t="s">
        <v>1037</v>
      </c>
      <c r="G54" s="200">
        <v>36.0</v>
      </c>
      <c r="H54" s="201"/>
    </row>
    <row r="55" ht="22.5" customHeight="1">
      <c r="A55" s="127">
        <v>45163.0</v>
      </c>
      <c r="B55" s="129" t="s">
        <v>698</v>
      </c>
      <c r="C55" s="129" t="s">
        <v>699</v>
      </c>
      <c r="D55" s="133" t="s">
        <v>957</v>
      </c>
      <c r="E55" s="133">
        <v>2027.0</v>
      </c>
      <c r="F55" s="199" t="s">
        <v>1038</v>
      </c>
      <c r="G55" s="200">
        <v>13.0</v>
      </c>
      <c r="H55" s="201"/>
    </row>
    <row r="56" ht="22.5" customHeight="1">
      <c r="A56" s="127">
        <v>45163.0</v>
      </c>
      <c r="B56" s="129" t="s">
        <v>628</v>
      </c>
      <c r="C56" s="129" t="s">
        <v>629</v>
      </c>
      <c r="D56" s="133" t="s">
        <v>957</v>
      </c>
      <c r="E56" s="133">
        <v>2027.0</v>
      </c>
      <c r="F56" s="199" t="s">
        <v>1039</v>
      </c>
      <c r="G56" s="200">
        <v>3.0</v>
      </c>
      <c r="H56" s="201"/>
    </row>
    <row r="57" ht="22.5" customHeight="1">
      <c r="A57" s="127">
        <v>45163.0</v>
      </c>
      <c r="B57" s="128" t="s">
        <v>784</v>
      </c>
      <c r="C57" s="128" t="s">
        <v>785</v>
      </c>
      <c r="D57" s="133" t="s">
        <v>970</v>
      </c>
      <c r="E57" s="133">
        <v>2027.0</v>
      </c>
      <c r="F57" s="199" t="s">
        <v>1040</v>
      </c>
      <c r="G57" s="200">
        <v>20.0</v>
      </c>
      <c r="H57" s="201"/>
    </row>
    <row r="58" ht="22.5" customHeight="1">
      <c r="A58" s="127">
        <v>45163.0</v>
      </c>
      <c r="B58" s="154" t="s">
        <v>773</v>
      </c>
      <c r="C58" s="154" t="s">
        <v>774</v>
      </c>
      <c r="D58" s="133" t="s">
        <v>961</v>
      </c>
      <c r="E58" s="133">
        <v>2027.0</v>
      </c>
      <c r="F58" s="199" t="s">
        <v>1041</v>
      </c>
      <c r="G58" s="200">
        <v>11.0</v>
      </c>
      <c r="H58" s="201"/>
    </row>
    <row r="59" ht="22.5" customHeight="1">
      <c r="A59" s="127">
        <v>45163.0</v>
      </c>
      <c r="B59" s="129" t="s">
        <v>570</v>
      </c>
      <c r="C59" s="129" t="s">
        <v>571</v>
      </c>
      <c r="D59" s="133" t="s">
        <v>970</v>
      </c>
      <c r="E59" s="133">
        <v>2027.0</v>
      </c>
      <c r="F59" s="199" t="s">
        <v>1042</v>
      </c>
      <c r="G59" s="200">
        <v>4.0</v>
      </c>
      <c r="H59" s="201"/>
    </row>
    <row r="60" ht="22.5" customHeight="1">
      <c r="A60" s="127">
        <v>45163.0</v>
      </c>
      <c r="B60" s="129" t="s">
        <v>893</v>
      </c>
      <c r="C60" s="129" t="s">
        <v>894</v>
      </c>
      <c r="D60" s="133" t="s">
        <v>957</v>
      </c>
      <c r="E60" s="133">
        <v>2027.0</v>
      </c>
      <c r="F60" s="199" t="s">
        <v>1043</v>
      </c>
      <c r="G60" s="200">
        <v>2.0</v>
      </c>
      <c r="H60" s="201"/>
    </row>
    <row r="61" ht="22.5" customHeight="1">
      <c r="A61" s="127">
        <v>45163.0</v>
      </c>
      <c r="B61" s="154" t="s">
        <v>577</v>
      </c>
      <c r="C61" s="154" t="s">
        <v>578</v>
      </c>
      <c r="D61" s="133" t="s">
        <v>957</v>
      </c>
      <c r="E61" s="133">
        <v>2027.0</v>
      </c>
      <c r="F61" s="199" t="s">
        <v>1044</v>
      </c>
      <c r="G61" s="200">
        <v>1.0</v>
      </c>
      <c r="H61" s="201"/>
    </row>
    <row r="62" ht="22.5" customHeight="1">
      <c r="A62" s="127">
        <v>45163.0</v>
      </c>
      <c r="B62" s="129" t="s">
        <v>923</v>
      </c>
      <c r="C62" s="129" t="s">
        <v>924</v>
      </c>
      <c r="D62" s="133" t="s">
        <v>970</v>
      </c>
      <c r="E62" s="133">
        <v>2027.0</v>
      </c>
      <c r="F62" s="199" t="s">
        <v>1045</v>
      </c>
      <c r="G62" s="200">
        <v>2.0</v>
      </c>
      <c r="H62" s="201"/>
    </row>
    <row r="63" ht="22.5" customHeight="1">
      <c r="A63" s="127">
        <v>45163.0</v>
      </c>
      <c r="B63" s="128" t="s">
        <v>860</v>
      </c>
      <c r="C63" s="128" t="s">
        <v>861</v>
      </c>
      <c r="D63" s="133" t="s">
        <v>961</v>
      </c>
      <c r="E63" s="133">
        <v>2024.0</v>
      </c>
      <c r="F63" s="199" t="s">
        <v>1046</v>
      </c>
      <c r="G63" s="200">
        <v>2.0</v>
      </c>
      <c r="H63" s="201"/>
    </row>
    <row r="64" ht="22.5" customHeight="1">
      <c r="A64" s="127">
        <v>45163.0</v>
      </c>
      <c r="B64" s="129" t="s">
        <v>930</v>
      </c>
      <c r="C64" s="129" t="s">
        <v>931</v>
      </c>
      <c r="D64" s="133" t="s">
        <v>957</v>
      </c>
      <c r="E64" s="133">
        <v>2027.0</v>
      </c>
      <c r="F64" s="199" t="s">
        <v>1047</v>
      </c>
      <c r="G64" s="200">
        <v>17.0</v>
      </c>
      <c r="H64" s="201"/>
    </row>
    <row r="65" ht="22.5" customHeight="1">
      <c r="A65" s="127">
        <v>45163.0</v>
      </c>
      <c r="B65" s="154" t="s">
        <v>1048</v>
      </c>
      <c r="C65" s="154" t="s">
        <v>1049</v>
      </c>
      <c r="D65" s="133" t="s">
        <v>965</v>
      </c>
      <c r="E65" s="133">
        <v>2025.0</v>
      </c>
      <c r="F65" s="199" t="s">
        <v>1050</v>
      </c>
      <c r="G65" s="200">
        <v>4.0</v>
      </c>
      <c r="H65" s="201"/>
    </row>
    <row r="66" ht="22.5" customHeight="1">
      <c r="A66" s="127">
        <v>45163.0</v>
      </c>
      <c r="B66" s="133" t="s">
        <v>1051</v>
      </c>
      <c r="C66" s="133" t="s">
        <v>1052</v>
      </c>
      <c r="D66" s="133" t="s">
        <v>965</v>
      </c>
      <c r="E66" s="133">
        <v>2026.0</v>
      </c>
      <c r="F66" s="199" t="s">
        <v>1053</v>
      </c>
      <c r="G66" s="200">
        <v>30.0</v>
      </c>
      <c r="H66" s="201"/>
    </row>
    <row r="67" ht="22.5" customHeight="1">
      <c r="A67" s="127">
        <v>45163.0</v>
      </c>
      <c r="B67" s="129" t="s">
        <v>658</v>
      </c>
      <c r="C67" s="129" t="s">
        <v>659</v>
      </c>
      <c r="D67" s="133" t="s">
        <v>961</v>
      </c>
      <c r="E67" s="133">
        <v>2027.0</v>
      </c>
      <c r="F67" s="199" t="s">
        <v>1054</v>
      </c>
      <c r="G67" s="200">
        <v>47.0</v>
      </c>
      <c r="H67" s="201"/>
    </row>
    <row r="68" ht="22.5" customHeight="1">
      <c r="A68" s="127">
        <v>45163.0</v>
      </c>
      <c r="B68" s="154" t="s">
        <v>778</v>
      </c>
      <c r="C68" s="154" t="s">
        <v>779</v>
      </c>
      <c r="D68" s="133" t="s">
        <v>1031</v>
      </c>
      <c r="E68" s="133">
        <v>2024.0</v>
      </c>
      <c r="F68" s="199" t="s">
        <v>1055</v>
      </c>
      <c r="G68" s="200">
        <v>20.0</v>
      </c>
      <c r="H68" s="201"/>
    </row>
    <row r="69" ht="22.5" customHeight="1">
      <c r="A69" s="127">
        <v>45163.0</v>
      </c>
      <c r="B69" s="128" t="s">
        <v>921</v>
      </c>
      <c r="C69" s="129" t="s">
        <v>922</v>
      </c>
      <c r="D69" s="133" t="s">
        <v>957</v>
      </c>
      <c r="E69" s="133">
        <v>2027.0</v>
      </c>
      <c r="F69" s="199" t="s">
        <v>1056</v>
      </c>
      <c r="G69" s="200">
        <v>1.0</v>
      </c>
      <c r="H69" s="201"/>
    </row>
    <row r="70" ht="22.5" customHeight="1">
      <c r="A70" s="127">
        <v>45163.0</v>
      </c>
      <c r="B70" s="154" t="s">
        <v>1057</v>
      </c>
      <c r="C70" s="154" t="s">
        <v>1058</v>
      </c>
      <c r="D70" s="133" t="s">
        <v>957</v>
      </c>
      <c r="E70" s="133">
        <v>2027.0</v>
      </c>
      <c r="F70" s="199" t="s">
        <v>1059</v>
      </c>
      <c r="G70" s="200">
        <v>15.0</v>
      </c>
      <c r="H70" s="201"/>
    </row>
    <row r="71" ht="22.5" customHeight="1">
      <c r="A71" s="127">
        <v>45163.0</v>
      </c>
      <c r="B71" s="154" t="s">
        <v>1060</v>
      </c>
      <c r="C71" s="154" t="s">
        <v>1061</v>
      </c>
      <c r="D71" s="133" t="s">
        <v>965</v>
      </c>
      <c r="E71" s="133">
        <v>2025.0</v>
      </c>
      <c r="F71" s="199" t="s">
        <v>1062</v>
      </c>
      <c r="G71" s="200">
        <v>6.0</v>
      </c>
      <c r="H71" s="201"/>
    </row>
    <row r="72" ht="22.5" customHeight="1">
      <c r="A72" s="127">
        <v>45163.0</v>
      </c>
      <c r="B72" s="133" t="s">
        <v>1063</v>
      </c>
      <c r="C72" s="133" t="s">
        <v>1064</v>
      </c>
      <c r="D72" s="133" t="s">
        <v>965</v>
      </c>
      <c r="E72" s="133">
        <v>2025.0</v>
      </c>
      <c r="F72" s="199" t="s">
        <v>1065</v>
      </c>
      <c r="G72" s="200">
        <v>4.0</v>
      </c>
      <c r="H72" s="201"/>
    </row>
    <row r="73" ht="22.5" customHeight="1">
      <c r="A73" s="127">
        <v>45163.0</v>
      </c>
      <c r="B73" s="154" t="s">
        <v>1066</v>
      </c>
      <c r="C73" s="154" t="s">
        <v>1067</v>
      </c>
      <c r="D73" s="133" t="s">
        <v>1031</v>
      </c>
      <c r="E73" s="133">
        <v>2025.0</v>
      </c>
      <c r="F73" s="199" t="s">
        <v>1068</v>
      </c>
      <c r="G73" s="200">
        <v>9.0</v>
      </c>
      <c r="H73" s="201"/>
    </row>
    <row r="74" ht="22.5" customHeight="1">
      <c r="A74" s="127">
        <v>45163.0</v>
      </c>
      <c r="B74" s="154" t="s">
        <v>538</v>
      </c>
      <c r="C74" s="154" t="s">
        <v>539</v>
      </c>
      <c r="D74" s="133" t="s">
        <v>957</v>
      </c>
      <c r="E74" s="133">
        <v>2027.0</v>
      </c>
      <c r="F74" s="199" t="s">
        <v>1069</v>
      </c>
      <c r="G74" s="200">
        <v>2.0</v>
      </c>
      <c r="H74" s="201"/>
    </row>
    <row r="75" ht="22.5" customHeight="1">
      <c r="A75" s="127">
        <v>45163.0</v>
      </c>
      <c r="B75" s="154" t="s">
        <v>1070</v>
      </c>
      <c r="C75" s="154" t="s">
        <v>1071</v>
      </c>
      <c r="D75" s="133" t="s">
        <v>965</v>
      </c>
      <c r="E75" s="133">
        <v>2026.0</v>
      </c>
      <c r="F75" s="199" t="s">
        <v>1072</v>
      </c>
      <c r="G75" s="200">
        <v>7.0</v>
      </c>
      <c r="H75" s="201"/>
    </row>
    <row r="76" ht="22.5" customHeight="1">
      <c r="A76" s="127">
        <v>45163.0</v>
      </c>
      <c r="B76" s="128" t="s">
        <v>1073</v>
      </c>
      <c r="C76" s="128" t="s">
        <v>1074</v>
      </c>
      <c r="D76" s="133" t="s">
        <v>957</v>
      </c>
      <c r="E76" s="133">
        <v>2027.0</v>
      </c>
      <c r="F76" s="199" t="s">
        <v>1075</v>
      </c>
      <c r="G76" s="200">
        <v>20.0</v>
      </c>
      <c r="H76" s="201"/>
    </row>
    <row r="77" ht="22.5" customHeight="1">
      <c r="A77" s="127">
        <v>45163.0</v>
      </c>
      <c r="B77" s="154" t="s">
        <v>559</v>
      </c>
      <c r="C77" s="154" t="s">
        <v>560</v>
      </c>
      <c r="D77" s="133" t="s">
        <v>961</v>
      </c>
      <c r="E77" s="133">
        <v>2027.0</v>
      </c>
      <c r="F77" s="199" t="s">
        <v>1076</v>
      </c>
      <c r="G77" s="200">
        <v>17.0</v>
      </c>
      <c r="H77" s="201"/>
    </row>
    <row r="78" ht="22.5" customHeight="1">
      <c r="A78" s="127">
        <v>45163.0</v>
      </c>
      <c r="B78" s="128" t="s">
        <v>687</v>
      </c>
      <c r="C78" s="129" t="s">
        <v>688</v>
      </c>
      <c r="D78" s="133" t="s">
        <v>957</v>
      </c>
      <c r="E78" s="133">
        <v>2027.0</v>
      </c>
      <c r="F78" s="199" t="s">
        <v>1077</v>
      </c>
      <c r="G78" s="200">
        <v>6.0</v>
      </c>
      <c r="H78" s="201"/>
    </row>
    <row r="79" ht="22.5" customHeight="1">
      <c r="A79" s="127">
        <v>45163.0</v>
      </c>
      <c r="B79" s="129" t="s">
        <v>874</v>
      </c>
      <c r="C79" s="129" t="s">
        <v>875</v>
      </c>
      <c r="D79" s="133" t="s">
        <v>957</v>
      </c>
      <c r="E79" s="133">
        <v>2027.0</v>
      </c>
      <c r="F79" s="202" t="s">
        <v>1078</v>
      </c>
      <c r="G79" s="200">
        <v>15.0</v>
      </c>
      <c r="H79" s="201"/>
    </row>
    <row r="80" ht="22.5" customHeight="1">
      <c r="A80" s="127">
        <v>45163.0</v>
      </c>
      <c r="B80" s="129" t="s">
        <v>655</v>
      </c>
      <c r="C80" s="129" t="s">
        <v>656</v>
      </c>
      <c r="D80" s="133" t="s">
        <v>970</v>
      </c>
      <c r="E80" s="133">
        <v>2027.0</v>
      </c>
      <c r="F80" s="199" t="s">
        <v>1079</v>
      </c>
      <c r="G80" s="200">
        <v>1.0</v>
      </c>
      <c r="H80" s="201"/>
    </row>
    <row r="81" ht="22.5" customHeight="1">
      <c r="A81" s="127">
        <v>45163.0</v>
      </c>
      <c r="B81" s="133" t="s">
        <v>1080</v>
      </c>
      <c r="C81" s="133" t="s">
        <v>1081</v>
      </c>
      <c r="D81" s="133" t="s">
        <v>1082</v>
      </c>
      <c r="E81" s="133">
        <v>2026.0</v>
      </c>
      <c r="F81" s="199" t="s">
        <v>1083</v>
      </c>
      <c r="G81" s="200">
        <v>11.0</v>
      </c>
      <c r="H81" s="201"/>
    </row>
    <row r="82" ht="22.5" customHeight="1">
      <c r="A82" s="127">
        <v>45163.0</v>
      </c>
      <c r="B82" s="128" t="s">
        <v>812</v>
      </c>
      <c r="C82" s="129" t="s">
        <v>813</v>
      </c>
      <c r="D82" s="133" t="s">
        <v>961</v>
      </c>
      <c r="E82" s="133">
        <v>2027.0</v>
      </c>
      <c r="F82" s="199" t="s">
        <v>1084</v>
      </c>
      <c r="G82" s="200">
        <v>26.0</v>
      </c>
      <c r="H82" s="133"/>
    </row>
    <row r="83" ht="22.5" customHeight="1">
      <c r="A83" s="127">
        <v>45163.0</v>
      </c>
      <c r="B83" s="129" t="s">
        <v>718</v>
      </c>
      <c r="C83" s="129" t="s">
        <v>719</v>
      </c>
      <c r="D83" s="133" t="s">
        <v>957</v>
      </c>
      <c r="E83" s="133">
        <v>2027.0</v>
      </c>
      <c r="F83" s="199" t="s">
        <v>1085</v>
      </c>
      <c r="G83" s="200">
        <v>1.0</v>
      </c>
      <c r="H83" s="133"/>
    </row>
    <row r="84" ht="22.5" customHeight="1">
      <c r="A84" s="127">
        <v>45163.0</v>
      </c>
      <c r="B84" s="133" t="s">
        <v>1086</v>
      </c>
      <c r="C84" s="133" t="s">
        <v>1087</v>
      </c>
      <c r="D84" s="133" t="s">
        <v>965</v>
      </c>
      <c r="E84" s="133">
        <v>2026.0</v>
      </c>
      <c r="F84" s="199" t="s">
        <v>1088</v>
      </c>
      <c r="G84" s="200">
        <v>2.0</v>
      </c>
      <c r="H84" s="201"/>
    </row>
    <row r="85" ht="22.5" customHeight="1">
      <c r="A85" s="127">
        <v>45163.0</v>
      </c>
      <c r="B85" s="154" t="s">
        <v>1089</v>
      </c>
      <c r="C85" s="154" t="s">
        <v>1090</v>
      </c>
      <c r="D85" s="133" t="s">
        <v>1091</v>
      </c>
      <c r="E85" s="133">
        <v>2026.0</v>
      </c>
      <c r="F85" s="199" t="s">
        <v>1092</v>
      </c>
      <c r="G85" s="200">
        <v>4.0</v>
      </c>
      <c r="H85" s="201"/>
    </row>
    <row r="86" ht="22.5" customHeight="1">
      <c r="A86" s="127">
        <v>45163.0</v>
      </c>
      <c r="B86" s="129" t="s">
        <v>889</v>
      </c>
      <c r="C86" s="129" t="s">
        <v>890</v>
      </c>
      <c r="D86" s="133" t="s">
        <v>961</v>
      </c>
      <c r="E86" s="133">
        <v>2027.0</v>
      </c>
      <c r="F86" s="199" t="s">
        <v>1093</v>
      </c>
      <c r="G86" s="200">
        <v>29.0</v>
      </c>
      <c r="H86" s="201"/>
    </row>
    <row r="87" ht="22.5" customHeight="1">
      <c r="A87" s="127">
        <v>45163.0</v>
      </c>
      <c r="B87" s="129" t="s">
        <v>734</v>
      </c>
      <c r="C87" s="129" t="s">
        <v>735</v>
      </c>
      <c r="D87" s="133" t="s">
        <v>961</v>
      </c>
      <c r="E87" s="133">
        <v>2027.0</v>
      </c>
      <c r="F87" s="199" t="s">
        <v>1094</v>
      </c>
      <c r="G87" s="200">
        <v>40.0</v>
      </c>
      <c r="H87" s="201"/>
    </row>
    <row r="88" ht="22.5" customHeight="1">
      <c r="A88" s="127">
        <v>45163.0</v>
      </c>
      <c r="B88" s="128" t="s">
        <v>589</v>
      </c>
      <c r="C88" s="128" t="s">
        <v>590</v>
      </c>
      <c r="D88" s="133" t="s">
        <v>957</v>
      </c>
      <c r="E88" s="133">
        <v>2027.0</v>
      </c>
      <c r="F88" s="199" t="s">
        <v>1095</v>
      </c>
      <c r="G88" s="200">
        <v>34.0</v>
      </c>
      <c r="H88" s="201"/>
    </row>
    <row r="89" ht="22.5" customHeight="1">
      <c r="A89" s="127">
        <v>45163.0</v>
      </c>
      <c r="B89" s="154" t="s">
        <v>1096</v>
      </c>
      <c r="C89" s="154" t="s">
        <v>1097</v>
      </c>
      <c r="D89" s="133" t="s">
        <v>965</v>
      </c>
      <c r="E89" s="133">
        <v>2026.0</v>
      </c>
      <c r="F89" s="199" t="s">
        <v>1098</v>
      </c>
      <c r="G89" s="200">
        <v>18.0</v>
      </c>
      <c r="H89" s="201"/>
    </row>
    <row r="90" ht="22.5" customHeight="1">
      <c r="A90" s="127">
        <v>45163.0</v>
      </c>
      <c r="B90" s="128" t="s">
        <v>865</v>
      </c>
      <c r="C90" s="128" t="s">
        <v>866</v>
      </c>
      <c r="D90" s="133" t="s">
        <v>961</v>
      </c>
      <c r="E90" s="133">
        <v>2026.0</v>
      </c>
      <c r="F90" s="199" t="s">
        <v>1099</v>
      </c>
      <c r="G90" s="200">
        <v>6.0</v>
      </c>
      <c r="H90" s="201"/>
    </row>
    <row r="91" ht="22.5" customHeight="1">
      <c r="A91" s="127">
        <v>45163.0</v>
      </c>
      <c r="B91" s="133" t="s">
        <v>797</v>
      </c>
      <c r="C91" s="133" t="s">
        <v>798</v>
      </c>
      <c r="D91" s="133" t="s">
        <v>1091</v>
      </c>
      <c r="E91" s="133">
        <v>2026.0</v>
      </c>
      <c r="F91" s="199" t="s">
        <v>1100</v>
      </c>
      <c r="G91" s="200">
        <v>1.0</v>
      </c>
      <c r="H91" s="201"/>
    </row>
    <row r="92" ht="22.5" customHeight="1">
      <c r="A92" s="127">
        <v>45163.0</v>
      </c>
      <c r="B92" s="133" t="s">
        <v>1101</v>
      </c>
      <c r="C92" s="133" t="s">
        <v>1102</v>
      </c>
      <c r="D92" s="133" t="s">
        <v>970</v>
      </c>
      <c r="E92" s="133">
        <v>2027.0</v>
      </c>
      <c r="F92" s="199" t="s">
        <v>1103</v>
      </c>
      <c r="G92" s="200">
        <v>9.0</v>
      </c>
      <c r="H92" s="201"/>
    </row>
    <row r="93" ht="22.5" customHeight="1">
      <c r="A93" s="127">
        <v>45163.0</v>
      </c>
      <c r="B93" s="203" t="s">
        <v>896</v>
      </c>
      <c r="C93" s="203" t="s">
        <v>897</v>
      </c>
      <c r="D93" s="133" t="s">
        <v>970</v>
      </c>
      <c r="E93" s="133">
        <v>2026.0</v>
      </c>
      <c r="F93" s="199" t="s">
        <v>1104</v>
      </c>
      <c r="G93" s="200">
        <v>19.0</v>
      </c>
      <c r="H93" s="201"/>
    </row>
    <row r="94" ht="22.5" customHeight="1">
      <c r="A94" s="127">
        <v>45163.0</v>
      </c>
      <c r="B94" s="128" t="s">
        <v>919</v>
      </c>
      <c r="C94" s="128" t="s">
        <v>920</v>
      </c>
      <c r="D94" s="143" t="s">
        <v>957</v>
      </c>
      <c r="E94" s="133">
        <v>2027.0</v>
      </c>
      <c r="F94" s="199" t="s">
        <v>1105</v>
      </c>
      <c r="G94" s="200">
        <v>3.0</v>
      </c>
      <c r="H94" s="201"/>
    </row>
    <row r="95" ht="22.5" customHeight="1">
      <c r="A95" s="127">
        <v>45163.0</v>
      </c>
      <c r="B95" s="154" t="s">
        <v>1106</v>
      </c>
      <c r="C95" s="154" t="s">
        <v>1107</v>
      </c>
      <c r="D95" s="133" t="s">
        <v>957</v>
      </c>
      <c r="E95" s="133">
        <v>2027.0</v>
      </c>
      <c r="F95" s="199" t="s">
        <v>1108</v>
      </c>
      <c r="G95" s="200">
        <v>2.0</v>
      </c>
      <c r="H95" s="201"/>
    </row>
    <row r="96" ht="22.5" customHeight="1">
      <c r="A96" s="127">
        <v>45163.0</v>
      </c>
      <c r="B96" s="128" t="s">
        <v>647</v>
      </c>
      <c r="C96" s="129" t="s">
        <v>648</v>
      </c>
      <c r="D96" s="133" t="s">
        <v>961</v>
      </c>
      <c r="E96" s="133">
        <v>2027.0</v>
      </c>
      <c r="F96" s="199" t="s">
        <v>1109</v>
      </c>
      <c r="G96" s="200">
        <v>14.0</v>
      </c>
      <c r="H96" s="201"/>
    </row>
    <row r="97" ht="22.5" customHeight="1">
      <c r="A97" s="127">
        <v>45163.0</v>
      </c>
      <c r="B97" s="133" t="s">
        <v>550</v>
      </c>
      <c r="C97" s="133" t="s">
        <v>551</v>
      </c>
      <c r="D97" s="133" t="s">
        <v>957</v>
      </c>
      <c r="E97" s="133">
        <v>2027.0</v>
      </c>
      <c r="F97" s="199" t="s">
        <v>1110</v>
      </c>
      <c r="G97" s="200">
        <v>6.0</v>
      </c>
      <c r="H97" s="201"/>
    </row>
    <row r="98" ht="22.5" customHeight="1">
      <c r="A98" s="127">
        <v>45163.0</v>
      </c>
      <c r="B98" s="129" t="s">
        <v>731</v>
      </c>
      <c r="C98" s="129" t="s">
        <v>732</v>
      </c>
      <c r="D98" s="133" t="s">
        <v>957</v>
      </c>
      <c r="E98" s="133">
        <v>2027.0</v>
      </c>
      <c r="F98" s="199" t="s">
        <v>1111</v>
      </c>
      <c r="G98" s="200">
        <v>42.0</v>
      </c>
      <c r="H98" s="201"/>
    </row>
    <row r="99" ht="22.5" customHeight="1">
      <c r="A99" s="127">
        <v>45163.0</v>
      </c>
      <c r="B99" s="154" t="s">
        <v>803</v>
      </c>
      <c r="C99" s="154" t="s">
        <v>804</v>
      </c>
      <c r="D99" s="133" t="s">
        <v>961</v>
      </c>
      <c r="E99" s="133">
        <v>2026.0</v>
      </c>
      <c r="F99" s="199" t="s">
        <v>1112</v>
      </c>
      <c r="G99" s="200">
        <v>9.0</v>
      </c>
      <c r="H99" s="201"/>
    </row>
    <row r="100" ht="22.5" customHeight="1">
      <c r="A100" s="127">
        <v>45166.0</v>
      </c>
      <c r="B100" s="133" t="s">
        <v>1113</v>
      </c>
      <c r="C100" s="133" t="s">
        <v>1114</v>
      </c>
      <c r="D100" s="133" t="s">
        <v>961</v>
      </c>
      <c r="E100" s="133">
        <v>2027.0</v>
      </c>
      <c r="F100" s="199" t="s">
        <v>1115</v>
      </c>
      <c r="G100" s="200">
        <v>17.0</v>
      </c>
      <c r="H100" s="201"/>
    </row>
    <row r="101" ht="22.5" customHeight="1">
      <c r="A101" s="127">
        <v>45166.0</v>
      </c>
      <c r="B101" s="154" t="s">
        <v>806</v>
      </c>
      <c r="C101" s="154" t="s">
        <v>807</v>
      </c>
      <c r="D101" s="133" t="s">
        <v>1116</v>
      </c>
      <c r="E101" s="133">
        <v>2025.0</v>
      </c>
      <c r="F101" s="199" t="s">
        <v>1117</v>
      </c>
      <c r="G101" s="200">
        <v>13.0</v>
      </c>
      <c r="H101" s="201"/>
    </row>
    <row r="102" ht="22.5" customHeight="1">
      <c r="A102" s="127">
        <v>45166.0</v>
      </c>
      <c r="B102" s="154" t="s">
        <v>826</v>
      </c>
      <c r="C102" s="154" t="s">
        <v>827</v>
      </c>
      <c r="D102" s="133" t="s">
        <v>1031</v>
      </c>
      <c r="E102" s="133">
        <v>2024.0</v>
      </c>
      <c r="F102" s="199" t="s">
        <v>1118</v>
      </c>
      <c r="G102" s="200">
        <v>13.0</v>
      </c>
      <c r="H102" s="201"/>
    </row>
    <row r="103" ht="22.5" customHeight="1">
      <c r="A103" s="127">
        <v>45166.0</v>
      </c>
      <c r="B103" s="129" t="s">
        <v>937</v>
      </c>
      <c r="C103" s="129" t="s">
        <v>938</v>
      </c>
      <c r="D103" s="133" t="s">
        <v>961</v>
      </c>
      <c r="E103" s="133">
        <v>2027.0</v>
      </c>
      <c r="F103" s="199" t="s">
        <v>1119</v>
      </c>
      <c r="G103" s="200">
        <v>4.0</v>
      </c>
      <c r="H103" s="201"/>
    </row>
    <row r="104" ht="22.5" customHeight="1">
      <c r="A104" s="127">
        <v>45166.0</v>
      </c>
      <c r="B104" s="154" t="s">
        <v>843</v>
      </c>
      <c r="C104" s="154" t="s">
        <v>844</v>
      </c>
      <c r="D104" s="133" t="s">
        <v>957</v>
      </c>
      <c r="E104" s="133">
        <v>2027.0</v>
      </c>
      <c r="F104" s="199" t="s">
        <v>1120</v>
      </c>
      <c r="G104" s="200">
        <v>3.0</v>
      </c>
      <c r="H104" s="201"/>
    </row>
    <row r="105" ht="22.5" customHeight="1">
      <c r="A105" s="127">
        <v>45166.0</v>
      </c>
      <c r="B105" s="133" t="s">
        <v>1121</v>
      </c>
      <c r="C105" s="133" t="s">
        <v>1122</v>
      </c>
      <c r="D105" s="133" t="s">
        <v>1123</v>
      </c>
      <c r="E105" s="133">
        <v>2026.0</v>
      </c>
      <c r="F105" s="199" t="s">
        <v>1124</v>
      </c>
      <c r="G105" s="200">
        <v>11.0</v>
      </c>
      <c r="H105" s="201"/>
    </row>
    <row r="106" ht="22.5" customHeight="1">
      <c r="A106" s="127">
        <v>45166.0</v>
      </c>
      <c r="B106" s="154" t="s">
        <v>577</v>
      </c>
      <c r="C106" s="154" t="s">
        <v>578</v>
      </c>
      <c r="D106" s="133" t="s">
        <v>957</v>
      </c>
      <c r="E106" s="133">
        <v>2027.0</v>
      </c>
      <c r="F106" s="199" t="s">
        <v>1125</v>
      </c>
      <c r="G106" s="200">
        <v>3.0</v>
      </c>
      <c r="H106" s="201"/>
    </row>
    <row r="107" ht="22.5" customHeight="1">
      <c r="A107" s="127">
        <v>45166.0</v>
      </c>
      <c r="B107" s="154" t="s">
        <v>1126</v>
      </c>
      <c r="C107" s="154" t="s">
        <v>1127</v>
      </c>
      <c r="D107" s="133" t="s">
        <v>961</v>
      </c>
      <c r="E107" s="133">
        <v>2027.0</v>
      </c>
      <c r="F107" s="199" t="s">
        <v>1128</v>
      </c>
      <c r="G107" s="200">
        <v>1.0</v>
      </c>
      <c r="H107" s="201"/>
    </row>
    <row r="108" ht="22.5" customHeight="1">
      <c r="A108" s="127">
        <v>45166.0</v>
      </c>
      <c r="B108" s="133" t="s">
        <v>1129</v>
      </c>
      <c r="C108" s="133" t="s">
        <v>1130</v>
      </c>
      <c r="D108" s="133" t="s">
        <v>1031</v>
      </c>
      <c r="E108" s="133">
        <v>2025.0</v>
      </c>
      <c r="F108" s="199" t="s">
        <v>1131</v>
      </c>
      <c r="G108" s="200">
        <v>3.0</v>
      </c>
      <c r="H108" s="201"/>
    </row>
    <row r="109" ht="22.5" customHeight="1">
      <c r="A109" s="127">
        <v>45166.0</v>
      </c>
      <c r="B109" s="133" t="s">
        <v>746</v>
      </c>
      <c r="C109" s="133" t="s">
        <v>747</v>
      </c>
      <c r="D109" s="133" t="s">
        <v>1031</v>
      </c>
      <c r="E109" s="133">
        <v>2025.0</v>
      </c>
      <c r="F109" s="199" t="s">
        <v>1132</v>
      </c>
      <c r="G109" s="200">
        <v>6.0</v>
      </c>
      <c r="H109" s="201"/>
    </row>
    <row r="110" ht="22.5" customHeight="1">
      <c r="A110" s="127">
        <v>45166.0</v>
      </c>
      <c r="B110" s="133" t="s">
        <v>610</v>
      </c>
      <c r="C110" s="133" t="s">
        <v>611</v>
      </c>
      <c r="D110" s="133" t="s">
        <v>1031</v>
      </c>
      <c r="E110" s="133">
        <v>2025.0</v>
      </c>
      <c r="F110" s="199" t="s">
        <v>1133</v>
      </c>
      <c r="G110" s="200">
        <v>3.0</v>
      </c>
      <c r="H110" s="201"/>
    </row>
    <row r="111" ht="22.5" customHeight="1">
      <c r="A111" s="127">
        <v>45166.0</v>
      </c>
      <c r="B111" s="154" t="s">
        <v>1134</v>
      </c>
      <c r="C111" s="128" t="s">
        <v>555</v>
      </c>
      <c r="D111" s="133" t="s">
        <v>957</v>
      </c>
      <c r="E111" s="133">
        <v>2027.0</v>
      </c>
      <c r="F111" s="199" t="s">
        <v>1135</v>
      </c>
      <c r="G111" s="200">
        <v>48.0</v>
      </c>
      <c r="H111" s="133"/>
    </row>
    <row r="112" ht="22.5" customHeight="1">
      <c r="A112" s="127">
        <v>45166.0</v>
      </c>
      <c r="B112" s="129" t="s">
        <v>658</v>
      </c>
      <c r="C112" s="129" t="s">
        <v>659</v>
      </c>
      <c r="D112" s="133" t="s">
        <v>961</v>
      </c>
      <c r="E112" s="133">
        <v>2027.0</v>
      </c>
      <c r="F112" s="199" t="s">
        <v>1136</v>
      </c>
      <c r="G112" s="200">
        <v>2.0</v>
      </c>
      <c r="H112" s="201"/>
    </row>
    <row r="113" ht="22.5" customHeight="1">
      <c r="A113" s="127">
        <v>45166.0</v>
      </c>
      <c r="B113" s="154" t="s">
        <v>820</v>
      </c>
      <c r="C113" s="154" t="s">
        <v>821</v>
      </c>
      <c r="D113" s="133" t="s">
        <v>957</v>
      </c>
      <c r="E113" s="133">
        <v>2027.0</v>
      </c>
      <c r="F113" s="199" t="s">
        <v>1137</v>
      </c>
      <c r="G113" s="200">
        <v>15.0</v>
      </c>
      <c r="H113" s="201"/>
    </row>
    <row r="114" ht="22.5" customHeight="1">
      <c r="A114" s="127">
        <v>45166.0</v>
      </c>
      <c r="B114" s="154" t="s">
        <v>616</v>
      </c>
      <c r="C114" s="154" t="s">
        <v>617</v>
      </c>
      <c r="D114" s="133" t="s">
        <v>957</v>
      </c>
      <c r="E114" s="133">
        <v>2027.0</v>
      </c>
      <c r="F114" s="199" t="s">
        <v>1138</v>
      </c>
      <c r="G114" s="200">
        <v>11.0</v>
      </c>
      <c r="H114" s="201"/>
    </row>
    <row r="115" ht="22.5" customHeight="1">
      <c r="A115" s="127">
        <v>45166.0</v>
      </c>
      <c r="B115" s="154" t="s">
        <v>534</v>
      </c>
      <c r="C115" s="154" t="s">
        <v>535</v>
      </c>
      <c r="D115" s="133" t="s">
        <v>961</v>
      </c>
      <c r="E115" s="133">
        <v>2027.0</v>
      </c>
      <c r="F115" s="199" t="s">
        <v>1139</v>
      </c>
      <c r="G115" s="200">
        <v>15.0</v>
      </c>
      <c r="H115" s="201"/>
    </row>
    <row r="116" ht="22.5" customHeight="1">
      <c r="A116" s="127">
        <v>45166.0</v>
      </c>
      <c r="B116" s="128" t="s">
        <v>1073</v>
      </c>
      <c r="C116" s="128" t="s">
        <v>1074</v>
      </c>
      <c r="D116" s="133" t="s">
        <v>957</v>
      </c>
      <c r="E116" s="133">
        <v>2027.0</v>
      </c>
      <c r="F116" s="199" t="s">
        <v>1140</v>
      </c>
      <c r="G116" s="200">
        <v>25.0</v>
      </c>
      <c r="H116" s="201"/>
    </row>
    <row r="117" ht="22.5" customHeight="1">
      <c r="A117" s="127">
        <v>45166.0</v>
      </c>
      <c r="B117" s="128" t="s">
        <v>765</v>
      </c>
      <c r="C117" s="128" t="s">
        <v>766</v>
      </c>
      <c r="D117" s="133" t="s">
        <v>970</v>
      </c>
      <c r="E117" s="133">
        <v>2027.0</v>
      </c>
      <c r="F117" s="199" t="s">
        <v>1141</v>
      </c>
      <c r="G117" s="200">
        <v>20.0</v>
      </c>
      <c r="H117" s="201"/>
    </row>
    <row r="118" ht="22.5" customHeight="1">
      <c r="A118" s="127">
        <v>45166.0</v>
      </c>
      <c r="B118" s="133" t="s">
        <v>1142</v>
      </c>
      <c r="C118" s="133" t="s">
        <v>1143</v>
      </c>
      <c r="D118" s="133" t="s">
        <v>957</v>
      </c>
      <c r="E118" s="133">
        <v>2027.0</v>
      </c>
      <c r="F118" s="199" t="s">
        <v>1144</v>
      </c>
      <c r="G118" s="200">
        <v>15.0</v>
      </c>
      <c r="H118" s="201"/>
    </row>
    <row r="119" ht="22.5" customHeight="1">
      <c r="A119" s="127">
        <v>45166.0</v>
      </c>
      <c r="B119" s="133" t="s">
        <v>540</v>
      </c>
      <c r="C119" s="133" t="s">
        <v>541</v>
      </c>
      <c r="D119" s="133" t="s">
        <v>970</v>
      </c>
      <c r="E119" s="133">
        <v>2027.0</v>
      </c>
      <c r="F119" s="199" t="s">
        <v>1145</v>
      </c>
      <c r="G119" s="200">
        <v>19.0</v>
      </c>
      <c r="H119" s="133"/>
    </row>
    <row r="120" ht="22.5" customHeight="1">
      <c r="A120" s="127">
        <v>45166.0</v>
      </c>
      <c r="B120" s="154" t="s">
        <v>1146</v>
      </c>
      <c r="C120" s="128"/>
      <c r="D120" s="133" t="s">
        <v>965</v>
      </c>
      <c r="E120" s="133">
        <v>2024.0</v>
      </c>
      <c r="F120" s="199" t="s">
        <v>1147</v>
      </c>
      <c r="G120" s="200">
        <v>4.0</v>
      </c>
      <c r="H120" s="133"/>
    </row>
    <row r="121" ht="22.5" customHeight="1">
      <c r="A121" s="127">
        <v>45166.0</v>
      </c>
      <c r="B121" s="154" t="s">
        <v>1148</v>
      </c>
      <c r="C121" s="154" t="s">
        <v>1149</v>
      </c>
      <c r="D121" s="133" t="s">
        <v>965</v>
      </c>
      <c r="E121" s="133">
        <v>2024.0</v>
      </c>
      <c r="F121" s="199" t="s">
        <v>1150</v>
      </c>
      <c r="G121" s="200">
        <v>29.0</v>
      </c>
      <c r="H121" s="201"/>
    </row>
    <row r="122" ht="22.5" customHeight="1">
      <c r="A122" s="127">
        <v>45166.0</v>
      </c>
      <c r="B122" s="133" t="s">
        <v>1151</v>
      </c>
      <c r="C122" s="133" t="s">
        <v>1152</v>
      </c>
      <c r="D122" s="133" t="s">
        <v>970</v>
      </c>
      <c r="E122" s="133">
        <v>2027.0</v>
      </c>
      <c r="F122" s="199" t="s">
        <v>1153</v>
      </c>
      <c r="G122" s="200">
        <v>11.0</v>
      </c>
      <c r="H122" s="201"/>
    </row>
    <row r="123" ht="22.5" customHeight="1">
      <c r="A123" s="127">
        <v>45166.0</v>
      </c>
      <c r="B123" s="128" t="s">
        <v>647</v>
      </c>
      <c r="C123" s="129" t="s">
        <v>648</v>
      </c>
      <c r="D123" s="133" t="s">
        <v>961</v>
      </c>
      <c r="E123" s="133">
        <v>2027.0</v>
      </c>
      <c r="F123" s="199" t="s">
        <v>1154</v>
      </c>
      <c r="G123" s="200">
        <v>8.0</v>
      </c>
      <c r="H123" s="201"/>
    </row>
    <row r="124" ht="22.5" customHeight="1">
      <c r="A124" s="127">
        <v>45166.0</v>
      </c>
      <c r="B124" s="133" t="s">
        <v>1155</v>
      </c>
      <c r="C124" s="133" t="s">
        <v>1156</v>
      </c>
      <c r="D124" s="133" t="s">
        <v>961</v>
      </c>
      <c r="E124" s="133">
        <v>2027.0</v>
      </c>
      <c r="F124" s="199" t="s">
        <v>1157</v>
      </c>
      <c r="G124" s="200">
        <v>2.0</v>
      </c>
      <c r="H124" s="201"/>
    </row>
    <row r="125" ht="22.5" customHeight="1">
      <c r="A125" s="127">
        <v>45166.0</v>
      </c>
      <c r="B125" s="154" t="s">
        <v>784</v>
      </c>
      <c r="C125" s="128" t="s">
        <v>785</v>
      </c>
      <c r="D125" s="133" t="s">
        <v>970</v>
      </c>
      <c r="E125" s="133">
        <v>2027.0</v>
      </c>
      <c r="F125" s="199" t="s">
        <v>1158</v>
      </c>
      <c r="G125" s="200">
        <v>10.0</v>
      </c>
      <c r="H125" s="133"/>
    </row>
    <row r="126" ht="22.5" customHeight="1">
      <c r="A126" s="127">
        <v>45166.0</v>
      </c>
      <c r="B126" s="133" t="s">
        <v>841</v>
      </c>
      <c r="C126" s="133" t="s">
        <v>842</v>
      </c>
      <c r="D126" s="133" t="s">
        <v>970</v>
      </c>
      <c r="E126" s="133">
        <v>2026.0</v>
      </c>
      <c r="F126" s="199" t="s">
        <v>1159</v>
      </c>
      <c r="G126" s="200">
        <v>13.0</v>
      </c>
      <c r="H126" s="201"/>
    </row>
    <row r="127" ht="22.5" customHeight="1">
      <c r="A127" s="127">
        <v>45166.0</v>
      </c>
      <c r="B127" s="133" t="s">
        <v>1160</v>
      </c>
      <c r="C127" s="133" t="s">
        <v>1161</v>
      </c>
      <c r="D127" s="133" t="s">
        <v>1162</v>
      </c>
      <c r="E127" s="133">
        <v>2024.0</v>
      </c>
      <c r="F127" s="199" t="s">
        <v>1163</v>
      </c>
      <c r="G127" s="200">
        <v>24.0</v>
      </c>
      <c r="H127" s="201"/>
    </row>
    <row r="128" ht="22.5" customHeight="1">
      <c r="A128" s="127">
        <v>45166.0</v>
      </c>
      <c r="B128" s="154" t="s">
        <v>1013</v>
      </c>
      <c r="C128" s="154" t="s">
        <v>1014</v>
      </c>
      <c r="D128" s="133" t="s">
        <v>965</v>
      </c>
      <c r="E128" s="133">
        <v>2025.0</v>
      </c>
      <c r="F128" s="199" t="s">
        <v>1164</v>
      </c>
      <c r="G128" s="200">
        <v>1.0</v>
      </c>
      <c r="H128" s="201"/>
    </row>
    <row r="129" ht="22.5" customHeight="1">
      <c r="A129" s="127">
        <v>45166.0</v>
      </c>
      <c r="B129" s="133" t="s">
        <v>790</v>
      </c>
      <c r="C129" s="133" t="s">
        <v>791</v>
      </c>
      <c r="D129" s="133" t="s">
        <v>1116</v>
      </c>
      <c r="E129" s="133">
        <v>2024.0</v>
      </c>
      <c r="F129" s="199" t="s">
        <v>1165</v>
      </c>
      <c r="G129" s="200">
        <v>13.0</v>
      </c>
      <c r="H129" s="201"/>
    </row>
    <row r="130" ht="22.5" customHeight="1">
      <c r="A130" s="127">
        <v>45166.0</v>
      </c>
      <c r="B130" s="128" t="s">
        <v>1166</v>
      </c>
      <c r="C130" s="128" t="s">
        <v>757</v>
      </c>
      <c r="D130" s="133" t="s">
        <v>970</v>
      </c>
      <c r="E130" s="133">
        <v>2027.0</v>
      </c>
      <c r="F130" s="199" t="s">
        <v>1167</v>
      </c>
      <c r="G130" s="200">
        <v>17.0</v>
      </c>
      <c r="H130" s="201"/>
    </row>
    <row r="131" ht="22.5" customHeight="1">
      <c r="A131" s="127">
        <v>45166.0</v>
      </c>
      <c r="B131" s="128" t="s">
        <v>916</v>
      </c>
      <c r="C131" s="128" t="s">
        <v>917</v>
      </c>
      <c r="D131" s="133" t="s">
        <v>961</v>
      </c>
      <c r="E131" s="133">
        <v>2027.0</v>
      </c>
      <c r="F131" s="199" t="s">
        <v>1168</v>
      </c>
      <c r="G131" s="200">
        <v>2.0</v>
      </c>
      <c r="H131" s="201"/>
    </row>
    <row r="132" ht="22.5" customHeight="1">
      <c r="A132" s="127">
        <v>45166.0</v>
      </c>
      <c r="B132" s="128" t="s">
        <v>516</v>
      </c>
      <c r="C132" s="128" t="s">
        <v>517</v>
      </c>
      <c r="D132" s="133" t="s">
        <v>970</v>
      </c>
      <c r="E132" s="133">
        <v>2027.0</v>
      </c>
      <c r="F132" s="199" t="s">
        <v>1169</v>
      </c>
      <c r="G132" s="200">
        <v>4.0</v>
      </c>
      <c r="H132" s="201"/>
    </row>
    <row r="133" ht="22.5" customHeight="1">
      <c r="A133" s="127">
        <v>45166.0</v>
      </c>
      <c r="B133" s="128" t="s">
        <v>593</v>
      </c>
      <c r="C133" s="128" t="s">
        <v>594</v>
      </c>
      <c r="D133" s="133" t="s">
        <v>961</v>
      </c>
      <c r="E133" s="133">
        <v>2027.0</v>
      </c>
      <c r="F133" s="199" t="s">
        <v>1170</v>
      </c>
      <c r="G133" s="200">
        <v>15.0</v>
      </c>
      <c r="H133" s="201"/>
    </row>
    <row r="134" ht="22.5" customHeight="1">
      <c r="A134" s="127">
        <v>45166.0</v>
      </c>
      <c r="B134" s="133" t="s">
        <v>680</v>
      </c>
      <c r="C134" s="133" t="s">
        <v>681</v>
      </c>
      <c r="D134" s="133" t="s">
        <v>1091</v>
      </c>
      <c r="E134" s="133">
        <v>2026.0</v>
      </c>
      <c r="F134" s="199" t="s">
        <v>1171</v>
      </c>
      <c r="G134" s="200">
        <v>1.0</v>
      </c>
      <c r="H134" s="201"/>
    </row>
    <row r="135" ht="22.5" customHeight="1">
      <c r="A135" s="127">
        <v>45166.0</v>
      </c>
      <c r="B135" s="128" t="s">
        <v>613</v>
      </c>
      <c r="C135" s="129" t="s">
        <v>614</v>
      </c>
      <c r="D135" s="133" t="s">
        <v>961</v>
      </c>
      <c r="E135" s="133">
        <v>2027.0</v>
      </c>
      <c r="F135" s="199" t="s">
        <v>1172</v>
      </c>
      <c r="G135" s="200">
        <v>11.0</v>
      </c>
      <c r="H135" s="201"/>
    </row>
    <row r="136" ht="22.5" customHeight="1">
      <c r="A136" s="127">
        <v>45166.0</v>
      </c>
      <c r="B136" s="133" t="s">
        <v>857</v>
      </c>
      <c r="C136" s="133" t="s">
        <v>858</v>
      </c>
      <c r="D136" s="133" t="s">
        <v>957</v>
      </c>
      <c r="E136" s="133">
        <v>2027.0</v>
      </c>
      <c r="F136" s="199" t="s">
        <v>1173</v>
      </c>
      <c r="G136" s="200">
        <v>11.0</v>
      </c>
      <c r="H136" s="201"/>
    </row>
    <row r="137" ht="22.5" customHeight="1">
      <c r="A137" s="127">
        <v>45166.0</v>
      </c>
      <c r="B137" s="133" t="s">
        <v>781</v>
      </c>
      <c r="C137" s="133" t="s">
        <v>782</v>
      </c>
      <c r="D137" s="133" t="s">
        <v>961</v>
      </c>
      <c r="E137" s="133">
        <v>2026.0</v>
      </c>
      <c r="F137" s="199" t="s">
        <v>1174</v>
      </c>
      <c r="G137" s="200">
        <v>17.0</v>
      </c>
      <c r="H137" s="201"/>
    </row>
    <row r="138" ht="22.5" customHeight="1">
      <c r="A138" s="127">
        <v>45166.0</v>
      </c>
      <c r="B138" s="129" t="s">
        <v>586</v>
      </c>
      <c r="C138" s="129" t="s">
        <v>587</v>
      </c>
      <c r="D138" s="133" t="s">
        <v>961</v>
      </c>
      <c r="E138" s="133">
        <v>2027.0</v>
      </c>
      <c r="F138" s="199" t="s">
        <v>1175</v>
      </c>
      <c r="G138" s="200">
        <v>11.0</v>
      </c>
      <c r="H138" s="201"/>
    </row>
    <row r="139" ht="22.5" customHeight="1">
      <c r="A139" s="127">
        <v>45166.0</v>
      </c>
      <c r="B139" s="133" t="s">
        <v>695</v>
      </c>
      <c r="C139" s="133" t="s">
        <v>696</v>
      </c>
      <c r="D139" s="133" t="s">
        <v>961</v>
      </c>
      <c r="E139" s="133">
        <v>2027.0</v>
      </c>
      <c r="F139" s="199" t="s">
        <v>1176</v>
      </c>
      <c r="G139" s="200">
        <v>5.0</v>
      </c>
      <c r="H139" s="201"/>
    </row>
    <row r="140" ht="22.5" customHeight="1">
      <c r="A140" s="127">
        <v>45166.0</v>
      </c>
      <c r="B140" s="128" t="s">
        <v>661</v>
      </c>
      <c r="C140" s="128" t="s">
        <v>662</v>
      </c>
      <c r="D140" s="133" t="s">
        <v>1116</v>
      </c>
      <c r="E140" s="133">
        <v>2026.0</v>
      </c>
      <c r="F140" s="199" t="s">
        <v>1177</v>
      </c>
      <c r="G140" s="200">
        <v>31.0</v>
      </c>
      <c r="H140" s="201"/>
    </row>
    <row r="141" ht="22.5" customHeight="1">
      <c r="A141" s="127">
        <v>45166.0</v>
      </c>
      <c r="B141" s="154" t="s">
        <v>1178</v>
      </c>
      <c r="C141" s="154" t="s">
        <v>1179</v>
      </c>
      <c r="D141" s="133" t="s">
        <v>1091</v>
      </c>
      <c r="E141" s="133">
        <v>2025.0</v>
      </c>
      <c r="F141" s="199" t="s">
        <v>1180</v>
      </c>
      <c r="G141" s="200">
        <v>4.0</v>
      </c>
      <c r="H141" s="201"/>
    </row>
    <row r="142" ht="22.5" customHeight="1">
      <c r="A142" s="127">
        <v>45166.0</v>
      </c>
      <c r="B142" s="154" t="s">
        <v>634</v>
      </c>
      <c r="C142" s="154" t="s">
        <v>635</v>
      </c>
      <c r="D142" s="133" t="s">
        <v>961</v>
      </c>
      <c r="E142" s="133">
        <v>2027.0</v>
      </c>
      <c r="F142" s="199" t="s">
        <v>1181</v>
      </c>
      <c r="G142" s="200">
        <v>12.0</v>
      </c>
      <c r="H142" s="201"/>
    </row>
    <row r="143" ht="22.5" customHeight="1">
      <c r="A143" s="127">
        <v>45166.0</v>
      </c>
      <c r="B143" s="133" t="s">
        <v>832</v>
      </c>
      <c r="C143" s="133" t="s">
        <v>833</v>
      </c>
      <c r="D143" s="133" t="s">
        <v>961</v>
      </c>
      <c r="E143" s="133">
        <v>2027.0</v>
      </c>
      <c r="F143" s="199" t="s">
        <v>1182</v>
      </c>
      <c r="G143" s="200">
        <v>4.0</v>
      </c>
      <c r="H143" s="201"/>
    </row>
    <row r="144" ht="22.5" customHeight="1">
      <c r="A144" s="127">
        <v>45166.0</v>
      </c>
      <c r="B144" s="133" t="s">
        <v>850</v>
      </c>
      <c r="C144" s="133" t="s">
        <v>851</v>
      </c>
      <c r="D144" s="133" t="s">
        <v>957</v>
      </c>
      <c r="E144" s="133">
        <v>2026.0</v>
      </c>
      <c r="F144" s="199" t="s">
        <v>1183</v>
      </c>
      <c r="G144" s="200">
        <v>2.0</v>
      </c>
      <c r="H144" s="201"/>
    </row>
    <row r="145" ht="22.5" customHeight="1">
      <c r="A145" s="127">
        <v>45166.0</v>
      </c>
      <c r="B145" s="128" t="s">
        <v>677</v>
      </c>
      <c r="C145" s="128" t="s">
        <v>678</v>
      </c>
      <c r="D145" s="133" t="s">
        <v>957</v>
      </c>
      <c r="E145" s="133">
        <v>2027.0</v>
      </c>
      <c r="F145" s="199" t="s">
        <v>1184</v>
      </c>
      <c r="G145" s="200">
        <v>19.0</v>
      </c>
      <c r="H145" s="201"/>
    </row>
    <row r="146" ht="22.5" customHeight="1">
      <c r="A146" s="127">
        <v>45166.0</v>
      </c>
      <c r="B146" s="133" t="s">
        <v>546</v>
      </c>
      <c r="C146" s="143" t="s">
        <v>547</v>
      </c>
      <c r="D146" s="133" t="s">
        <v>961</v>
      </c>
      <c r="E146" s="133">
        <v>2026.0</v>
      </c>
      <c r="F146" s="199" t="s">
        <v>1185</v>
      </c>
      <c r="G146" s="200">
        <v>7.0</v>
      </c>
      <c r="H146" s="201"/>
    </row>
    <row r="147" ht="22.5" customHeight="1">
      <c r="A147" s="127">
        <v>45166.0</v>
      </c>
      <c r="B147" s="133" t="s">
        <v>1186</v>
      </c>
      <c r="C147" s="133" t="s">
        <v>1187</v>
      </c>
      <c r="D147" s="133" t="s">
        <v>957</v>
      </c>
      <c r="E147" s="133">
        <v>2027.0</v>
      </c>
      <c r="F147" s="199" t="s">
        <v>1188</v>
      </c>
      <c r="G147" s="200">
        <v>4.0</v>
      </c>
      <c r="H147" s="201"/>
    </row>
    <row r="148" ht="22.5" customHeight="1">
      <c r="A148" s="127">
        <v>45166.0</v>
      </c>
      <c r="B148" s="129" t="s">
        <v>1189</v>
      </c>
      <c r="C148" s="129" t="s">
        <v>1190</v>
      </c>
      <c r="D148" s="133" t="s">
        <v>961</v>
      </c>
      <c r="E148" s="133">
        <v>2027.0</v>
      </c>
      <c r="F148" s="199" t="s">
        <v>1191</v>
      </c>
      <c r="G148" s="200">
        <v>6.0</v>
      </c>
      <c r="H148" s="201"/>
    </row>
    <row r="149" ht="22.5" customHeight="1">
      <c r="A149" s="127">
        <v>45166.0</v>
      </c>
      <c r="B149" s="154" t="s">
        <v>1192</v>
      </c>
      <c r="C149" s="154" t="s">
        <v>1193</v>
      </c>
      <c r="D149" s="133" t="s">
        <v>961</v>
      </c>
      <c r="E149" s="133">
        <v>2027.0</v>
      </c>
      <c r="F149" s="199" t="s">
        <v>1194</v>
      </c>
      <c r="G149" s="200">
        <v>2.0</v>
      </c>
      <c r="H149" s="201"/>
    </row>
    <row r="150" ht="22.5" customHeight="1">
      <c r="A150" s="127">
        <v>45166.0</v>
      </c>
      <c r="B150" s="129" t="s">
        <v>877</v>
      </c>
      <c r="C150" s="129" t="s">
        <v>878</v>
      </c>
      <c r="D150" s="133" t="s">
        <v>961</v>
      </c>
      <c r="E150" s="133">
        <v>2027.0</v>
      </c>
      <c r="F150" s="199" t="s">
        <v>1195</v>
      </c>
      <c r="G150" s="200">
        <v>14.0</v>
      </c>
      <c r="H150" s="201"/>
    </row>
    <row r="151" ht="22.5" customHeight="1">
      <c r="A151" s="127">
        <v>45166.0</v>
      </c>
      <c r="B151" s="128" t="s">
        <v>1196</v>
      </c>
      <c r="C151" s="128" t="s">
        <v>1197</v>
      </c>
      <c r="D151" s="133" t="s">
        <v>957</v>
      </c>
      <c r="E151" s="133">
        <v>2027.0</v>
      </c>
      <c r="F151" s="199" t="s">
        <v>1198</v>
      </c>
      <c r="G151" s="200">
        <v>12.0</v>
      </c>
      <c r="H151" s="201"/>
    </row>
    <row r="152" ht="22.5" customHeight="1">
      <c r="A152" s="127">
        <v>45166.0</v>
      </c>
      <c r="B152" s="133" t="s">
        <v>817</v>
      </c>
      <c r="C152" s="133" t="s">
        <v>818</v>
      </c>
      <c r="D152" s="133" t="s">
        <v>961</v>
      </c>
      <c r="E152" s="133">
        <v>2026.0</v>
      </c>
      <c r="F152" s="199" t="s">
        <v>1199</v>
      </c>
      <c r="G152" s="200">
        <v>36.0</v>
      </c>
      <c r="H152" s="201"/>
    </row>
    <row r="153" ht="22.5" customHeight="1">
      <c r="A153" s="127">
        <v>45166.0</v>
      </c>
      <c r="B153" s="128" t="s">
        <v>690</v>
      </c>
      <c r="C153" s="128" t="s">
        <v>691</v>
      </c>
      <c r="D153" s="133" t="s">
        <v>970</v>
      </c>
      <c r="E153" s="133">
        <v>2027.0</v>
      </c>
      <c r="F153" s="199" t="s">
        <v>1200</v>
      </c>
      <c r="G153" s="200">
        <v>15.0</v>
      </c>
      <c r="H153" s="201"/>
    </row>
    <row r="154" ht="22.5" customHeight="1">
      <c r="A154" s="127">
        <v>45166.0</v>
      </c>
      <c r="B154" s="133" t="s">
        <v>762</v>
      </c>
      <c r="C154" s="133" t="s">
        <v>763</v>
      </c>
      <c r="D154" s="133" t="s">
        <v>961</v>
      </c>
      <c r="E154" s="133">
        <v>2027.0</v>
      </c>
      <c r="F154" s="199" t="s">
        <v>1201</v>
      </c>
      <c r="G154" s="200">
        <v>23.0</v>
      </c>
      <c r="H154" s="201"/>
    </row>
    <row r="155" ht="22.5" customHeight="1">
      <c r="A155" s="127">
        <v>45166.0</v>
      </c>
      <c r="B155" s="128" t="s">
        <v>913</v>
      </c>
      <c r="C155" s="128" t="s">
        <v>914</v>
      </c>
      <c r="D155" s="133" t="s">
        <v>970</v>
      </c>
      <c r="E155" s="133">
        <v>2027.0</v>
      </c>
      <c r="F155" s="199" t="s">
        <v>1202</v>
      </c>
      <c r="G155" s="200">
        <v>1.0</v>
      </c>
      <c r="H155" s="201"/>
    </row>
    <row r="156" ht="22.5" customHeight="1">
      <c r="A156" s="127">
        <v>45166.0</v>
      </c>
      <c r="B156" s="133" t="s">
        <v>928</v>
      </c>
      <c r="C156" s="133" t="s">
        <v>929</v>
      </c>
      <c r="D156" s="133" t="s">
        <v>957</v>
      </c>
      <c r="E156" s="133">
        <v>2027.0</v>
      </c>
      <c r="F156" s="199" t="s">
        <v>1203</v>
      </c>
      <c r="G156" s="200">
        <v>14.0</v>
      </c>
      <c r="H156" s="201"/>
    </row>
    <row r="157" ht="22.5" customHeight="1">
      <c r="A157" s="127">
        <v>45166.0</v>
      </c>
      <c r="B157" s="133" t="s">
        <v>1204</v>
      </c>
      <c r="C157" s="133" t="s">
        <v>1205</v>
      </c>
      <c r="D157" s="133" t="s">
        <v>957</v>
      </c>
      <c r="E157" s="133">
        <v>2027.0</v>
      </c>
      <c r="F157" s="199" t="s">
        <v>1206</v>
      </c>
      <c r="G157" s="200">
        <v>3.0</v>
      </c>
      <c r="H157" s="204"/>
    </row>
    <row r="158" ht="22.5" customHeight="1">
      <c r="A158" s="127">
        <v>45166.0</v>
      </c>
      <c r="B158" s="133" t="s">
        <v>1207</v>
      </c>
      <c r="C158" s="133" t="s">
        <v>1208</v>
      </c>
      <c r="D158" s="133" t="s">
        <v>957</v>
      </c>
      <c r="E158" s="133">
        <v>2027.0</v>
      </c>
      <c r="F158" s="199" t="s">
        <v>1209</v>
      </c>
      <c r="G158" s="200">
        <v>8.0</v>
      </c>
      <c r="H158" s="201"/>
    </row>
    <row r="159" ht="22.5" customHeight="1">
      <c r="A159" s="127">
        <v>45166.0</v>
      </c>
      <c r="B159" s="129" t="s">
        <v>724</v>
      </c>
      <c r="C159" s="129" t="s">
        <v>725</v>
      </c>
      <c r="D159" s="133" t="s">
        <v>961</v>
      </c>
      <c r="E159" s="133">
        <v>2027.0</v>
      </c>
      <c r="F159" s="199" t="s">
        <v>1210</v>
      </c>
      <c r="G159" s="200">
        <v>5.0</v>
      </c>
      <c r="H159" s="201"/>
    </row>
    <row r="160" ht="22.5" customHeight="1">
      <c r="A160" s="127">
        <v>45166.0</v>
      </c>
      <c r="B160" s="154" t="s">
        <v>559</v>
      </c>
      <c r="C160" s="154" t="s">
        <v>560</v>
      </c>
      <c r="D160" s="133" t="s">
        <v>961</v>
      </c>
      <c r="E160" s="133">
        <v>2027.0</v>
      </c>
      <c r="F160" s="199" t="s">
        <v>1211</v>
      </c>
      <c r="G160" s="200">
        <v>3.0</v>
      </c>
      <c r="H160" s="201"/>
    </row>
    <row r="161" ht="22.5" customHeight="1">
      <c r="A161" s="127">
        <v>45168.0</v>
      </c>
      <c r="B161" s="133" t="s">
        <v>753</v>
      </c>
      <c r="C161" s="133" t="s">
        <v>754</v>
      </c>
      <c r="D161" s="133" t="s">
        <v>961</v>
      </c>
      <c r="E161" s="133">
        <v>2027.0</v>
      </c>
      <c r="F161" s="199" t="s">
        <v>1212</v>
      </c>
      <c r="G161" s="200">
        <v>10.0</v>
      </c>
      <c r="H161" s="201"/>
    </row>
    <row r="162" ht="22.5" customHeight="1">
      <c r="A162" s="127">
        <v>45168.0</v>
      </c>
      <c r="B162" s="133"/>
      <c r="C162" s="133" t="s">
        <v>684</v>
      </c>
      <c r="D162" s="133" t="s">
        <v>961</v>
      </c>
      <c r="E162" s="133">
        <v>2027.0</v>
      </c>
      <c r="F162" s="199" t="s">
        <v>1213</v>
      </c>
      <c r="G162" s="200">
        <v>17.0</v>
      </c>
      <c r="H162" s="201"/>
    </row>
    <row r="163" ht="22.5" customHeight="1">
      <c r="A163" s="127">
        <v>45168.0</v>
      </c>
      <c r="B163" s="133" t="s">
        <v>787</v>
      </c>
      <c r="C163" s="133" t="s">
        <v>788</v>
      </c>
      <c r="D163" s="133" t="s">
        <v>961</v>
      </c>
      <c r="E163" s="133">
        <v>2027.0</v>
      </c>
      <c r="F163" s="199" t="s">
        <v>1214</v>
      </c>
      <c r="G163" s="200">
        <v>2.0</v>
      </c>
      <c r="H163" s="201"/>
    </row>
    <row r="164" ht="22.5" customHeight="1">
      <c r="A164" s="127">
        <v>45168.0</v>
      </c>
      <c r="B164" s="133" t="s">
        <v>742</v>
      </c>
      <c r="C164" s="133" t="s">
        <v>743</v>
      </c>
      <c r="D164" s="133" t="s">
        <v>961</v>
      </c>
      <c r="E164" s="133">
        <v>2027.0</v>
      </c>
      <c r="F164" s="199" t="s">
        <v>1215</v>
      </c>
      <c r="G164" s="200">
        <v>5.0</v>
      </c>
      <c r="H164" s="201"/>
    </row>
    <row r="165" ht="22.5" customHeight="1">
      <c r="A165" s="127">
        <v>45168.0</v>
      </c>
      <c r="B165" s="133" t="s">
        <v>704</v>
      </c>
      <c r="C165" s="133" t="s">
        <v>705</v>
      </c>
      <c r="D165" s="133" t="s">
        <v>957</v>
      </c>
      <c r="E165" s="133">
        <v>2027.0</v>
      </c>
      <c r="F165" s="199" t="s">
        <v>1216</v>
      </c>
      <c r="G165" s="200">
        <v>19.0</v>
      </c>
      <c r="H165" s="201"/>
    </row>
    <row r="166" ht="22.5" customHeight="1">
      <c r="A166" s="127">
        <v>45168.0</v>
      </c>
      <c r="B166" s="133" t="s">
        <v>708</v>
      </c>
      <c r="C166" s="133" t="s">
        <v>709</v>
      </c>
      <c r="D166" s="133" t="s">
        <v>961</v>
      </c>
      <c r="E166" s="133">
        <v>2027.0</v>
      </c>
      <c r="F166" s="199" t="s">
        <v>1217</v>
      </c>
      <c r="G166" s="200">
        <v>17.0</v>
      </c>
      <c r="H166" s="201"/>
    </row>
    <row r="167" ht="22.5" customHeight="1">
      <c r="A167" s="127">
        <v>45168.0</v>
      </c>
      <c r="B167" s="133" t="s">
        <v>701</v>
      </c>
      <c r="C167" s="133" t="s">
        <v>702</v>
      </c>
      <c r="D167" s="133" t="s">
        <v>957</v>
      </c>
      <c r="E167" s="133">
        <v>2027.0</v>
      </c>
      <c r="F167" s="199" t="s">
        <v>1218</v>
      </c>
      <c r="G167" s="200">
        <v>2.0</v>
      </c>
      <c r="H167" s="201"/>
    </row>
    <row r="168" ht="22.5" customHeight="1">
      <c r="A168" s="127">
        <v>45168.0</v>
      </c>
      <c r="B168" s="133" t="s">
        <v>1219</v>
      </c>
      <c r="C168" s="133" t="s">
        <v>1220</v>
      </c>
      <c r="D168" s="133" t="s">
        <v>961</v>
      </c>
      <c r="E168" s="133">
        <v>2027.0</v>
      </c>
      <c r="F168" s="199" t="s">
        <v>1221</v>
      </c>
      <c r="G168" s="200">
        <v>3.0</v>
      </c>
      <c r="H168" s="201"/>
    </row>
    <row r="169" ht="22.5" customHeight="1">
      <c r="A169" s="127">
        <v>45168.0</v>
      </c>
      <c r="B169" s="133" t="s">
        <v>1222</v>
      </c>
      <c r="C169" s="133" t="s">
        <v>1223</v>
      </c>
      <c r="D169" s="133" t="s">
        <v>961</v>
      </c>
      <c r="E169" s="133">
        <v>2027.0</v>
      </c>
      <c r="F169" s="199" t="s">
        <v>1224</v>
      </c>
      <c r="G169" s="200">
        <v>16.0</v>
      </c>
      <c r="H169" s="201"/>
    </row>
    <row r="170" ht="22.5" customHeight="1">
      <c r="A170" s="127">
        <v>45168.0</v>
      </c>
      <c r="B170" s="133" t="s">
        <v>808</v>
      </c>
      <c r="C170" s="133" t="s">
        <v>809</v>
      </c>
      <c r="D170" s="133" t="s">
        <v>970</v>
      </c>
      <c r="E170" s="133">
        <v>2026.0</v>
      </c>
      <c r="F170" s="199" t="s">
        <v>1225</v>
      </c>
      <c r="G170" s="200">
        <v>2.0</v>
      </c>
      <c r="H170" s="201"/>
    </row>
    <row r="171" ht="22.5" customHeight="1">
      <c r="A171" s="127">
        <v>45168.0</v>
      </c>
      <c r="B171" s="133" t="s">
        <v>1226</v>
      </c>
      <c r="C171" s="133" t="s">
        <v>1227</v>
      </c>
      <c r="D171" s="133" t="s">
        <v>965</v>
      </c>
      <c r="E171" s="133">
        <v>2024.0</v>
      </c>
      <c r="F171" s="199" t="s">
        <v>1228</v>
      </c>
      <c r="G171" s="200">
        <v>4.0</v>
      </c>
      <c r="H171" s="201"/>
    </row>
    <row r="172" ht="22.5" customHeight="1">
      <c r="A172" s="127">
        <v>45168.0</v>
      </c>
      <c r="B172" s="133" t="s">
        <v>1229</v>
      </c>
      <c r="C172" s="133" t="s">
        <v>1230</v>
      </c>
      <c r="D172" s="133" t="s">
        <v>961</v>
      </c>
      <c r="E172" s="133">
        <v>2027.0</v>
      </c>
      <c r="F172" s="199" t="s">
        <v>1231</v>
      </c>
      <c r="G172" s="200">
        <v>6.0</v>
      </c>
      <c r="H172" s="201"/>
    </row>
    <row r="173" ht="22.5" customHeight="1">
      <c r="A173" s="127">
        <v>45168.0</v>
      </c>
      <c r="B173" s="133" t="s">
        <v>1232</v>
      </c>
      <c r="C173" s="129" t="s">
        <v>607</v>
      </c>
      <c r="D173" s="133" t="s">
        <v>961</v>
      </c>
      <c r="E173" s="133">
        <v>2027.0</v>
      </c>
      <c r="F173" s="199" t="s">
        <v>1233</v>
      </c>
      <c r="G173" s="200">
        <v>1.0</v>
      </c>
      <c r="H173" s="201"/>
    </row>
    <row r="174" ht="22.5" customHeight="1">
      <c r="A174" s="127">
        <v>45168.0</v>
      </c>
      <c r="B174" s="133" t="s">
        <v>907</v>
      </c>
      <c r="C174" s="133" t="s">
        <v>908</v>
      </c>
      <c r="D174" s="133" t="s">
        <v>961</v>
      </c>
      <c r="E174" s="133">
        <v>2027.0</v>
      </c>
      <c r="F174" s="199" t="s">
        <v>1234</v>
      </c>
      <c r="G174" s="200">
        <v>14.0</v>
      </c>
      <c r="H174" s="201"/>
    </row>
    <row r="175" ht="22.5" customHeight="1">
      <c r="A175" s="127">
        <v>45168.0</v>
      </c>
      <c r="B175" s="133" t="s">
        <v>1235</v>
      </c>
      <c r="C175" s="133" t="s">
        <v>1236</v>
      </c>
      <c r="D175" s="133" t="s">
        <v>957</v>
      </c>
      <c r="E175" s="133">
        <v>2027.0</v>
      </c>
      <c r="F175" s="199" t="s">
        <v>1237</v>
      </c>
      <c r="G175" s="200">
        <v>15.0</v>
      </c>
      <c r="H175" s="201"/>
    </row>
    <row r="176" ht="22.5" customHeight="1">
      <c r="A176" s="127">
        <v>45168.0</v>
      </c>
      <c r="B176" s="133" t="s">
        <v>721</v>
      </c>
      <c r="C176" s="133" t="s">
        <v>722</v>
      </c>
      <c r="D176" s="133" t="s">
        <v>961</v>
      </c>
      <c r="E176" s="133">
        <v>2027.0</v>
      </c>
      <c r="F176" s="199" t="s">
        <v>1238</v>
      </c>
      <c r="G176" s="200">
        <v>53.0</v>
      </c>
      <c r="H176" s="201"/>
    </row>
    <row r="177" ht="22.5" customHeight="1">
      <c r="A177" s="127">
        <v>45168.0</v>
      </c>
      <c r="B177" s="133" t="s">
        <v>1239</v>
      </c>
      <c r="C177" s="133" t="s">
        <v>1240</v>
      </c>
      <c r="D177" s="133" t="s">
        <v>957</v>
      </c>
      <c r="E177" s="133">
        <v>2027.0</v>
      </c>
      <c r="F177" s="199" t="s">
        <v>1241</v>
      </c>
      <c r="G177" s="200">
        <v>23.0</v>
      </c>
      <c r="H177" s="201"/>
    </row>
    <row r="178" ht="22.5" customHeight="1">
      <c r="A178" s="127">
        <v>45168.0</v>
      </c>
      <c r="B178" s="133" t="s">
        <v>1242</v>
      </c>
      <c r="C178" s="133" t="s">
        <v>1243</v>
      </c>
      <c r="D178" s="133" t="s">
        <v>957</v>
      </c>
      <c r="E178" s="133">
        <v>2027.0</v>
      </c>
      <c r="F178" s="199" t="s">
        <v>1244</v>
      </c>
      <c r="G178" s="200">
        <v>6.0</v>
      </c>
      <c r="H178" s="201"/>
    </row>
    <row r="179" ht="22.5" customHeight="1">
      <c r="A179" s="127">
        <v>45168.0</v>
      </c>
      <c r="B179" s="133" t="s">
        <v>910</v>
      </c>
      <c r="C179" s="133" t="s">
        <v>911</v>
      </c>
      <c r="D179" s="133" t="s">
        <v>957</v>
      </c>
      <c r="E179" s="133">
        <v>2027.0</v>
      </c>
      <c r="F179" s="199" t="s">
        <v>1245</v>
      </c>
      <c r="G179" s="200">
        <v>23.0</v>
      </c>
      <c r="H179" s="201"/>
    </row>
    <row r="180" ht="22.5" customHeight="1">
      <c r="A180" s="127">
        <v>45168.0</v>
      </c>
      <c r="B180" s="133" t="s">
        <v>768</v>
      </c>
      <c r="C180" s="133" t="s">
        <v>769</v>
      </c>
      <c r="D180" s="133" t="s">
        <v>957</v>
      </c>
      <c r="E180" s="133">
        <v>2027.0</v>
      </c>
      <c r="F180" s="199" t="s">
        <v>1246</v>
      </c>
      <c r="G180" s="200">
        <v>6.0</v>
      </c>
      <c r="H180" s="201"/>
    </row>
    <row r="181" ht="22.5" customHeight="1">
      <c r="A181" s="127">
        <v>45168.0</v>
      </c>
      <c r="B181" s="133" t="s">
        <v>671</v>
      </c>
      <c r="C181" s="133" t="s">
        <v>672</v>
      </c>
      <c r="D181" s="133" t="s">
        <v>970</v>
      </c>
      <c r="E181" s="133">
        <v>2027.0</v>
      </c>
      <c r="F181" s="199" t="s">
        <v>1247</v>
      </c>
      <c r="G181" s="200">
        <v>4.0</v>
      </c>
      <c r="H181" s="201"/>
    </row>
    <row r="182" ht="22.5" customHeight="1">
      <c r="A182" s="127">
        <v>45168.0</v>
      </c>
      <c r="B182" s="133" t="s">
        <v>793</v>
      </c>
      <c r="C182" s="133" t="s">
        <v>794</v>
      </c>
      <c r="D182" s="133" t="s">
        <v>957</v>
      </c>
      <c r="E182" s="133">
        <v>2027.0</v>
      </c>
      <c r="F182" s="199" t="s">
        <v>1248</v>
      </c>
      <c r="G182" s="200">
        <v>3.0</v>
      </c>
      <c r="H182" s="201"/>
    </row>
    <row r="183" ht="22.5" customHeight="1">
      <c r="A183" s="127">
        <v>45168.0</v>
      </c>
      <c r="B183" s="133" t="s">
        <v>1249</v>
      </c>
      <c r="C183" s="133" t="s">
        <v>1250</v>
      </c>
      <c r="D183" s="133" t="s">
        <v>957</v>
      </c>
      <c r="E183" s="133">
        <v>2027.0</v>
      </c>
      <c r="F183" s="199" t="s">
        <v>1251</v>
      </c>
      <c r="G183" s="200">
        <v>5.0</v>
      </c>
      <c r="H183" s="201"/>
    </row>
    <row r="184" ht="22.5" customHeight="1">
      <c r="A184" s="127">
        <v>45168.0</v>
      </c>
      <c r="B184" s="154" t="s">
        <v>1252</v>
      </c>
      <c r="C184" s="154" t="s">
        <v>1253</v>
      </c>
      <c r="D184" s="133" t="s">
        <v>961</v>
      </c>
      <c r="E184" s="133">
        <v>2027.0</v>
      </c>
      <c r="F184" s="199" t="s">
        <v>1254</v>
      </c>
      <c r="G184" s="200">
        <v>3.0</v>
      </c>
      <c r="H184" s="201"/>
    </row>
    <row r="185" ht="22.5" customHeight="1">
      <c r="A185" s="127">
        <v>45168.0</v>
      </c>
      <c r="B185" s="133" t="s">
        <v>738</v>
      </c>
      <c r="C185" s="133" t="s">
        <v>739</v>
      </c>
      <c r="D185" s="133" t="s">
        <v>961</v>
      </c>
      <c r="E185" s="133">
        <v>2027.0</v>
      </c>
      <c r="F185" s="199" t="s">
        <v>1255</v>
      </c>
      <c r="G185" s="200">
        <v>4.0</v>
      </c>
      <c r="H185" s="201"/>
    </row>
    <row r="186" ht="22.5" customHeight="1">
      <c r="A186" s="127">
        <v>45168.0</v>
      </c>
      <c r="B186" s="133" t="s">
        <v>829</v>
      </c>
      <c r="C186" s="133" t="s">
        <v>830</v>
      </c>
      <c r="D186" s="133" t="s">
        <v>957</v>
      </c>
      <c r="E186" s="133">
        <v>2027.0</v>
      </c>
      <c r="F186" s="199" t="s">
        <v>1256</v>
      </c>
      <c r="G186" s="200">
        <v>1.0</v>
      </c>
      <c r="H186" s="201"/>
    </row>
    <row r="187" ht="22.5" customHeight="1">
      <c r="A187" s="127">
        <v>45168.0</v>
      </c>
      <c r="B187" s="133" t="s">
        <v>668</v>
      </c>
      <c r="C187" s="133" t="s">
        <v>669</v>
      </c>
      <c r="D187" s="133" t="s">
        <v>961</v>
      </c>
      <c r="E187" s="133">
        <v>2027.0</v>
      </c>
      <c r="F187" s="199" t="s">
        <v>1257</v>
      </c>
      <c r="G187" s="200">
        <v>1.0</v>
      </c>
      <c r="H187" s="201"/>
    </row>
    <row r="188" ht="22.5" customHeight="1">
      <c r="A188" s="127">
        <v>45168.0</v>
      </c>
      <c r="B188" s="133" t="s">
        <v>1258</v>
      </c>
      <c r="C188" s="133" t="s">
        <v>1259</v>
      </c>
      <c r="D188" s="133" t="s">
        <v>970</v>
      </c>
      <c r="E188" s="133">
        <v>2027.0</v>
      </c>
      <c r="F188" s="199" t="s">
        <v>1260</v>
      </c>
      <c r="G188" s="200">
        <v>18.0</v>
      </c>
      <c r="H188" s="201"/>
    </row>
    <row r="189" ht="22.5" customHeight="1">
      <c r="A189" s="127">
        <v>45168.0</v>
      </c>
      <c r="B189" s="133" t="s">
        <v>863</v>
      </c>
      <c r="C189" s="133" t="s">
        <v>864</v>
      </c>
      <c r="D189" s="133" t="s">
        <v>970</v>
      </c>
      <c r="E189" s="133">
        <v>2027.0</v>
      </c>
      <c r="F189" s="199" t="s">
        <v>1261</v>
      </c>
      <c r="G189" s="200">
        <v>37.0</v>
      </c>
      <c r="H189" s="201"/>
    </row>
    <row r="190" ht="22.5" customHeight="1">
      <c r="A190" s="127">
        <v>45168.0</v>
      </c>
      <c r="B190" s="133" t="s">
        <v>776</v>
      </c>
      <c r="C190" s="133" t="s">
        <v>777</v>
      </c>
      <c r="D190" s="133" t="s">
        <v>961</v>
      </c>
      <c r="E190" s="133">
        <v>2026.0</v>
      </c>
      <c r="F190" s="199" t="s">
        <v>1262</v>
      </c>
      <c r="G190" s="200">
        <v>1.0</v>
      </c>
      <c r="H190" s="201"/>
    </row>
    <row r="191" ht="22.5" customHeight="1">
      <c r="A191" s="127">
        <v>45168.0</v>
      </c>
      <c r="B191" s="133" t="s">
        <v>749</v>
      </c>
      <c r="C191" s="133" t="s">
        <v>750</v>
      </c>
      <c r="D191" s="133" t="s">
        <v>961</v>
      </c>
      <c r="E191" s="133">
        <v>2027.0</v>
      </c>
      <c r="F191" s="199" t="s">
        <v>1263</v>
      </c>
      <c r="G191" s="200">
        <v>2.0</v>
      </c>
      <c r="H191" s="201"/>
    </row>
    <row r="192" ht="22.5" customHeight="1">
      <c r="A192" s="127">
        <v>45168.0</v>
      </c>
      <c r="B192" s="133" t="s">
        <v>847</v>
      </c>
      <c r="C192" s="133" t="s">
        <v>848</v>
      </c>
      <c r="D192" s="133" t="s">
        <v>957</v>
      </c>
      <c r="E192" s="133">
        <v>2027.0</v>
      </c>
      <c r="F192" s="199" t="s">
        <v>1264</v>
      </c>
      <c r="G192" s="200">
        <v>15.0</v>
      </c>
      <c r="H192" s="201"/>
    </row>
    <row r="193" ht="22.5" customHeight="1">
      <c r="A193" s="127">
        <v>45168.0</v>
      </c>
      <c r="B193" s="133" t="s">
        <v>1265</v>
      </c>
      <c r="C193" s="133" t="s">
        <v>1266</v>
      </c>
      <c r="D193" s="133" t="s">
        <v>965</v>
      </c>
      <c r="E193" s="133">
        <v>2024.0</v>
      </c>
      <c r="F193" s="199" t="s">
        <v>1267</v>
      </c>
      <c r="G193" s="200">
        <v>3.0</v>
      </c>
      <c r="H193" s="201"/>
    </row>
    <row r="194" ht="22.5" customHeight="1">
      <c r="A194" s="127">
        <v>45168.0</v>
      </c>
      <c r="B194" s="133" t="s">
        <v>1268</v>
      </c>
      <c r="C194" s="133" t="s">
        <v>1269</v>
      </c>
      <c r="D194" s="133" t="s">
        <v>1123</v>
      </c>
      <c r="E194" s="133">
        <v>2024.0</v>
      </c>
      <c r="F194" s="199" t="s">
        <v>1270</v>
      </c>
      <c r="G194" s="200">
        <v>7.0</v>
      </c>
      <c r="H194" s="201"/>
    </row>
    <row r="195" ht="22.5" customHeight="1">
      <c r="A195" s="127">
        <v>45168.0</v>
      </c>
      <c r="B195" s="133" t="s">
        <v>1271</v>
      </c>
      <c r="C195" s="133" t="s">
        <v>1272</v>
      </c>
      <c r="D195" s="133" t="s">
        <v>970</v>
      </c>
      <c r="E195" s="133">
        <v>2025.0</v>
      </c>
      <c r="F195" s="199" t="s">
        <v>1273</v>
      </c>
      <c r="G195" s="200">
        <v>22.0</v>
      </c>
      <c r="H195" s="201"/>
    </row>
    <row r="196" ht="22.5" customHeight="1">
      <c r="A196" s="127">
        <v>45168.0</v>
      </c>
      <c r="B196" s="133" t="s">
        <v>1274</v>
      </c>
      <c r="C196" s="133" t="s">
        <v>1275</v>
      </c>
      <c r="D196" s="133" t="s">
        <v>961</v>
      </c>
      <c r="E196" s="133">
        <v>2027.0</v>
      </c>
      <c r="F196" s="199" t="s">
        <v>1276</v>
      </c>
      <c r="G196" s="200">
        <v>11.0</v>
      </c>
      <c r="H196" s="201"/>
    </row>
    <row r="197" ht="22.5" customHeight="1">
      <c r="A197" s="127">
        <v>45168.0</v>
      </c>
      <c r="B197" s="133" t="s">
        <v>1277</v>
      </c>
      <c r="C197" s="133" t="s">
        <v>1278</v>
      </c>
      <c r="D197" s="133" t="s">
        <v>965</v>
      </c>
      <c r="E197" s="133"/>
      <c r="F197" s="199" t="s">
        <v>1279</v>
      </c>
      <c r="G197" s="200">
        <v>9.0</v>
      </c>
      <c r="H197" s="201"/>
    </row>
    <row r="198" ht="22.5" customHeight="1">
      <c r="A198" s="127">
        <v>45168.0</v>
      </c>
      <c r="B198" s="133" t="s">
        <v>781</v>
      </c>
      <c r="C198" s="133" t="s">
        <v>782</v>
      </c>
      <c r="D198" s="133" t="s">
        <v>961</v>
      </c>
      <c r="E198" s="133">
        <v>2026.0</v>
      </c>
      <c r="F198" s="199" t="s">
        <v>1280</v>
      </c>
      <c r="G198" s="200">
        <v>12.0</v>
      </c>
      <c r="H198" s="201"/>
    </row>
    <row r="199" ht="22.5" customHeight="1">
      <c r="A199" s="127">
        <v>45168.0</v>
      </c>
      <c r="B199" s="133" t="s">
        <v>655</v>
      </c>
      <c r="C199" s="133" t="s">
        <v>656</v>
      </c>
      <c r="D199" s="133" t="s">
        <v>970</v>
      </c>
      <c r="E199" s="133">
        <v>2027.0</v>
      </c>
      <c r="F199" s="199" t="s">
        <v>1281</v>
      </c>
      <c r="G199" s="200">
        <v>1.0</v>
      </c>
      <c r="H199" s="201"/>
    </row>
    <row r="200" ht="22.5" customHeight="1">
      <c r="A200" s="127">
        <v>45168.0</v>
      </c>
      <c r="B200" s="133" t="s">
        <v>1282</v>
      </c>
      <c r="C200" s="133" t="s">
        <v>1283</v>
      </c>
      <c r="D200" s="133" t="s">
        <v>965</v>
      </c>
      <c r="E200" s="133">
        <v>2025.0</v>
      </c>
      <c r="F200" s="199" t="s">
        <v>1284</v>
      </c>
      <c r="G200" s="200">
        <v>4.0</v>
      </c>
      <c r="H200" s="201"/>
    </row>
    <row r="201" ht="22.5" customHeight="1">
      <c r="A201" s="127">
        <v>45168.0</v>
      </c>
      <c r="B201" s="133" t="s">
        <v>1285</v>
      </c>
      <c r="C201" s="133" t="s">
        <v>1286</v>
      </c>
      <c r="D201" s="133" t="s">
        <v>965</v>
      </c>
      <c r="E201" s="133">
        <v>2025.0</v>
      </c>
      <c r="F201" s="199" t="s">
        <v>1287</v>
      </c>
      <c r="G201" s="200">
        <v>7.0</v>
      </c>
      <c r="H201" s="201"/>
    </row>
    <row r="202" ht="22.5" customHeight="1">
      <c r="A202" s="127">
        <v>45168.0</v>
      </c>
      <c r="B202" s="133" t="s">
        <v>1288</v>
      </c>
      <c r="C202" s="133" t="s">
        <v>1289</v>
      </c>
      <c r="D202" s="133" t="s">
        <v>961</v>
      </c>
      <c r="E202" s="133">
        <v>2027.0</v>
      </c>
      <c r="F202" s="199" t="s">
        <v>1290</v>
      </c>
      <c r="G202" s="200">
        <v>23.0</v>
      </c>
      <c r="H202" s="201"/>
    </row>
    <row r="203" ht="22.5" customHeight="1">
      <c r="A203" s="127">
        <v>45168.0</v>
      </c>
      <c r="B203" s="133" t="s">
        <v>641</v>
      </c>
      <c r="C203" s="133" t="s">
        <v>642</v>
      </c>
      <c r="D203" s="133" t="s">
        <v>957</v>
      </c>
      <c r="E203" s="133">
        <v>2027.0</v>
      </c>
      <c r="F203" s="199" t="s">
        <v>1291</v>
      </c>
      <c r="G203" s="200">
        <v>1.0</v>
      </c>
      <c r="H203" s="201"/>
    </row>
    <row r="204" ht="22.5" customHeight="1">
      <c r="A204" s="127">
        <v>45168.0</v>
      </c>
      <c r="B204" s="133" t="s">
        <v>665</v>
      </c>
      <c r="C204" s="133" t="s">
        <v>666</v>
      </c>
      <c r="D204" s="133" t="s">
        <v>961</v>
      </c>
      <c r="E204" s="133">
        <v>2027.0</v>
      </c>
      <c r="F204" s="199" t="s">
        <v>1257</v>
      </c>
      <c r="G204" s="200">
        <v>1.0</v>
      </c>
      <c r="H204" s="201"/>
    </row>
    <row r="205" ht="22.5" customHeight="1">
      <c r="A205" s="127">
        <v>45168.0</v>
      </c>
      <c r="B205" s="133" t="s">
        <v>1292</v>
      </c>
      <c r="C205" s="133" t="s">
        <v>1293</v>
      </c>
      <c r="D205" s="133" t="s">
        <v>961</v>
      </c>
      <c r="E205" s="133">
        <v>2027.0</v>
      </c>
      <c r="F205" s="199" t="s">
        <v>1294</v>
      </c>
      <c r="G205" s="200">
        <v>22.0</v>
      </c>
      <c r="H205" s="201"/>
    </row>
    <row r="206" ht="22.5" customHeight="1">
      <c r="A206" s="127">
        <v>45168.0</v>
      </c>
      <c r="B206" s="133" t="s">
        <v>854</v>
      </c>
      <c r="C206" s="133" t="s">
        <v>855</v>
      </c>
      <c r="D206" s="133" t="s">
        <v>957</v>
      </c>
      <c r="E206" s="133">
        <v>2027.0</v>
      </c>
      <c r="F206" s="199" t="s">
        <v>1295</v>
      </c>
      <c r="G206" s="200">
        <v>1.0</v>
      </c>
      <c r="H206" s="201"/>
    </row>
    <row r="207" ht="22.5" customHeight="1">
      <c r="A207" s="127">
        <v>45168.0</v>
      </c>
      <c r="B207" s="133" t="s">
        <v>800</v>
      </c>
      <c r="C207" s="133" t="s">
        <v>801</v>
      </c>
      <c r="D207" s="133" t="s">
        <v>961</v>
      </c>
      <c r="E207" s="133">
        <v>2026.0</v>
      </c>
      <c r="F207" s="199" t="s">
        <v>1296</v>
      </c>
      <c r="G207" s="200">
        <v>1.0</v>
      </c>
      <c r="H207" s="201"/>
    </row>
    <row r="208" ht="22.5" customHeight="1">
      <c r="A208" s="127">
        <v>45168.0</v>
      </c>
      <c r="B208" s="128" t="s">
        <v>898</v>
      </c>
      <c r="C208" s="128" t="s">
        <v>899</v>
      </c>
      <c r="D208" s="133" t="s">
        <v>961</v>
      </c>
      <c r="E208" s="133">
        <v>2026.0</v>
      </c>
      <c r="F208" s="199" t="s">
        <v>1297</v>
      </c>
      <c r="G208" s="200">
        <v>14.0</v>
      </c>
      <c r="H208" s="201"/>
    </row>
    <row r="209" ht="22.5" customHeight="1">
      <c r="A209" s="127">
        <v>45168.0</v>
      </c>
      <c r="B209" s="133" t="s">
        <v>1298</v>
      </c>
      <c r="C209" s="133" t="s">
        <v>1299</v>
      </c>
      <c r="D209" s="133" t="s">
        <v>965</v>
      </c>
      <c r="E209" s="133">
        <v>2026.0</v>
      </c>
      <c r="F209" s="199" t="s">
        <v>1300</v>
      </c>
      <c r="G209" s="200">
        <v>51.0</v>
      </c>
      <c r="H209" s="201"/>
    </row>
    <row r="210" ht="22.5" customHeight="1">
      <c r="A210" s="127">
        <v>45168.0</v>
      </c>
      <c r="B210" s="133" t="s">
        <v>1301</v>
      </c>
      <c r="C210" s="133" t="s">
        <v>1302</v>
      </c>
      <c r="D210" s="133" t="s">
        <v>961</v>
      </c>
      <c r="E210" s="133">
        <v>2027.0</v>
      </c>
      <c r="F210" s="199" t="s">
        <v>1303</v>
      </c>
      <c r="G210" s="200">
        <v>8.0</v>
      </c>
      <c r="H210" s="201"/>
    </row>
    <row r="211" ht="22.5" customHeight="1">
      <c r="A211" s="127">
        <v>45168.0</v>
      </c>
      <c r="B211" s="133" t="s">
        <v>1304</v>
      </c>
      <c r="C211" s="133" t="s">
        <v>1305</v>
      </c>
      <c r="D211" s="133" t="s">
        <v>957</v>
      </c>
      <c r="E211" s="133">
        <v>2027.0</v>
      </c>
      <c r="F211" s="199" t="s">
        <v>1306</v>
      </c>
      <c r="G211" s="200">
        <v>2.0</v>
      </c>
      <c r="H211" s="201"/>
    </row>
    <row r="212" ht="22.5" customHeight="1">
      <c r="A212" s="127">
        <v>45168.0</v>
      </c>
      <c r="B212" s="133" t="s">
        <v>1307</v>
      </c>
      <c r="C212" s="133" t="s">
        <v>1308</v>
      </c>
      <c r="D212" s="133" t="s">
        <v>957</v>
      </c>
      <c r="E212" s="133">
        <v>2027.0</v>
      </c>
      <c r="F212" s="199" t="s">
        <v>1309</v>
      </c>
      <c r="G212" s="200">
        <v>3.0</v>
      </c>
      <c r="H212" s="201"/>
    </row>
    <row r="213" ht="22.5" customHeight="1">
      <c r="A213" s="127">
        <v>45168.0</v>
      </c>
      <c r="B213" s="133" t="s">
        <v>1310</v>
      </c>
      <c r="C213" s="133" t="s">
        <v>1311</v>
      </c>
      <c r="D213" s="133" t="s">
        <v>970</v>
      </c>
      <c r="E213" s="133">
        <v>2027.0</v>
      </c>
      <c r="F213" s="199" t="s">
        <v>1312</v>
      </c>
      <c r="G213" s="200">
        <v>8.0</v>
      </c>
      <c r="H213" s="201"/>
    </row>
    <row r="214" ht="22.5" customHeight="1">
      <c r="A214" s="127">
        <v>45168.0</v>
      </c>
      <c r="B214" s="133" t="s">
        <v>1313</v>
      </c>
      <c r="C214" s="133" t="s">
        <v>1314</v>
      </c>
      <c r="D214" s="133" t="s">
        <v>1031</v>
      </c>
      <c r="E214" s="133">
        <v>2024.0</v>
      </c>
      <c r="F214" s="199" t="s">
        <v>1315</v>
      </c>
      <c r="G214" s="200">
        <v>3.0</v>
      </c>
      <c r="H214" s="201"/>
    </row>
    <row r="215" ht="22.5" customHeight="1">
      <c r="A215" s="127">
        <v>45168.0</v>
      </c>
      <c r="B215" s="133" t="s">
        <v>826</v>
      </c>
      <c r="C215" s="133" t="s">
        <v>827</v>
      </c>
      <c r="D215" s="133" t="s">
        <v>1031</v>
      </c>
      <c r="E215" s="133">
        <v>2024.0</v>
      </c>
      <c r="F215" s="199" t="s">
        <v>1316</v>
      </c>
      <c r="G215" s="200">
        <v>2.0</v>
      </c>
      <c r="H215" s="201"/>
    </row>
    <row r="216" ht="22.5" customHeight="1">
      <c r="A216" s="127">
        <v>45168.0</v>
      </c>
      <c r="B216" s="128" t="s">
        <v>674</v>
      </c>
      <c r="C216" s="128" t="s">
        <v>675</v>
      </c>
      <c r="D216" s="133" t="s">
        <v>970</v>
      </c>
      <c r="E216" s="133">
        <v>2027.0</v>
      </c>
      <c r="F216" s="199" t="s">
        <v>1317</v>
      </c>
      <c r="G216" s="200">
        <v>4.0</v>
      </c>
      <c r="H216" s="201"/>
    </row>
    <row r="217" ht="22.5" customHeight="1">
      <c r="A217" s="127">
        <v>45168.0</v>
      </c>
      <c r="B217" s="133" t="s">
        <v>900</v>
      </c>
      <c r="C217" s="133" t="s">
        <v>901</v>
      </c>
      <c r="D217" s="133" t="s">
        <v>957</v>
      </c>
      <c r="E217" s="133">
        <v>2027.0</v>
      </c>
      <c r="F217" s="199" t="s">
        <v>1318</v>
      </c>
      <c r="G217" s="200">
        <v>3.0</v>
      </c>
      <c r="H217" s="201"/>
    </row>
    <row r="218" ht="22.5" customHeight="1">
      <c r="A218" s="127">
        <v>45168.0</v>
      </c>
      <c r="B218" s="133" t="s">
        <v>1319</v>
      </c>
      <c r="C218" s="133" t="s">
        <v>1320</v>
      </c>
      <c r="D218" s="133" t="s">
        <v>961</v>
      </c>
      <c r="E218" s="133">
        <v>2027.0</v>
      </c>
      <c r="F218" s="199" t="s">
        <v>1321</v>
      </c>
      <c r="G218" s="200">
        <v>1.0</v>
      </c>
      <c r="H218" s="201"/>
    </row>
    <row r="219" ht="22.5" customHeight="1">
      <c r="A219" s="127">
        <v>45168.0</v>
      </c>
      <c r="B219" s="133" t="s">
        <v>1322</v>
      </c>
      <c r="C219" s="133" t="s">
        <v>1323</v>
      </c>
      <c r="D219" s="133" t="s">
        <v>957</v>
      </c>
      <c r="E219" s="133">
        <v>2027.0</v>
      </c>
      <c r="F219" s="199" t="s">
        <v>1324</v>
      </c>
      <c r="G219" s="200">
        <v>1.0</v>
      </c>
      <c r="H219" s="201"/>
    </row>
    <row r="220" ht="22.5" customHeight="1">
      <c r="A220" s="127">
        <v>45168.0</v>
      </c>
      <c r="B220" s="133" t="s">
        <v>1325</v>
      </c>
      <c r="C220" s="133" t="s">
        <v>1326</v>
      </c>
      <c r="D220" s="133" t="s">
        <v>965</v>
      </c>
      <c r="E220" s="133">
        <v>2024.0</v>
      </c>
      <c r="F220" s="199" t="s">
        <v>1327</v>
      </c>
      <c r="G220" s="200">
        <v>17.0</v>
      </c>
      <c r="H220" s="201"/>
    </row>
    <row r="221" ht="22.5" customHeight="1">
      <c r="A221" s="127">
        <v>45168.0</v>
      </c>
      <c r="B221" s="154" t="s">
        <v>1328</v>
      </c>
      <c r="C221" s="154" t="s">
        <v>1329</v>
      </c>
      <c r="D221" s="133" t="s">
        <v>965</v>
      </c>
      <c r="E221" s="133">
        <v>2024.0</v>
      </c>
      <c r="F221" s="199" t="s">
        <v>1330</v>
      </c>
      <c r="G221" s="200">
        <v>35.0</v>
      </c>
      <c r="H221" s="201"/>
    </row>
    <row r="222" ht="22.5" customHeight="1">
      <c r="A222" s="127">
        <v>45168.0</v>
      </c>
      <c r="B222" s="133" t="s">
        <v>1331</v>
      </c>
      <c r="C222" s="133" t="s">
        <v>1332</v>
      </c>
      <c r="D222" s="133" t="s">
        <v>961</v>
      </c>
      <c r="E222" s="133">
        <v>2027.0</v>
      </c>
      <c r="F222" s="199" t="s">
        <v>33</v>
      </c>
      <c r="G222" s="200">
        <v>1.0</v>
      </c>
      <c r="H222" s="201"/>
    </row>
    <row r="223" ht="22.5" customHeight="1">
      <c r="A223" s="127">
        <v>45168.0</v>
      </c>
      <c r="B223" s="133" t="s">
        <v>1333</v>
      </c>
      <c r="C223" s="133" t="s">
        <v>1334</v>
      </c>
      <c r="D223" s="133" t="s">
        <v>961</v>
      </c>
      <c r="E223" s="133">
        <v>2027.0</v>
      </c>
      <c r="F223" s="199" t="s">
        <v>33</v>
      </c>
      <c r="G223" s="200">
        <v>1.0</v>
      </c>
      <c r="H223" s="201"/>
    </row>
    <row r="224" ht="22.5" customHeight="1">
      <c r="A224" s="127">
        <v>45168.0</v>
      </c>
      <c r="B224" s="133" t="s">
        <v>762</v>
      </c>
      <c r="C224" s="133" t="s">
        <v>763</v>
      </c>
      <c r="D224" s="133" t="s">
        <v>961</v>
      </c>
      <c r="E224" s="133">
        <v>2027.0</v>
      </c>
      <c r="F224" s="199" t="s">
        <v>1335</v>
      </c>
      <c r="G224" s="200">
        <v>35.0</v>
      </c>
      <c r="H224" s="201"/>
    </row>
    <row r="225" ht="22.5" customHeight="1">
      <c r="A225" s="127">
        <v>45168.0</v>
      </c>
      <c r="B225" s="133" t="s">
        <v>1336</v>
      </c>
      <c r="C225" s="133" t="s">
        <v>1337</v>
      </c>
      <c r="D225" s="133" t="s">
        <v>957</v>
      </c>
      <c r="E225" s="133">
        <v>2027.0</v>
      </c>
      <c r="F225" s="199" t="s">
        <v>1338</v>
      </c>
      <c r="G225" s="200">
        <v>5.0</v>
      </c>
      <c r="H225" s="201"/>
    </row>
    <row r="226" ht="22.5" customHeight="1">
      <c r="A226" s="127">
        <v>45168.0</v>
      </c>
      <c r="B226" s="133" t="s">
        <v>1339</v>
      </c>
      <c r="C226" s="133" t="s">
        <v>1340</v>
      </c>
      <c r="D226" s="133" t="s">
        <v>957</v>
      </c>
      <c r="E226" s="133">
        <v>2027.0</v>
      </c>
      <c r="F226" s="199" t="s">
        <v>1341</v>
      </c>
      <c r="G226" s="200">
        <v>11.0</v>
      </c>
      <c r="H226" s="201"/>
    </row>
    <row r="227" ht="22.5" customHeight="1">
      <c r="A227" s="127">
        <v>45168.0</v>
      </c>
      <c r="B227" s="133" t="s">
        <v>1342</v>
      </c>
      <c r="C227" s="133" t="s">
        <v>1343</v>
      </c>
      <c r="D227" s="133" t="s">
        <v>970</v>
      </c>
      <c r="E227" s="133">
        <v>2026.0</v>
      </c>
      <c r="F227" s="199" t="s">
        <v>1344</v>
      </c>
      <c r="G227" s="200">
        <v>3.0</v>
      </c>
      <c r="H227" s="201"/>
    </row>
    <row r="228" ht="22.5" customHeight="1">
      <c r="A228" s="127">
        <v>45168.0</v>
      </c>
      <c r="B228" s="133" t="s">
        <v>1345</v>
      </c>
      <c r="C228" s="133" t="s">
        <v>1346</v>
      </c>
      <c r="D228" s="133" t="s">
        <v>961</v>
      </c>
      <c r="E228" s="133">
        <v>2027.0</v>
      </c>
      <c r="F228" s="199" t="s">
        <v>1347</v>
      </c>
      <c r="G228" s="200">
        <v>5.0</v>
      </c>
      <c r="H228" s="201"/>
    </row>
    <row r="229" ht="22.5" customHeight="1">
      <c r="A229" s="127">
        <v>45168.0</v>
      </c>
      <c r="B229" s="133" t="s">
        <v>835</v>
      </c>
      <c r="C229" s="133" t="s">
        <v>836</v>
      </c>
      <c r="D229" s="133" t="s">
        <v>961</v>
      </c>
      <c r="E229" s="133">
        <v>2026.0</v>
      </c>
      <c r="F229" s="199" t="s">
        <v>1348</v>
      </c>
      <c r="G229" s="200">
        <v>4.0</v>
      </c>
      <c r="H229" s="201"/>
    </row>
    <row r="230" ht="22.5" customHeight="1">
      <c r="A230" s="127">
        <v>45168.0</v>
      </c>
      <c r="B230" s="133" t="s">
        <v>583</v>
      </c>
      <c r="C230" s="133" t="s">
        <v>584</v>
      </c>
      <c r="D230" s="133" t="s">
        <v>957</v>
      </c>
      <c r="E230" s="133">
        <v>2024.0</v>
      </c>
      <c r="F230" s="199" t="s">
        <v>1349</v>
      </c>
      <c r="G230" s="200">
        <v>2.0</v>
      </c>
      <c r="H230" s="201"/>
    </row>
    <row r="231" ht="22.5" customHeight="1">
      <c r="A231" s="127">
        <v>45168.0</v>
      </c>
      <c r="B231" s="133" t="s">
        <v>1350</v>
      </c>
      <c r="C231" s="133" t="s">
        <v>1351</v>
      </c>
      <c r="D231" s="133" t="s">
        <v>965</v>
      </c>
      <c r="E231" s="133">
        <v>2026.0</v>
      </c>
      <c r="F231" s="199" t="s">
        <v>1352</v>
      </c>
      <c r="G231" s="200">
        <v>13.0</v>
      </c>
      <c r="H231" s="201"/>
    </row>
    <row r="232" ht="22.5" customHeight="1">
      <c r="A232" s="127">
        <v>45168.0</v>
      </c>
      <c r="B232" s="133" t="s">
        <v>1353</v>
      </c>
      <c r="C232" s="133" t="s">
        <v>1354</v>
      </c>
      <c r="D232" s="133" t="s">
        <v>970</v>
      </c>
      <c r="E232" s="133">
        <v>2027.0</v>
      </c>
      <c r="F232" s="199" t="s">
        <v>1355</v>
      </c>
      <c r="G232" s="200">
        <v>14.0</v>
      </c>
      <c r="H232" s="201"/>
    </row>
    <row r="233" ht="22.5" customHeight="1">
      <c r="A233" s="127">
        <v>45168.0</v>
      </c>
      <c r="B233" s="133" t="s">
        <v>1356</v>
      </c>
      <c r="C233" s="133" t="s">
        <v>1357</v>
      </c>
      <c r="D233" s="133" t="s">
        <v>957</v>
      </c>
      <c r="E233" s="133">
        <v>2027.0</v>
      </c>
      <c r="F233" s="199" t="s">
        <v>1358</v>
      </c>
      <c r="G233" s="200">
        <v>13.0</v>
      </c>
      <c r="H233" s="201"/>
    </row>
    <row r="234" ht="22.5" customHeight="1">
      <c r="A234" s="127">
        <v>45168.0</v>
      </c>
      <c r="B234" s="133" t="s">
        <v>784</v>
      </c>
      <c r="C234" s="133" t="s">
        <v>785</v>
      </c>
      <c r="D234" s="133" t="s">
        <v>970</v>
      </c>
      <c r="E234" s="133">
        <v>2027.0</v>
      </c>
      <c r="F234" s="199" t="s">
        <v>1281</v>
      </c>
      <c r="G234" s="200">
        <v>1.0</v>
      </c>
      <c r="H234" s="201"/>
    </row>
    <row r="235" ht="22.5" customHeight="1">
      <c r="A235" s="127">
        <v>45168.0</v>
      </c>
      <c r="B235" s="133" t="s">
        <v>1359</v>
      </c>
      <c r="C235" s="133" t="s">
        <v>1360</v>
      </c>
      <c r="D235" s="133" t="s">
        <v>961</v>
      </c>
      <c r="E235" s="133">
        <v>2027.0</v>
      </c>
      <c r="F235" s="199" t="s">
        <v>1361</v>
      </c>
      <c r="G235" s="200">
        <v>2.0</v>
      </c>
      <c r="H235" s="201"/>
    </row>
    <row r="236" ht="22.5" customHeight="1">
      <c r="A236" s="127">
        <v>45168.0</v>
      </c>
      <c r="B236" s="133" t="s">
        <v>1080</v>
      </c>
      <c r="C236" s="133" t="s">
        <v>1081</v>
      </c>
      <c r="D236" s="133" t="s">
        <v>1082</v>
      </c>
      <c r="E236" s="133">
        <v>2026.0</v>
      </c>
      <c r="F236" s="199" t="s">
        <v>1362</v>
      </c>
      <c r="G236" s="200">
        <v>4.0</v>
      </c>
      <c r="H236" s="201"/>
    </row>
    <row r="237" ht="22.5" customHeight="1">
      <c r="A237" s="127">
        <v>45168.0</v>
      </c>
      <c r="B237" s="133" t="s">
        <v>1363</v>
      </c>
      <c r="C237" s="133" t="s">
        <v>1364</v>
      </c>
      <c r="D237" s="133" t="s">
        <v>1091</v>
      </c>
      <c r="E237" s="133">
        <v>2026.0</v>
      </c>
      <c r="F237" s="154" t="s">
        <v>1365</v>
      </c>
      <c r="G237" s="205">
        <v>4.0</v>
      </c>
      <c r="H237" s="201"/>
    </row>
    <row r="238" ht="22.5" customHeight="1">
      <c r="A238" s="127">
        <v>45168.0</v>
      </c>
      <c r="B238" s="133" t="s">
        <v>1366</v>
      </c>
      <c r="C238" s="133" t="s">
        <v>1367</v>
      </c>
      <c r="D238" s="133" t="s">
        <v>970</v>
      </c>
      <c r="E238" s="133">
        <v>2027.0</v>
      </c>
      <c r="F238" s="199" t="s">
        <v>1368</v>
      </c>
      <c r="G238" s="200">
        <v>8.0</v>
      </c>
      <c r="H238" s="201"/>
    </row>
    <row r="239" ht="22.5" customHeight="1">
      <c r="A239" s="127">
        <v>45168.0</v>
      </c>
      <c r="B239" s="129" t="s">
        <v>574</v>
      </c>
      <c r="C239" s="129" t="s">
        <v>575</v>
      </c>
      <c r="D239" s="133" t="s">
        <v>970</v>
      </c>
      <c r="E239" s="133">
        <v>2027.0</v>
      </c>
      <c r="F239" s="199" t="s">
        <v>1281</v>
      </c>
      <c r="G239" s="200">
        <v>1.0</v>
      </c>
      <c r="H239" s="201"/>
    </row>
    <row r="240" ht="22.5" customHeight="1">
      <c r="A240" s="127">
        <v>45168.0</v>
      </c>
      <c r="B240" s="129" t="s">
        <v>935</v>
      </c>
      <c r="C240" s="129" t="s">
        <v>936</v>
      </c>
      <c r="D240" s="133" t="s">
        <v>961</v>
      </c>
      <c r="E240" s="133">
        <v>2027.0</v>
      </c>
      <c r="F240" s="199" t="s">
        <v>1369</v>
      </c>
      <c r="G240" s="200">
        <v>3.0</v>
      </c>
      <c r="H240" s="201"/>
    </row>
    <row r="241" ht="22.5" customHeight="1">
      <c r="A241" s="127">
        <v>45168.0</v>
      </c>
      <c r="B241" s="154" t="s">
        <v>1370</v>
      </c>
      <c r="C241" s="154" t="s">
        <v>1371</v>
      </c>
      <c r="D241" s="133" t="s">
        <v>961</v>
      </c>
      <c r="E241" s="133">
        <v>2027.0</v>
      </c>
      <c r="F241" s="199" t="s">
        <v>1372</v>
      </c>
      <c r="G241" s="200">
        <v>1.0</v>
      </c>
      <c r="H241" s="201"/>
    </row>
    <row r="242" ht="22.5" customHeight="1">
      <c r="A242" s="127">
        <v>45168.0</v>
      </c>
      <c r="B242" s="128" t="s">
        <v>904</v>
      </c>
      <c r="C242" s="128" t="s">
        <v>905</v>
      </c>
      <c r="D242" s="133" t="s">
        <v>957</v>
      </c>
      <c r="E242" s="133">
        <v>2027.0</v>
      </c>
      <c r="F242" s="199" t="s">
        <v>1373</v>
      </c>
      <c r="G242" s="200">
        <v>1.0</v>
      </c>
      <c r="H242" s="201"/>
    </row>
    <row r="243" ht="22.5" customHeight="1">
      <c r="A243" s="127">
        <v>45168.0</v>
      </c>
      <c r="B243" s="133" t="s">
        <v>1374</v>
      </c>
      <c r="C243" s="133" t="s">
        <v>1375</v>
      </c>
      <c r="D243" s="133" t="s">
        <v>965</v>
      </c>
      <c r="E243" s="133">
        <v>2025.0</v>
      </c>
      <c r="F243" s="199" t="s">
        <v>1281</v>
      </c>
      <c r="G243" s="200">
        <v>1.0</v>
      </c>
      <c r="H243" s="201"/>
    </row>
    <row r="244" ht="22.5" customHeight="1">
      <c r="A244" s="127">
        <v>45168.0</v>
      </c>
      <c r="B244" s="133" t="s">
        <v>1376</v>
      </c>
      <c r="C244" s="133" t="s">
        <v>1377</v>
      </c>
      <c r="D244" s="133" t="s">
        <v>961</v>
      </c>
      <c r="E244" s="133">
        <v>2027.0</v>
      </c>
      <c r="F244" s="199" t="s">
        <v>1378</v>
      </c>
      <c r="G244" s="200">
        <v>7.0</v>
      </c>
      <c r="H244" s="201"/>
    </row>
    <row r="245" ht="22.5" customHeight="1">
      <c r="A245" s="127">
        <v>45168.0</v>
      </c>
      <c r="B245" s="133" t="s">
        <v>1379</v>
      </c>
      <c r="C245" s="133" t="s">
        <v>1380</v>
      </c>
      <c r="D245" s="133" t="s">
        <v>957</v>
      </c>
      <c r="E245" s="133">
        <v>2027.0</v>
      </c>
      <c r="F245" s="199" t="s">
        <v>1381</v>
      </c>
      <c r="G245" s="200">
        <v>11.0</v>
      </c>
      <c r="H245" s="201"/>
    </row>
    <row r="246" ht="22.5" customHeight="1">
      <c r="A246" s="127">
        <v>45168.0</v>
      </c>
      <c r="B246" s="133" t="s">
        <v>1382</v>
      </c>
      <c r="C246" s="133" t="s">
        <v>1383</v>
      </c>
      <c r="D246" s="133" t="s">
        <v>961</v>
      </c>
      <c r="E246" s="133">
        <v>2027.0</v>
      </c>
      <c r="F246" s="199" t="s">
        <v>1384</v>
      </c>
      <c r="G246" s="200">
        <v>9.0</v>
      </c>
      <c r="H246" s="201"/>
    </row>
    <row r="247" ht="22.5" customHeight="1">
      <c r="A247" s="127">
        <v>45168.0</v>
      </c>
      <c r="B247" s="133" t="s">
        <v>1385</v>
      </c>
      <c r="C247" s="133" t="s">
        <v>1386</v>
      </c>
      <c r="D247" s="133" t="s">
        <v>961</v>
      </c>
      <c r="E247" s="133">
        <v>2027.0</v>
      </c>
      <c r="F247" s="199" t="s">
        <v>1281</v>
      </c>
      <c r="G247" s="200">
        <v>1.0</v>
      </c>
      <c r="H247" s="201"/>
    </row>
    <row r="248" ht="22.5" customHeight="1">
      <c r="A248" s="127">
        <v>45168.0</v>
      </c>
      <c r="B248" s="133" t="s">
        <v>1387</v>
      </c>
      <c r="C248" s="133" t="s">
        <v>1388</v>
      </c>
      <c r="D248" s="133" t="s">
        <v>965</v>
      </c>
      <c r="E248" s="133">
        <v>2026.0</v>
      </c>
      <c r="F248" s="199" t="s">
        <v>1389</v>
      </c>
      <c r="G248" s="200">
        <v>20.0</v>
      </c>
      <c r="H248" s="201"/>
    </row>
    <row r="249" ht="22.5" customHeight="1">
      <c r="A249" s="127">
        <v>45168.0</v>
      </c>
      <c r="B249" s="133" t="s">
        <v>1390</v>
      </c>
      <c r="C249" s="133" t="s">
        <v>1391</v>
      </c>
      <c r="D249" s="133" t="s">
        <v>957</v>
      </c>
      <c r="E249" s="133">
        <v>2027.0</v>
      </c>
      <c r="F249" s="199" t="s">
        <v>1392</v>
      </c>
      <c r="G249" s="200">
        <v>1.0</v>
      </c>
      <c r="H249" s="201"/>
    </row>
    <row r="250" ht="22.5" customHeight="1">
      <c r="A250" s="127">
        <v>45168.0</v>
      </c>
      <c r="B250" s="143" t="s">
        <v>1393</v>
      </c>
      <c r="C250" s="143" t="s">
        <v>1394</v>
      </c>
      <c r="D250" s="143" t="s">
        <v>957</v>
      </c>
      <c r="E250" s="133">
        <v>2027.0</v>
      </c>
      <c r="F250" s="199" t="s">
        <v>1395</v>
      </c>
      <c r="G250" s="200">
        <v>9.0</v>
      </c>
      <c r="H250" s="201"/>
    </row>
    <row r="251" ht="22.5" customHeight="1">
      <c r="A251" s="127">
        <v>45168.0</v>
      </c>
      <c r="B251" s="133" t="s">
        <v>1396</v>
      </c>
      <c r="C251" s="133" t="s">
        <v>1397</v>
      </c>
      <c r="D251" s="133" t="s">
        <v>957</v>
      </c>
      <c r="E251" s="133">
        <v>2027.0</v>
      </c>
      <c r="F251" s="199" t="s">
        <v>1398</v>
      </c>
      <c r="G251" s="200">
        <v>3.0</v>
      </c>
      <c r="H251" s="201"/>
    </row>
    <row r="252" ht="22.5" customHeight="1">
      <c r="A252" s="127">
        <v>45168.0</v>
      </c>
      <c r="B252" s="133" t="s">
        <v>1399</v>
      </c>
      <c r="C252" s="133" t="s">
        <v>1400</v>
      </c>
      <c r="D252" s="133" t="s">
        <v>957</v>
      </c>
      <c r="E252" s="133">
        <v>2027.0</v>
      </c>
      <c r="F252" s="199" t="s">
        <v>1401</v>
      </c>
      <c r="G252" s="200">
        <v>1.0</v>
      </c>
      <c r="H252" s="201"/>
    </row>
    <row r="253" ht="22.5" customHeight="1">
      <c r="A253" s="127">
        <v>45168.0</v>
      </c>
      <c r="B253" s="133" t="s">
        <v>992</v>
      </c>
      <c r="C253" s="133" t="s">
        <v>993</v>
      </c>
      <c r="D253" s="133" t="s">
        <v>961</v>
      </c>
      <c r="E253" s="133">
        <v>2027.0</v>
      </c>
      <c r="F253" s="199" t="s">
        <v>1402</v>
      </c>
      <c r="G253" s="200">
        <v>5.0</v>
      </c>
      <c r="H253" s="201"/>
    </row>
    <row r="254" ht="22.5" customHeight="1">
      <c r="A254" s="127">
        <v>45168.0</v>
      </c>
      <c r="B254" s="133" t="s">
        <v>1403</v>
      </c>
      <c r="C254" s="133" t="s">
        <v>1404</v>
      </c>
      <c r="D254" s="133" t="s">
        <v>957</v>
      </c>
      <c r="E254" s="133">
        <v>2027.0</v>
      </c>
      <c r="F254" s="199" t="s">
        <v>412</v>
      </c>
      <c r="G254" s="200">
        <v>1.0</v>
      </c>
      <c r="H254" s="201"/>
    </row>
    <row r="255" ht="22.5" customHeight="1">
      <c r="A255" s="127">
        <v>45168.0</v>
      </c>
      <c r="B255" s="133" t="s">
        <v>1405</v>
      </c>
      <c r="C255" s="133" t="s">
        <v>1406</v>
      </c>
      <c r="D255" s="133" t="s">
        <v>970</v>
      </c>
      <c r="E255" s="133">
        <v>2027.0</v>
      </c>
      <c r="F255" s="199" t="s">
        <v>1407</v>
      </c>
      <c r="G255" s="200">
        <v>5.0</v>
      </c>
      <c r="H255" s="201"/>
    </row>
    <row r="256" ht="22.5" customHeight="1">
      <c r="A256" s="127">
        <v>45168.0</v>
      </c>
      <c r="B256" s="133" t="s">
        <v>1408</v>
      </c>
      <c r="C256" s="133" t="s">
        <v>1409</v>
      </c>
      <c r="D256" s="133" t="s">
        <v>957</v>
      </c>
      <c r="E256" s="133">
        <v>2027.0</v>
      </c>
      <c r="F256" s="199" t="s">
        <v>1410</v>
      </c>
      <c r="G256" s="200">
        <v>5.0</v>
      </c>
      <c r="H256" s="201"/>
    </row>
    <row r="257" ht="22.5" customHeight="1">
      <c r="A257" s="127">
        <v>45168.0</v>
      </c>
      <c r="B257" s="133" t="s">
        <v>1411</v>
      </c>
      <c r="C257" s="133" t="s">
        <v>1412</v>
      </c>
      <c r="D257" s="133" t="s">
        <v>957</v>
      </c>
      <c r="E257" s="133">
        <v>2027.0</v>
      </c>
      <c r="F257" s="199" t="s">
        <v>1413</v>
      </c>
      <c r="G257" s="200">
        <v>15.0</v>
      </c>
      <c r="H257" s="201"/>
    </row>
    <row r="258" ht="22.5" customHeight="1">
      <c r="A258" s="127">
        <v>45168.0</v>
      </c>
      <c r="B258" s="133" t="s">
        <v>728</v>
      </c>
      <c r="C258" s="133" t="s">
        <v>729</v>
      </c>
      <c r="D258" s="133" t="s">
        <v>957</v>
      </c>
      <c r="E258" s="133">
        <v>2027.0</v>
      </c>
      <c r="F258" s="199" t="s">
        <v>1414</v>
      </c>
      <c r="G258" s="200">
        <v>13.0</v>
      </c>
      <c r="H258" s="201"/>
    </row>
    <row r="259" ht="22.5" customHeight="1">
      <c r="A259" s="127">
        <v>45176.0</v>
      </c>
      <c r="B259" s="133" t="s">
        <v>1415</v>
      </c>
      <c r="C259" s="133" t="s">
        <v>1416</v>
      </c>
      <c r="D259" s="133" t="s">
        <v>965</v>
      </c>
      <c r="E259" s="133">
        <v>2026.0</v>
      </c>
      <c r="F259" s="199" t="s">
        <v>1417</v>
      </c>
      <c r="G259" s="200">
        <v>4.0</v>
      </c>
      <c r="H259" s="201"/>
    </row>
    <row r="260" ht="22.5" customHeight="1">
      <c r="A260" s="127">
        <v>45176.0</v>
      </c>
      <c r="B260" s="133" t="s">
        <v>1418</v>
      </c>
      <c r="C260" s="133" t="s">
        <v>1419</v>
      </c>
      <c r="D260" s="133" t="s">
        <v>1116</v>
      </c>
      <c r="E260" s="133">
        <v>2026.0</v>
      </c>
      <c r="F260" s="199" t="s">
        <v>1420</v>
      </c>
      <c r="G260" s="200">
        <v>3.0</v>
      </c>
      <c r="H260" s="201"/>
    </row>
    <row r="261" ht="22.5" customHeight="1">
      <c r="A261" s="127">
        <v>45176.0</v>
      </c>
      <c r="B261" s="133" t="s">
        <v>1421</v>
      </c>
      <c r="C261" s="133" t="s">
        <v>1422</v>
      </c>
      <c r="D261" s="133" t="s">
        <v>1031</v>
      </c>
      <c r="E261" s="133">
        <v>2025.0</v>
      </c>
      <c r="F261" s="199" t="s">
        <v>1423</v>
      </c>
      <c r="G261" s="200">
        <v>16.0</v>
      </c>
      <c r="H261" s="201"/>
    </row>
    <row r="262" ht="22.5" customHeight="1">
      <c r="A262" s="127">
        <v>45176.0</v>
      </c>
      <c r="B262" s="133" t="s">
        <v>1424</v>
      </c>
      <c r="C262" s="133" t="s">
        <v>1425</v>
      </c>
      <c r="D262" s="133" t="s">
        <v>965</v>
      </c>
      <c r="E262" s="133">
        <v>2025.0</v>
      </c>
      <c r="F262" s="199" t="s">
        <v>33</v>
      </c>
      <c r="G262" s="200">
        <v>1.0</v>
      </c>
      <c r="H262" s="201"/>
    </row>
    <row r="263" ht="22.5" customHeight="1">
      <c r="A263" s="127">
        <v>45176.0</v>
      </c>
      <c r="B263" s="154" t="s">
        <v>1426</v>
      </c>
      <c r="C263" s="154" t="s">
        <v>1427</v>
      </c>
      <c r="D263" s="133" t="s">
        <v>965</v>
      </c>
      <c r="E263" s="133">
        <v>2024.0</v>
      </c>
      <c r="F263" s="199" t="s">
        <v>1428</v>
      </c>
      <c r="G263" s="200">
        <v>5.0</v>
      </c>
      <c r="H263" s="201"/>
    </row>
    <row r="264" ht="22.5" customHeight="1">
      <c r="A264" s="127">
        <v>45176.0</v>
      </c>
      <c r="B264" s="133" t="s">
        <v>1429</v>
      </c>
      <c r="C264" s="133" t="s">
        <v>1430</v>
      </c>
      <c r="D264" s="133" t="s">
        <v>965</v>
      </c>
      <c r="E264" s="133">
        <v>2025.0</v>
      </c>
      <c r="F264" s="199" t="s">
        <v>1431</v>
      </c>
      <c r="G264" s="200">
        <v>1.0</v>
      </c>
      <c r="H264" s="201"/>
    </row>
    <row r="265" ht="22.5" customHeight="1">
      <c r="A265" s="127">
        <v>45176.0</v>
      </c>
      <c r="B265" s="133" t="s">
        <v>1432</v>
      </c>
      <c r="C265" s="133" t="s">
        <v>1433</v>
      </c>
      <c r="D265" s="133" t="s">
        <v>965</v>
      </c>
      <c r="E265" s="133">
        <v>2024.0</v>
      </c>
      <c r="F265" s="199" t="s">
        <v>1434</v>
      </c>
      <c r="G265" s="200">
        <v>13.0</v>
      </c>
      <c r="H265" s="201"/>
    </row>
    <row r="266" ht="22.5" customHeight="1">
      <c r="A266" s="127">
        <v>45176.0</v>
      </c>
      <c r="B266" s="133" t="s">
        <v>1435</v>
      </c>
      <c r="C266" s="133" t="s">
        <v>1436</v>
      </c>
      <c r="D266" s="133" t="s">
        <v>1091</v>
      </c>
      <c r="E266" s="133">
        <v>2025.0</v>
      </c>
      <c r="F266" s="199" t="s">
        <v>117</v>
      </c>
      <c r="G266" s="200">
        <v>1.0</v>
      </c>
      <c r="H266" s="201"/>
    </row>
    <row r="267" ht="22.5" customHeight="1">
      <c r="A267" s="127">
        <v>45176.0</v>
      </c>
      <c r="B267" s="133" t="s">
        <v>1437</v>
      </c>
      <c r="C267" s="133" t="s">
        <v>1438</v>
      </c>
      <c r="D267" s="133" t="s">
        <v>965</v>
      </c>
      <c r="E267" s="133">
        <v>2025.0</v>
      </c>
      <c r="F267" s="199" t="s">
        <v>1439</v>
      </c>
      <c r="G267" s="200">
        <v>3.0</v>
      </c>
      <c r="H267" s="201"/>
    </row>
    <row r="268" ht="22.5" customHeight="1">
      <c r="A268" s="127">
        <v>45176.0</v>
      </c>
      <c r="B268" s="133" t="s">
        <v>1440</v>
      </c>
      <c r="C268" s="133" t="s">
        <v>1441</v>
      </c>
      <c r="D268" s="133" t="s">
        <v>1116</v>
      </c>
      <c r="E268" s="133">
        <v>2024.0</v>
      </c>
      <c r="F268" s="199" t="s">
        <v>33</v>
      </c>
      <c r="G268" s="200">
        <v>1.0</v>
      </c>
      <c r="H268" s="201"/>
    </row>
    <row r="269" ht="22.5" customHeight="1">
      <c r="A269" s="127">
        <v>45176.0</v>
      </c>
      <c r="B269" s="133" t="s">
        <v>1385</v>
      </c>
      <c r="C269" s="133" t="s">
        <v>1386</v>
      </c>
      <c r="D269" s="133" t="s">
        <v>961</v>
      </c>
      <c r="E269" s="133">
        <v>2027.0</v>
      </c>
      <c r="F269" s="199" t="s">
        <v>117</v>
      </c>
      <c r="G269" s="200">
        <v>1.0</v>
      </c>
      <c r="H269" s="201"/>
    </row>
    <row r="270" ht="22.5" customHeight="1">
      <c r="A270" s="127">
        <v>45176.0</v>
      </c>
      <c r="B270" s="133" t="s">
        <v>1051</v>
      </c>
      <c r="C270" s="133" t="s">
        <v>1052</v>
      </c>
      <c r="D270" s="133" t="s">
        <v>965</v>
      </c>
      <c r="E270" s="133">
        <v>2026.0</v>
      </c>
      <c r="F270" s="199" t="s">
        <v>1442</v>
      </c>
      <c r="G270" s="200">
        <v>40.0</v>
      </c>
      <c r="H270" s="201"/>
    </row>
    <row r="271" ht="22.5" customHeight="1">
      <c r="A271" s="127">
        <v>45176.0</v>
      </c>
      <c r="B271" s="133" t="s">
        <v>1443</v>
      </c>
      <c r="C271" s="133" t="s">
        <v>1444</v>
      </c>
      <c r="D271" s="133" t="s">
        <v>965</v>
      </c>
      <c r="E271" s="133">
        <v>2026.0</v>
      </c>
      <c r="F271" s="199" t="s">
        <v>1445</v>
      </c>
      <c r="G271" s="200">
        <v>1.0</v>
      </c>
      <c r="H271" s="201"/>
    </row>
    <row r="272" ht="22.5" customHeight="1">
      <c r="A272" s="127">
        <v>45176.0</v>
      </c>
      <c r="B272" s="133" t="s">
        <v>1160</v>
      </c>
      <c r="C272" s="133" t="s">
        <v>1161</v>
      </c>
      <c r="D272" s="133" t="s">
        <v>1162</v>
      </c>
      <c r="E272" s="133">
        <v>2024.0</v>
      </c>
      <c r="F272" s="199" t="s">
        <v>1446</v>
      </c>
      <c r="G272" s="200">
        <v>43.0</v>
      </c>
      <c r="H272" s="201"/>
    </row>
    <row r="273" ht="22.5" customHeight="1">
      <c r="A273" s="127">
        <v>45176.0</v>
      </c>
      <c r="B273" s="133" t="s">
        <v>1387</v>
      </c>
      <c r="C273" s="133" t="s">
        <v>1388</v>
      </c>
      <c r="D273" s="133" t="s">
        <v>965</v>
      </c>
      <c r="E273" s="133">
        <v>2026.0</v>
      </c>
      <c r="F273" s="199" t="s">
        <v>1447</v>
      </c>
      <c r="G273" s="200">
        <v>9.0</v>
      </c>
      <c r="H273" s="201"/>
    </row>
    <row r="274" ht="22.5" customHeight="1">
      <c r="A274" s="127">
        <v>45176.0</v>
      </c>
      <c r="B274" s="133" t="s">
        <v>1448</v>
      </c>
      <c r="C274" s="133" t="s">
        <v>1449</v>
      </c>
      <c r="D274" s="133" t="s">
        <v>965</v>
      </c>
      <c r="E274" s="133">
        <v>2024.0</v>
      </c>
      <c r="F274" s="199" t="s">
        <v>1450</v>
      </c>
      <c r="G274" s="200">
        <v>17.0</v>
      </c>
      <c r="H274" s="201"/>
    </row>
    <row r="275" ht="22.5" customHeight="1">
      <c r="A275" s="127">
        <v>45176.0</v>
      </c>
      <c r="B275" s="133" t="s">
        <v>1451</v>
      </c>
      <c r="C275" s="133" t="s">
        <v>1452</v>
      </c>
      <c r="D275" s="133" t="s">
        <v>1031</v>
      </c>
      <c r="E275" s="133">
        <v>2026.0</v>
      </c>
      <c r="F275" s="199" t="s">
        <v>1453</v>
      </c>
      <c r="G275" s="200">
        <v>36.0</v>
      </c>
      <c r="H275" s="201"/>
    </row>
    <row r="276" ht="22.5" customHeight="1">
      <c r="A276" s="127">
        <v>45176.0</v>
      </c>
      <c r="B276" s="133" t="s">
        <v>1454</v>
      </c>
      <c r="C276" s="133" t="s">
        <v>1455</v>
      </c>
      <c r="D276" s="133" t="s">
        <v>970</v>
      </c>
      <c r="E276" s="133">
        <v>2026.0</v>
      </c>
      <c r="F276" s="199" t="s">
        <v>1456</v>
      </c>
      <c r="G276" s="200">
        <v>5.0</v>
      </c>
      <c r="H276" s="201"/>
    </row>
    <row r="277" ht="22.5" customHeight="1">
      <c r="A277" s="127">
        <v>45176.0</v>
      </c>
      <c r="B277" s="133" t="s">
        <v>1457</v>
      </c>
      <c r="C277" s="133" t="s">
        <v>1458</v>
      </c>
      <c r="D277" s="133" t="s">
        <v>1459</v>
      </c>
      <c r="E277" s="133">
        <v>2025.0</v>
      </c>
      <c r="F277" s="199" t="s">
        <v>1460</v>
      </c>
      <c r="G277" s="200">
        <v>4.0</v>
      </c>
      <c r="H277" s="201"/>
    </row>
    <row r="278" ht="22.5" customHeight="1">
      <c r="A278" s="127">
        <v>45176.0</v>
      </c>
      <c r="B278" s="133" t="s">
        <v>1461</v>
      </c>
      <c r="C278" s="206" t="s">
        <v>1462</v>
      </c>
      <c r="D278" s="133" t="s">
        <v>965</v>
      </c>
      <c r="E278" s="133">
        <v>2026.0</v>
      </c>
      <c r="F278" s="199" t="s">
        <v>1463</v>
      </c>
      <c r="G278" s="200">
        <v>6.0</v>
      </c>
      <c r="H278" s="201"/>
    </row>
    <row r="279" ht="22.5" customHeight="1">
      <c r="A279" s="127">
        <v>45176.0</v>
      </c>
      <c r="B279" s="133" t="s">
        <v>1464</v>
      </c>
      <c r="C279" s="133" t="s">
        <v>1465</v>
      </c>
      <c r="D279" s="133" t="s">
        <v>1116</v>
      </c>
      <c r="E279" s="133">
        <v>2024.0</v>
      </c>
      <c r="F279" s="199" t="s">
        <v>1466</v>
      </c>
      <c r="G279" s="207">
        <v>2.0</v>
      </c>
      <c r="H279" s="201"/>
    </row>
    <row r="280" ht="22.5" customHeight="1">
      <c r="A280" s="127">
        <v>45176.0</v>
      </c>
      <c r="B280" s="133" t="s">
        <v>1467</v>
      </c>
      <c r="C280" s="133" t="s">
        <v>1468</v>
      </c>
      <c r="D280" s="133" t="s">
        <v>965</v>
      </c>
      <c r="E280" s="133">
        <v>2025.0</v>
      </c>
      <c r="F280" s="199" t="s">
        <v>1469</v>
      </c>
      <c r="G280" s="200">
        <v>6.0</v>
      </c>
      <c r="H280" s="201"/>
    </row>
    <row r="281" ht="22.5" customHeight="1">
      <c r="A281" s="127">
        <v>45176.0</v>
      </c>
      <c r="B281" s="133" t="s">
        <v>1470</v>
      </c>
      <c r="C281" s="133" t="s">
        <v>743</v>
      </c>
      <c r="D281" s="133" t="s">
        <v>961</v>
      </c>
      <c r="E281" s="133">
        <v>2027.0</v>
      </c>
      <c r="F281" s="199" t="s">
        <v>1471</v>
      </c>
      <c r="G281" s="200">
        <v>2.0</v>
      </c>
      <c r="H281" s="201"/>
    </row>
    <row r="282" ht="22.5" customHeight="1">
      <c r="A282" s="127">
        <v>45176.0</v>
      </c>
      <c r="B282" s="133" t="s">
        <v>1472</v>
      </c>
      <c r="C282" s="133" t="s">
        <v>1473</v>
      </c>
      <c r="D282" s="133" t="s">
        <v>965</v>
      </c>
      <c r="E282" s="133">
        <v>2024.0</v>
      </c>
      <c r="F282" s="199" t="s">
        <v>1474</v>
      </c>
      <c r="G282" s="200">
        <v>3.0</v>
      </c>
      <c r="H282" s="201"/>
    </row>
    <row r="283" ht="22.5" customHeight="1">
      <c r="A283" s="127">
        <v>45176.0</v>
      </c>
      <c r="B283" s="154" t="s">
        <v>1475</v>
      </c>
      <c r="C283" s="154" t="s">
        <v>1476</v>
      </c>
      <c r="D283" s="133" t="s">
        <v>1091</v>
      </c>
      <c r="E283" s="133">
        <v>2026.0</v>
      </c>
      <c r="F283" s="199" t="s">
        <v>1477</v>
      </c>
      <c r="G283" s="200">
        <v>1.0</v>
      </c>
      <c r="H283" s="201"/>
    </row>
    <row r="284" ht="22.5" customHeight="1">
      <c r="A284" s="127">
        <v>45176.0</v>
      </c>
      <c r="B284" s="128" t="s">
        <v>1166</v>
      </c>
      <c r="C284" s="128" t="s">
        <v>757</v>
      </c>
      <c r="D284" s="133" t="s">
        <v>970</v>
      </c>
      <c r="E284" s="133">
        <v>2027.0</v>
      </c>
      <c r="F284" s="199" t="s">
        <v>1478</v>
      </c>
      <c r="G284" s="200">
        <v>4.0</v>
      </c>
      <c r="H284" s="201"/>
    </row>
    <row r="285" ht="22.5" customHeight="1">
      <c r="A285" s="127">
        <v>45176.0</v>
      </c>
      <c r="B285" s="133" t="s">
        <v>1479</v>
      </c>
      <c r="C285" s="133" t="s">
        <v>1480</v>
      </c>
      <c r="D285" s="133" t="s">
        <v>1091</v>
      </c>
      <c r="E285" s="133">
        <v>2026.0</v>
      </c>
      <c r="F285" s="199" t="s">
        <v>1481</v>
      </c>
      <c r="G285" s="200">
        <v>24.0</v>
      </c>
      <c r="H285" s="201"/>
    </row>
    <row r="286" ht="22.5" customHeight="1">
      <c r="A286" s="127">
        <v>45176.0</v>
      </c>
      <c r="B286" s="133" t="s">
        <v>1482</v>
      </c>
      <c r="C286" s="133" t="s">
        <v>1483</v>
      </c>
      <c r="D286" s="133" t="s">
        <v>1031</v>
      </c>
      <c r="E286" s="133">
        <v>2025.0</v>
      </c>
      <c r="F286" s="199" t="s">
        <v>1484</v>
      </c>
      <c r="G286" s="200">
        <v>6.0</v>
      </c>
      <c r="H286" s="201"/>
    </row>
    <row r="287" ht="22.5" customHeight="1">
      <c r="A287" s="127">
        <v>45176.0</v>
      </c>
      <c r="B287" s="133" t="s">
        <v>1485</v>
      </c>
      <c r="C287" s="133" t="s">
        <v>1486</v>
      </c>
      <c r="D287" s="133" t="s">
        <v>965</v>
      </c>
      <c r="E287" s="133">
        <v>2026.0</v>
      </c>
      <c r="F287" s="199" t="s">
        <v>1487</v>
      </c>
      <c r="G287" s="200">
        <v>13.0</v>
      </c>
      <c r="H287" s="201"/>
    </row>
    <row r="288" ht="22.5" customHeight="1">
      <c r="A288" s="127">
        <v>45176.0</v>
      </c>
      <c r="B288" s="133" t="s">
        <v>1488</v>
      </c>
      <c r="C288" s="133" t="s">
        <v>1489</v>
      </c>
      <c r="D288" s="133" t="s">
        <v>965</v>
      </c>
      <c r="E288" s="133">
        <v>2025.0</v>
      </c>
      <c r="F288" s="199" t="s">
        <v>1490</v>
      </c>
      <c r="G288" s="200">
        <v>23.0</v>
      </c>
      <c r="H288" s="201"/>
    </row>
    <row r="289" ht="22.5" customHeight="1">
      <c r="A289" s="127">
        <v>45176.0</v>
      </c>
      <c r="B289" s="133" t="s">
        <v>1491</v>
      </c>
      <c r="C289" s="133" t="s">
        <v>1492</v>
      </c>
      <c r="D289" s="133" t="s">
        <v>965</v>
      </c>
      <c r="E289" s="133">
        <v>2025.0</v>
      </c>
      <c r="F289" s="199" t="s">
        <v>1493</v>
      </c>
      <c r="G289" s="200">
        <v>27.0</v>
      </c>
      <c r="H289" s="201"/>
    </row>
    <row r="290" ht="22.5" customHeight="1">
      <c r="A290" s="127">
        <v>45176.0</v>
      </c>
      <c r="B290" s="133" t="s">
        <v>1494</v>
      </c>
      <c r="C290" s="133" t="s">
        <v>1495</v>
      </c>
      <c r="D290" s="133" t="s">
        <v>965</v>
      </c>
      <c r="E290" s="133">
        <v>2024.0</v>
      </c>
      <c r="F290" s="199" t="s">
        <v>1496</v>
      </c>
      <c r="G290" s="200">
        <v>18.0</v>
      </c>
      <c r="H290" s="201"/>
    </row>
    <row r="291" ht="22.5" customHeight="1">
      <c r="A291" s="127">
        <v>45176.0</v>
      </c>
      <c r="B291" s="133" t="s">
        <v>1497</v>
      </c>
      <c r="C291" s="133" t="s">
        <v>1498</v>
      </c>
      <c r="D291" s="133" t="s">
        <v>965</v>
      </c>
      <c r="E291" s="133">
        <v>2024.0</v>
      </c>
      <c r="F291" s="199" t="s">
        <v>1499</v>
      </c>
      <c r="G291" s="200">
        <v>5.0</v>
      </c>
      <c r="H291" s="201"/>
    </row>
    <row r="292" ht="22.5" customHeight="1">
      <c r="A292" s="127">
        <v>45176.0</v>
      </c>
      <c r="B292" s="133" t="s">
        <v>823</v>
      </c>
      <c r="C292" s="133" t="s">
        <v>824</v>
      </c>
      <c r="D292" s="133" t="s">
        <v>970</v>
      </c>
      <c r="E292" s="133">
        <v>2026.0</v>
      </c>
      <c r="F292" s="199" t="s">
        <v>1500</v>
      </c>
      <c r="G292" s="200">
        <v>1.0</v>
      </c>
      <c r="H292" s="201"/>
    </row>
    <row r="293" ht="22.5" customHeight="1">
      <c r="A293" s="127">
        <v>45176.0</v>
      </c>
      <c r="B293" s="133" t="s">
        <v>1501</v>
      </c>
      <c r="C293" s="133" t="s">
        <v>1502</v>
      </c>
      <c r="D293" s="133" t="s">
        <v>965</v>
      </c>
      <c r="E293" s="133">
        <v>2024.0</v>
      </c>
      <c r="F293" s="199" t="s">
        <v>1503</v>
      </c>
      <c r="G293" s="200">
        <v>103.0</v>
      </c>
      <c r="H293" s="201"/>
    </row>
    <row r="294" ht="22.5" customHeight="1">
      <c r="A294" s="127">
        <v>45176.0</v>
      </c>
      <c r="B294" s="133" t="s">
        <v>1504</v>
      </c>
      <c r="C294" s="133" t="s">
        <v>1505</v>
      </c>
      <c r="D294" s="133" t="s">
        <v>965</v>
      </c>
      <c r="E294" s="133">
        <v>2026.0</v>
      </c>
      <c r="F294" s="199" t="s">
        <v>1506</v>
      </c>
      <c r="G294" s="200">
        <v>3.0</v>
      </c>
      <c r="H294" s="201"/>
    </row>
    <row r="295" ht="22.5" customHeight="1">
      <c r="A295" s="127">
        <v>45176.0</v>
      </c>
      <c r="B295" s="133" t="s">
        <v>731</v>
      </c>
      <c r="C295" s="133" t="s">
        <v>732</v>
      </c>
      <c r="D295" s="133" t="s">
        <v>957</v>
      </c>
      <c r="E295" s="133">
        <v>2027.0</v>
      </c>
      <c r="F295" s="199" t="s">
        <v>1507</v>
      </c>
      <c r="G295" s="200">
        <v>22.0</v>
      </c>
      <c r="H295" s="201"/>
    </row>
    <row r="296" ht="22.5" customHeight="1">
      <c r="A296" s="127">
        <v>45176.0</v>
      </c>
      <c r="B296" s="154" t="s">
        <v>1508</v>
      </c>
      <c r="C296" s="128" t="s">
        <v>766</v>
      </c>
      <c r="D296" s="133" t="s">
        <v>970</v>
      </c>
      <c r="E296" s="133">
        <v>2027.0</v>
      </c>
      <c r="F296" s="199" t="s">
        <v>1509</v>
      </c>
      <c r="G296" s="200">
        <v>39.0</v>
      </c>
      <c r="H296" s="201"/>
    </row>
    <row r="297" ht="22.5" customHeight="1">
      <c r="A297" s="127">
        <v>45176.0</v>
      </c>
      <c r="B297" s="154" t="s">
        <v>1510</v>
      </c>
      <c r="C297" s="154" t="s">
        <v>1511</v>
      </c>
      <c r="D297" s="133" t="s">
        <v>1459</v>
      </c>
      <c r="E297" s="133">
        <v>2026.0</v>
      </c>
      <c r="F297" s="199" t="s">
        <v>1512</v>
      </c>
      <c r="G297" s="200">
        <v>20.0</v>
      </c>
      <c r="H297" s="201"/>
    </row>
    <row r="298" ht="22.5" customHeight="1">
      <c r="A298" s="127">
        <v>45176.0</v>
      </c>
      <c r="B298" s="133" t="s">
        <v>762</v>
      </c>
      <c r="C298" s="133" t="s">
        <v>763</v>
      </c>
      <c r="D298" s="133" t="s">
        <v>961</v>
      </c>
      <c r="E298" s="133">
        <v>2027.0</v>
      </c>
      <c r="F298" s="199" t="s">
        <v>1513</v>
      </c>
      <c r="G298" s="200">
        <v>17.0</v>
      </c>
      <c r="H298" s="201"/>
    </row>
    <row r="299" ht="22.5" customHeight="1">
      <c r="A299" s="127">
        <v>45176.0</v>
      </c>
      <c r="B299" s="133" t="s">
        <v>1514</v>
      </c>
      <c r="C299" s="133" t="s">
        <v>1515</v>
      </c>
      <c r="D299" s="133" t="s">
        <v>1031</v>
      </c>
      <c r="E299" s="133">
        <v>2024.0</v>
      </c>
      <c r="F299" s="199" t="s">
        <v>1516</v>
      </c>
      <c r="G299" s="200">
        <v>35.0</v>
      </c>
      <c r="H299" s="201"/>
    </row>
    <row r="300" ht="22.5" customHeight="1">
      <c r="A300" s="127">
        <v>45176.0</v>
      </c>
      <c r="B300" s="133" t="s">
        <v>1517</v>
      </c>
      <c r="C300" s="133" t="s">
        <v>1518</v>
      </c>
      <c r="D300" s="133" t="s">
        <v>1116</v>
      </c>
      <c r="E300" s="133">
        <v>2024.0</v>
      </c>
      <c r="F300" s="199" t="s">
        <v>1519</v>
      </c>
      <c r="G300" s="200">
        <v>6.0</v>
      </c>
      <c r="H300" s="201"/>
    </row>
    <row r="301" ht="22.5" customHeight="1">
      <c r="A301" s="127">
        <v>45176.0</v>
      </c>
      <c r="B301" s="133" t="s">
        <v>1520</v>
      </c>
      <c r="C301" s="133" t="s">
        <v>1521</v>
      </c>
      <c r="D301" s="133" t="s">
        <v>1031</v>
      </c>
      <c r="E301" s="133">
        <v>2024.0</v>
      </c>
      <c r="F301" s="199" t="s">
        <v>1522</v>
      </c>
      <c r="G301" s="200">
        <v>5.0</v>
      </c>
      <c r="H301" s="201"/>
    </row>
    <row r="302" ht="22.5" customHeight="1">
      <c r="A302" s="127">
        <v>45176.0</v>
      </c>
      <c r="B302" s="133" t="s">
        <v>850</v>
      </c>
      <c r="C302" s="133" t="s">
        <v>851</v>
      </c>
      <c r="D302" s="133" t="s">
        <v>957</v>
      </c>
      <c r="E302" s="133">
        <v>2026.0</v>
      </c>
      <c r="F302" s="199" t="s">
        <v>1523</v>
      </c>
      <c r="G302" s="200">
        <v>7.0</v>
      </c>
      <c r="H302" s="201"/>
    </row>
    <row r="303" ht="22.5" customHeight="1">
      <c r="A303" s="127">
        <v>45176.0</v>
      </c>
      <c r="B303" s="133" t="s">
        <v>1524</v>
      </c>
      <c r="C303" s="133" t="s">
        <v>1525</v>
      </c>
      <c r="D303" s="133" t="s">
        <v>965</v>
      </c>
      <c r="E303" s="133">
        <v>2026.0</v>
      </c>
      <c r="F303" s="199" t="s">
        <v>1526</v>
      </c>
      <c r="G303" s="200">
        <v>10.0</v>
      </c>
      <c r="H303" s="201"/>
    </row>
    <row r="304" ht="22.5" customHeight="1">
      <c r="A304" s="127">
        <v>45176.0</v>
      </c>
      <c r="B304" s="133" t="s">
        <v>1527</v>
      </c>
      <c r="C304" s="133" t="s">
        <v>1528</v>
      </c>
      <c r="D304" s="133" t="s">
        <v>965</v>
      </c>
      <c r="E304" s="133">
        <v>2024.0</v>
      </c>
      <c r="F304" s="199" t="s">
        <v>1529</v>
      </c>
      <c r="G304" s="200">
        <v>6.0</v>
      </c>
      <c r="H304" s="201"/>
    </row>
    <row r="305" ht="22.5" customHeight="1">
      <c r="A305" s="127">
        <v>45176.0</v>
      </c>
      <c r="B305" s="133" t="s">
        <v>1530</v>
      </c>
      <c r="C305" s="133" t="s">
        <v>1531</v>
      </c>
      <c r="D305" s="133" t="s">
        <v>974</v>
      </c>
      <c r="E305" s="133">
        <v>2026.0</v>
      </c>
      <c r="F305" s="199" t="s">
        <v>1532</v>
      </c>
      <c r="G305" s="200">
        <v>1.0</v>
      </c>
      <c r="H305" s="201"/>
    </row>
    <row r="306" ht="22.5" customHeight="1">
      <c r="A306" s="127">
        <v>45176.0</v>
      </c>
      <c r="B306" s="133" t="s">
        <v>645</v>
      </c>
      <c r="C306" s="133" t="s">
        <v>646</v>
      </c>
      <c r="D306" s="133" t="s">
        <v>961</v>
      </c>
      <c r="E306" s="133">
        <v>2026.0</v>
      </c>
      <c r="F306" s="199" t="s">
        <v>1533</v>
      </c>
      <c r="G306" s="200">
        <v>4.0</v>
      </c>
      <c r="H306" s="201"/>
    </row>
    <row r="307" ht="22.5" customHeight="1">
      <c r="A307" s="127">
        <v>45176.0</v>
      </c>
      <c r="B307" s="133" t="s">
        <v>1534</v>
      </c>
      <c r="C307" s="133" t="s">
        <v>1535</v>
      </c>
      <c r="D307" s="133" t="s">
        <v>965</v>
      </c>
      <c r="E307" s="133">
        <v>2025.0</v>
      </c>
      <c r="F307" s="199" t="s">
        <v>1536</v>
      </c>
      <c r="G307" s="200">
        <v>1.0</v>
      </c>
      <c r="H307" s="201"/>
    </row>
    <row r="308" ht="22.5" customHeight="1">
      <c r="A308" s="127">
        <v>45176.0</v>
      </c>
      <c r="B308" s="162" t="s">
        <v>637</v>
      </c>
      <c r="C308" s="162" t="s">
        <v>638</v>
      </c>
      <c r="D308" s="133" t="s">
        <v>1116</v>
      </c>
      <c r="E308" s="133">
        <v>2026.0</v>
      </c>
      <c r="F308" s="199" t="s">
        <v>1537</v>
      </c>
      <c r="G308" s="200">
        <v>9.0</v>
      </c>
      <c r="H308" s="201"/>
    </row>
    <row r="309" ht="22.5" customHeight="1">
      <c r="A309" s="127">
        <v>45176.0</v>
      </c>
      <c r="B309" s="133" t="s">
        <v>1538</v>
      </c>
      <c r="C309" s="133" t="s">
        <v>1539</v>
      </c>
      <c r="D309" s="133" t="s">
        <v>965</v>
      </c>
      <c r="E309" s="133">
        <v>2025.0</v>
      </c>
      <c r="F309" s="199" t="s">
        <v>1540</v>
      </c>
      <c r="G309" s="200">
        <v>17.0</v>
      </c>
      <c r="H309" s="201"/>
    </row>
    <row r="310" ht="22.5" customHeight="1">
      <c r="A310" s="127">
        <v>45176.0</v>
      </c>
      <c r="B310" s="133" t="s">
        <v>841</v>
      </c>
      <c r="C310" s="133" t="s">
        <v>842</v>
      </c>
      <c r="D310" s="133" t="s">
        <v>970</v>
      </c>
      <c r="E310" s="133">
        <v>2026.0</v>
      </c>
      <c r="F310" s="199" t="s">
        <v>1541</v>
      </c>
      <c r="G310" s="200">
        <v>12.0</v>
      </c>
      <c r="H310" s="201"/>
    </row>
    <row r="311" ht="22.5" customHeight="1">
      <c r="A311" s="127">
        <v>45176.0</v>
      </c>
      <c r="B311" s="133" t="s">
        <v>1542</v>
      </c>
      <c r="C311" s="133" t="s">
        <v>1543</v>
      </c>
      <c r="D311" s="133" t="s">
        <v>961</v>
      </c>
      <c r="E311" s="133">
        <v>2026.0</v>
      </c>
      <c r="F311" s="199" t="s">
        <v>1544</v>
      </c>
      <c r="G311" s="200">
        <v>28.0</v>
      </c>
      <c r="H311" s="201"/>
    </row>
    <row r="312" ht="22.5" customHeight="1">
      <c r="A312" s="127">
        <v>45176.0</v>
      </c>
      <c r="B312" s="133" t="s">
        <v>1545</v>
      </c>
      <c r="C312" s="133" t="s">
        <v>1546</v>
      </c>
      <c r="D312" s="133" t="s">
        <v>965</v>
      </c>
      <c r="E312" s="133">
        <v>2024.0</v>
      </c>
      <c r="F312" s="199" t="s">
        <v>1547</v>
      </c>
      <c r="G312" s="200">
        <v>5.0</v>
      </c>
      <c r="H312" s="201"/>
    </row>
    <row r="313" ht="22.5" customHeight="1">
      <c r="A313" s="127">
        <v>45176.0</v>
      </c>
      <c r="B313" s="133" t="s">
        <v>1548</v>
      </c>
      <c r="C313" s="133" t="s">
        <v>1549</v>
      </c>
      <c r="D313" s="133" t="s">
        <v>1116</v>
      </c>
      <c r="E313" s="133">
        <v>2024.0</v>
      </c>
      <c r="F313" s="199" t="s">
        <v>1550</v>
      </c>
      <c r="G313" s="200">
        <v>4.0</v>
      </c>
      <c r="H313" s="201"/>
    </row>
    <row r="314" ht="22.5" customHeight="1">
      <c r="A314" s="127">
        <v>45176.0</v>
      </c>
      <c r="B314" s="133" t="s">
        <v>1551</v>
      </c>
      <c r="C314" s="133" t="s">
        <v>1552</v>
      </c>
      <c r="D314" s="133" t="s">
        <v>970</v>
      </c>
      <c r="E314" s="133">
        <v>2027.0</v>
      </c>
      <c r="F314" s="199" t="s">
        <v>1553</v>
      </c>
      <c r="G314" s="200">
        <v>2.0</v>
      </c>
      <c r="H314" s="201"/>
    </row>
    <row r="315" ht="22.5" customHeight="1">
      <c r="A315" s="127">
        <v>45176.0</v>
      </c>
      <c r="B315" s="133" t="s">
        <v>1554</v>
      </c>
      <c r="C315" s="133" t="s">
        <v>1555</v>
      </c>
      <c r="D315" s="133" t="s">
        <v>970</v>
      </c>
      <c r="E315" s="133">
        <v>2026.0</v>
      </c>
      <c r="F315" s="199" t="s">
        <v>1556</v>
      </c>
      <c r="G315" s="200">
        <v>51.0</v>
      </c>
      <c r="H315" s="201"/>
    </row>
    <row r="316" ht="22.5" customHeight="1">
      <c r="A316" s="127">
        <v>45176.0</v>
      </c>
      <c r="B316" s="133" t="s">
        <v>1557</v>
      </c>
      <c r="C316" s="133" t="s">
        <v>1558</v>
      </c>
      <c r="D316" s="133" t="s">
        <v>970</v>
      </c>
      <c r="E316" s="133">
        <v>2027.0</v>
      </c>
      <c r="F316" s="199" t="s">
        <v>1559</v>
      </c>
      <c r="G316" s="200">
        <v>4.0</v>
      </c>
      <c r="H316" s="201"/>
    </row>
    <row r="317" ht="22.5" customHeight="1">
      <c r="A317" s="127">
        <v>45176.0</v>
      </c>
      <c r="B317" s="133" t="s">
        <v>1560</v>
      </c>
      <c r="C317" s="133" t="s">
        <v>1561</v>
      </c>
      <c r="D317" s="133" t="s">
        <v>970</v>
      </c>
      <c r="E317" s="133">
        <v>2027.0</v>
      </c>
      <c r="F317" s="199" t="s">
        <v>1562</v>
      </c>
      <c r="G317" s="200">
        <v>3.0</v>
      </c>
      <c r="H317" s="201"/>
    </row>
    <row r="318" ht="22.5" customHeight="1">
      <c r="A318" s="127">
        <v>45176.0</v>
      </c>
      <c r="B318" s="133" t="s">
        <v>1563</v>
      </c>
      <c r="C318" s="133" t="s">
        <v>1564</v>
      </c>
      <c r="D318" s="133" t="s">
        <v>970</v>
      </c>
      <c r="E318" s="133">
        <v>2027.0</v>
      </c>
      <c r="F318" s="199" t="s">
        <v>1565</v>
      </c>
      <c r="G318" s="200">
        <v>3.0</v>
      </c>
      <c r="H318" s="201"/>
    </row>
    <row r="319" ht="22.5" customHeight="1">
      <c r="A319" s="127">
        <v>45176.0</v>
      </c>
      <c r="B319" s="133" t="s">
        <v>1566</v>
      </c>
      <c r="C319" s="133" t="s">
        <v>1567</v>
      </c>
      <c r="D319" s="133" t="s">
        <v>965</v>
      </c>
      <c r="E319" s="133">
        <v>2024.0</v>
      </c>
      <c r="F319" s="199" t="s">
        <v>1568</v>
      </c>
      <c r="G319" s="200">
        <v>4.0</v>
      </c>
      <c r="H319" s="201"/>
    </row>
    <row r="320" ht="22.5" customHeight="1">
      <c r="A320" s="127">
        <v>45176.0</v>
      </c>
      <c r="B320" s="133" t="s">
        <v>1569</v>
      </c>
      <c r="C320" s="133" t="s">
        <v>1570</v>
      </c>
      <c r="D320" s="133" t="s">
        <v>1571</v>
      </c>
      <c r="E320" s="133">
        <v>2024.0</v>
      </c>
      <c r="F320" s="199" t="s">
        <v>1572</v>
      </c>
      <c r="G320" s="200">
        <v>26.0</v>
      </c>
      <c r="H320" s="201"/>
    </row>
    <row r="321" ht="22.5" customHeight="1">
      <c r="A321" s="127">
        <v>45181.0</v>
      </c>
      <c r="B321" s="133" t="s">
        <v>1573</v>
      </c>
      <c r="C321" s="133" t="s">
        <v>917</v>
      </c>
      <c r="D321" s="133" t="s">
        <v>961</v>
      </c>
      <c r="E321" s="133">
        <v>2027.0</v>
      </c>
      <c r="F321" s="199" t="s">
        <v>1574</v>
      </c>
      <c r="G321" s="200">
        <v>5.0</v>
      </c>
      <c r="H321" s="201"/>
    </row>
    <row r="322" ht="22.5" customHeight="1">
      <c r="A322" s="127">
        <v>45181.0</v>
      </c>
      <c r="B322" s="133" t="s">
        <v>1437</v>
      </c>
      <c r="C322" s="133" t="s">
        <v>1438</v>
      </c>
      <c r="D322" s="133" t="s">
        <v>965</v>
      </c>
      <c r="E322" s="133">
        <v>2025.0</v>
      </c>
      <c r="F322" s="199" t="s">
        <v>1575</v>
      </c>
      <c r="G322" s="200">
        <v>3.0</v>
      </c>
      <c r="H322" s="201"/>
    </row>
    <row r="323" ht="22.5" customHeight="1">
      <c r="A323" s="127">
        <v>45181.0</v>
      </c>
      <c r="B323" s="133" t="s">
        <v>1576</v>
      </c>
      <c r="C323" s="133" t="s">
        <v>1577</v>
      </c>
      <c r="D323" s="133" t="s">
        <v>1116</v>
      </c>
      <c r="E323" s="133">
        <v>2024.0</v>
      </c>
      <c r="F323" s="199" t="s">
        <v>1578</v>
      </c>
      <c r="G323" s="200">
        <v>25.0</v>
      </c>
      <c r="H323" s="201"/>
    </row>
    <row r="324" ht="22.5" customHeight="1">
      <c r="A324" s="127">
        <v>45181.0</v>
      </c>
      <c r="B324" s="133" t="s">
        <v>1579</v>
      </c>
      <c r="C324" s="133" t="s">
        <v>1580</v>
      </c>
      <c r="D324" s="133" t="s">
        <v>970</v>
      </c>
      <c r="E324" s="133">
        <v>2025.0</v>
      </c>
      <c r="F324" s="199" t="s">
        <v>1581</v>
      </c>
      <c r="G324" s="200">
        <v>9.0</v>
      </c>
      <c r="H324" s="201"/>
    </row>
    <row r="325" ht="22.5" customHeight="1">
      <c r="A325" s="127">
        <v>45181.0</v>
      </c>
      <c r="B325" s="133" t="s">
        <v>1582</v>
      </c>
      <c r="C325" s="133" t="s">
        <v>1583</v>
      </c>
      <c r="D325" s="133" t="s">
        <v>965</v>
      </c>
      <c r="E325" s="133">
        <v>2025.0</v>
      </c>
      <c r="F325" s="199" t="s">
        <v>1584</v>
      </c>
      <c r="G325" s="200">
        <v>2.0</v>
      </c>
      <c r="H325" s="201"/>
    </row>
    <row r="326" ht="22.5" customHeight="1">
      <c r="A326" s="127">
        <v>45181.0</v>
      </c>
      <c r="B326" s="133" t="s">
        <v>1585</v>
      </c>
      <c r="C326" s="204" t="s">
        <v>1586</v>
      </c>
      <c r="D326" s="133" t="s">
        <v>1162</v>
      </c>
      <c r="E326" s="133">
        <v>2026.0</v>
      </c>
      <c r="F326" s="199" t="s">
        <v>1587</v>
      </c>
      <c r="G326" s="200">
        <v>30.0</v>
      </c>
      <c r="H326" s="201"/>
    </row>
    <row r="327" ht="22.5" customHeight="1">
      <c r="A327" s="127">
        <v>45181.0</v>
      </c>
      <c r="B327" s="133" t="s">
        <v>1588</v>
      </c>
      <c r="C327" s="133" t="s">
        <v>830</v>
      </c>
      <c r="D327" s="133" t="s">
        <v>957</v>
      </c>
      <c r="E327" s="133">
        <v>2027.0</v>
      </c>
      <c r="F327" s="199" t="s">
        <v>1589</v>
      </c>
      <c r="G327" s="200">
        <v>1.0</v>
      </c>
      <c r="H327" s="201"/>
    </row>
    <row r="328" ht="22.5" customHeight="1">
      <c r="A328" s="127">
        <v>45181.0</v>
      </c>
      <c r="B328" s="133" t="s">
        <v>1590</v>
      </c>
      <c r="C328" s="133" t="s">
        <v>1272</v>
      </c>
      <c r="D328" s="133" t="s">
        <v>970</v>
      </c>
      <c r="E328" s="133">
        <v>2025.0</v>
      </c>
      <c r="F328" s="199" t="s">
        <v>1591</v>
      </c>
      <c r="G328" s="200">
        <v>2.0</v>
      </c>
      <c r="H328" s="201"/>
    </row>
    <row r="329" ht="22.5" customHeight="1">
      <c r="A329" s="127">
        <v>45181.0</v>
      </c>
      <c r="B329" s="129" t="s">
        <v>658</v>
      </c>
      <c r="C329" s="129" t="s">
        <v>659</v>
      </c>
      <c r="D329" s="133" t="s">
        <v>961</v>
      </c>
      <c r="E329" s="133">
        <v>2027.0</v>
      </c>
      <c r="F329" s="199" t="s">
        <v>1592</v>
      </c>
      <c r="G329" s="200">
        <v>4.0</v>
      </c>
      <c r="H329" s="201"/>
    </row>
    <row r="330" ht="22.5" customHeight="1">
      <c r="A330" s="127">
        <v>45181.0</v>
      </c>
      <c r="B330" s="133" t="s">
        <v>1593</v>
      </c>
      <c r="C330" s="133" t="s">
        <v>1594</v>
      </c>
      <c r="D330" s="133" t="s">
        <v>965</v>
      </c>
      <c r="E330" s="133">
        <v>2026.0</v>
      </c>
      <c r="F330" s="199" t="s">
        <v>1595</v>
      </c>
      <c r="G330" s="200">
        <v>7.0</v>
      </c>
      <c r="H330" s="201"/>
    </row>
    <row r="331" ht="22.5" customHeight="1">
      <c r="A331" s="127">
        <v>45181.0</v>
      </c>
      <c r="B331" s="133" t="s">
        <v>762</v>
      </c>
      <c r="C331" s="133" t="s">
        <v>763</v>
      </c>
      <c r="D331" s="133" t="s">
        <v>961</v>
      </c>
      <c r="E331" s="133">
        <v>2027.0</v>
      </c>
      <c r="F331" s="199" t="s">
        <v>1596</v>
      </c>
      <c r="G331" s="200">
        <v>2.0</v>
      </c>
      <c r="H331" s="201"/>
    </row>
    <row r="332" ht="22.5" customHeight="1">
      <c r="A332" s="127">
        <v>45181.0</v>
      </c>
      <c r="B332" s="133" t="s">
        <v>1292</v>
      </c>
      <c r="C332" s="133" t="s">
        <v>1293</v>
      </c>
      <c r="D332" s="133" t="s">
        <v>961</v>
      </c>
      <c r="E332" s="133">
        <v>2027.0</v>
      </c>
      <c r="F332" s="199" t="s">
        <v>1597</v>
      </c>
      <c r="G332" s="200">
        <v>5.0</v>
      </c>
      <c r="H332" s="201"/>
    </row>
    <row r="333" ht="22.5" customHeight="1">
      <c r="A333" s="127">
        <v>45181.0</v>
      </c>
      <c r="B333" s="133" t="s">
        <v>1598</v>
      </c>
      <c r="C333" s="133" t="s">
        <v>1599</v>
      </c>
      <c r="D333" s="133" t="s">
        <v>1600</v>
      </c>
      <c r="E333" s="133">
        <v>2025.0</v>
      </c>
      <c r="F333" s="199" t="s">
        <v>1601</v>
      </c>
      <c r="G333" s="200">
        <v>9.0</v>
      </c>
      <c r="H333" s="201"/>
    </row>
    <row r="334" ht="22.5" customHeight="1">
      <c r="A334" s="127">
        <v>45181.0</v>
      </c>
      <c r="B334" s="133" t="s">
        <v>1602</v>
      </c>
      <c r="C334" s="133" t="s">
        <v>1603</v>
      </c>
      <c r="D334" s="133" t="s">
        <v>1600</v>
      </c>
      <c r="E334" s="133">
        <v>2025.0</v>
      </c>
      <c r="F334" s="199" t="s">
        <v>1604</v>
      </c>
      <c r="G334" s="200">
        <v>7.0</v>
      </c>
      <c r="H334" s="201"/>
    </row>
    <row r="335" ht="22.5" customHeight="1">
      <c r="A335" s="127">
        <v>45181.0</v>
      </c>
      <c r="B335" s="128" t="s">
        <v>661</v>
      </c>
      <c r="C335" s="128" t="s">
        <v>662</v>
      </c>
      <c r="D335" s="133" t="s">
        <v>1116</v>
      </c>
      <c r="E335" s="133">
        <v>2026.0</v>
      </c>
      <c r="F335" s="199" t="s">
        <v>1605</v>
      </c>
      <c r="G335" s="200">
        <v>20.0</v>
      </c>
      <c r="H335" s="201"/>
    </row>
    <row r="336" ht="22.5" customHeight="1">
      <c r="A336" s="127">
        <v>45181.0</v>
      </c>
      <c r="B336" s="154" t="s">
        <v>1328</v>
      </c>
      <c r="C336" s="154" t="s">
        <v>1329</v>
      </c>
      <c r="D336" s="133" t="s">
        <v>965</v>
      </c>
      <c r="E336" s="133">
        <v>2024.0</v>
      </c>
      <c r="F336" s="199" t="s">
        <v>1606</v>
      </c>
      <c r="G336" s="200">
        <v>8.0</v>
      </c>
      <c r="H336" s="201"/>
    </row>
    <row r="337" ht="22.5" customHeight="1">
      <c r="A337" s="127">
        <v>45181.0</v>
      </c>
      <c r="B337" s="133" t="s">
        <v>1418</v>
      </c>
      <c r="C337" s="133" t="s">
        <v>1419</v>
      </c>
      <c r="D337" s="133" t="s">
        <v>1116</v>
      </c>
      <c r="E337" s="133">
        <v>2026.0</v>
      </c>
      <c r="F337" s="199" t="s">
        <v>1607</v>
      </c>
      <c r="G337" s="200">
        <v>8.0</v>
      </c>
      <c r="H337" s="201"/>
    </row>
    <row r="338" ht="22.5" customHeight="1">
      <c r="A338" s="127">
        <v>45181.0</v>
      </c>
      <c r="B338" s="133" t="s">
        <v>1608</v>
      </c>
      <c r="C338" s="133" t="s">
        <v>1609</v>
      </c>
      <c r="D338" s="133" t="s">
        <v>965</v>
      </c>
      <c r="E338" s="133">
        <v>2026.0</v>
      </c>
      <c r="F338" s="199" t="s">
        <v>1610</v>
      </c>
      <c r="G338" s="200">
        <v>12.0</v>
      </c>
      <c r="H338" s="201"/>
    </row>
    <row r="339" ht="22.5" customHeight="1">
      <c r="A339" s="127">
        <v>45181.0</v>
      </c>
      <c r="B339" s="133" t="s">
        <v>967</v>
      </c>
      <c r="C339" s="133" t="s">
        <v>968</v>
      </c>
      <c r="D339" s="133" t="s">
        <v>965</v>
      </c>
      <c r="E339" s="133">
        <v>2024.0</v>
      </c>
      <c r="F339" s="199" t="s">
        <v>1611</v>
      </c>
      <c r="G339" s="200">
        <v>6.0</v>
      </c>
      <c r="H339" s="201"/>
    </row>
    <row r="340" ht="22.5" customHeight="1">
      <c r="A340" s="127">
        <v>45181.0</v>
      </c>
      <c r="B340" s="133" t="s">
        <v>1612</v>
      </c>
      <c r="C340" s="133" t="s">
        <v>1613</v>
      </c>
      <c r="D340" s="133" t="s">
        <v>1082</v>
      </c>
      <c r="E340" s="133">
        <v>2026.0</v>
      </c>
      <c r="F340" s="199" t="s">
        <v>1614</v>
      </c>
      <c r="G340" s="200">
        <v>5.0</v>
      </c>
      <c r="H340" s="201"/>
    </row>
    <row r="341" ht="22.5" customHeight="1">
      <c r="A341" s="127">
        <v>45181.0</v>
      </c>
      <c r="B341" s="128" t="s">
        <v>765</v>
      </c>
      <c r="C341" s="128" t="s">
        <v>766</v>
      </c>
      <c r="D341" s="133" t="s">
        <v>970</v>
      </c>
      <c r="E341" s="133">
        <v>2027.0</v>
      </c>
      <c r="F341" s="199" t="s">
        <v>1615</v>
      </c>
      <c r="G341" s="200">
        <v>5.0</v>
      </c>
      <c r="H341" s="201"/>
    </row>
    <row r="342" ht="22.5" customHeight="1">
      <c r="A342" s="127">
        <v>45181.0</v>
      </c>
      <c r="B342" s="204" t="s">
        <v>1616</v>
      </c>
      <c r="C342" s="133" t="s">
        <v>1617</v>
      </c>
      <c r="D342" s="133" t="s">
        <v>965</v>
      </c>
      <c r="E342" s="133">
        <v>2025.0</v>
      </c>
      <c r="F342" s="199" t="s">
        <v>1618</v>
      </c>
      <c r="G342" s="200">
        <v>4.0</v>
      </c>
      <c r="H342" s="201"/>
    </row>
    <row r="343" ht="22.5" customHeight="1">
      <c r="A343" s="127">
        <v>45181.0</v>
      </c>
      <c r="B343" s="133" t="s">
        <v>1619</v>
      </c>
      <c r="C343" s="133" t="s">
        <v>1620</v>
      </c>
      <c r="D343" s="133" t="s">
        <v>1116</v>
      </c>
      <c r="E343" s="133">
        <v>2025.0</v>
      </c>
      <c r="F343" s="199" t="s">
        <v>1621</v>
      </c>
      <c r="G343" s="200">
        <v>7.0</v>
      </c>
      <c r="H343" s="201"/>
    </row>
    <row r="344" ht="22.5" customHeight="1">
      <c r="A344" s="127">
        <v>45181.0</v>
      </c>
      <c r="B344" s="133" t="s">
        <v>1622</v>
      </c>
      <c r="C344" s="133" t="s">
        <v>1623</v>
      </c>
      <c r="D344" s="133" t="s">
        <v>965</v>
      </c>
      <c r="E344" s="133">
        <v>2025.0</v>
      </c>
      <c r="F344" s="199" t="s">
        <v>1624</v>
      </c>
      <c r="G344" s="200">
        <v>66.0</v>
      </c>
      <c r="H344" s="201"/>
    </row>
    <row r="345" ht="22.5" customHeight="1">
      <c r="A345" s="127">
        <v>45189.0</v>
      </c>
      <c r="B345" s="133" t="s">
        <v>1080</v>
      </c>
      <c r="C345" s="133" t="s">
        <v>1625</v>
      </c>
      <c r="D345" s="133" t="s">
        <v>1082</v>
      </c>
      <c r="E345" s="133">
        <v>2026.0</v>
      </c>
      <c r="F345" s="199" t="s">
        <v>1626</v>
      </c>
      <c r="G345" s="200">
        <v>5.0</v>
      </c>
      <c r="H345" s="201"/>
    </row>
    <row r="346" ht="22.5" customHeight="1">
      <c r="A346" s="127">
        <v>45189.0</v>
      </c>
      <c r="B346" s="133" t="s">
        <v>1627</v>
      </c>
      <c r="C346" s="133" t="s">
        <v>1628</v>
      </c>
      <c r="D346" s="133" t="s">
        <v>965</v>
      </c>
      <c r="E346" s="133">
        <v>2024.0</v>
      </c>
      <c r="F346" s="199" t="s">
        <v>1629</v>
      </c>
      <c r="G346" s="200">
        <v>8.0</v>
      </c>
      <c r="H346" s="133"/>
    </row>
    <row r="347" ht="22.5" customHeight="1">
      <c r="A347" s="127">
        <v>45190.0</v>
      </c>
      <c r="B347" s="133" t="s">
        <v>1160</v>
      </c>
      <c r="C347" s="133" t="s">
        <v>1630</v>
      </c>
      <c r="D347" s="133" t="s">
        <v>1162</v>
      </c>
      <c r="E347" s="133">
        <v>2024.0</v>
      </c>
      <c r="F347" s="199" t="s">
        <v>1631</v>
      </c>
      <c r="G347" s="200">
        <v>19.0</v>
      </c>
      <c r="H347" s="201"/>
    </row>
    <row r="348" ht="22.5" customHeight="1">
      <c r="A348" s="127">
        <v>45190.0</v>
      </c>
      <c r="B348" s="204" t="s">
        <v>1632</v>
      </c>
      <c r="C348" s="133" t="s">
        <v>851</v>
      </c>
      <c r="D348" s="133" t="s">
        <v>957</v>
      </c>
      <c r="E348" s="133">
        <v>2027.0</v>
      </c>
      <c r="F348" s="199" t="s">
        <v>1633</v>
      </c>
      <c r="G348" s="200">
        <v>15.0</v>
      </c>
      <c r="H348" s="201"/>
    </row>
    <row r="349" ht="22.5" customHeight="1">
      <c r="A349" s="127">
        <v>45190.0</v>
      </c>
      <c r="B349" s="133" t="s">
        <v>1454</v>
      </c>
      <c r="C349" s="133" t="s">
        <v>1455</v>
      </c>
      <c r="D349" s="133" t="s">
        <v>970</v>
      </c>
      <c r="E349" s="133">
        <v>2026.0</v>
      </c>
      <c r="F349" s="199" t="s">
        <v>1634</v>
      </c>
      <c r="G349" s="200">
        <v>12.0</v>
      </c>
      <c r="H349" s="201"/>
    </row>
    <row r="350" ht="22.5" customHeight="1">
      <c r="A350" s="127">
        <v>45190.0</v>
      </c>
      <c r="B350" s="133" t="s">
        <v>1635</v>
      </c>
      <c r="C350" s="133" t="s">
        <v>1636</v>
      </c>
      <c r="D350" s="133" t="s">
        <v>1116</v>
      </c>
      <c r="E350" s="133">
        <v>2026.0</v>
      </c>
      <c r="F350" s="199" t="s">
        <v>1637</v>
      </c>
      <c r="G350" s="200">
        <v>5.0</v>
      </c>
      <c r="H350" s="201"/>
    </row>
    <row r="351" ht="22.5" customHeight="1">
      <c r="A351" s="127">
        <v>45190.0</v>
      </c>
      <c r="B351" s="133" t="s">
        <v>1638</v>
      </c>
      <c r="C351" s="133" t="s">
        <v>1049</v>
      </c>
      <c r="D351" s="133" t="s">
        <v>965</v>
      </c>
      <c r="E351" s="133">
        <v>2025.0</v>
      </c>
      <c r="F351" s="199" t="s">
        <v>1639</v>
      </c>
      <c r="G351" s="200">
        <v>12.0</v>
      </c>
      <c r="H351" s="201"/>
    </row>
    <row r="352" ht="22.5" customHeight="1">
      <c r="A352" s="127">
        <v>45190.0</v>
      </c>
      <c r="B352" s="133" t="s">
        <v>1640</v>
      </c>
      <c r="C352" s="133" t="s">
        <v>1641</v>
      </c>
      <c r="D352" s="133" t="s">
        <v>965</v>
      </c>
      <c r="E352" s="133">
        <v>2026.0</v>
      </c>
      <c r="F352" s="199" t="s">
        <v>1642</v>
      </c>
      <c r="G352" s="200">
        <v>7.0</v>
      </c>
      <c r="H352" s="201"/>
    </row>
    <row r="353" ht="22.5" customHeight="1">
      <c r="A353" s="127">
        <v>45190.0</v>
      </c>
      <c r="B353" s="133" t="s">
        <v>1073</v>
      </c>
      <c r="C353" s="133" t="s">
        <v>1074</v>
      </c>
      <c r="D353" s="133" t="s">
        <v>957</v>
      </c>
      <c r="E353" s="133">
        <v>2027.0</v>
      </c>
      <c r="F353" s="199" t="s">
        <v>1643</v>
      </c>
      <c r="G353" s="200">
        <v>7.0</v>
      </c>
      <c r="H353" s="201"/>
    </row>
    <row r="354" ht="22.5" customHeight="1">
      <c r="A354" s="127">
        <v>45190.0</v>
      </c>
      <c r="B354" s="133" t="s">
        <v>1644</v>
      </c>
      <c r="C354" s="133" t="s">
        <v>1645</v>
      </c>
      <c r="D354" s="133" t="s">
        <v>1646</v>
      </c>
      <c r="E354" s="133">
        <v>2024.0</v>
      </c>
      <c r="F354" s="199" t="s">
        <v>1647</v>
      </c>
      <c r="G354" s="200">
        <v>11.0</v>
      </c>
      <c r="H354" s="201"/>
    </row>
    <row r="355" ht="22.5" customHeight="1">
      <c r="A355" s="127">
        <v>45190.0</v>
      </c>
      <c r="B355" s="133" t="s">
        <v>1648</v>
      </c>
      <c r="C355" s="133" t="s">
        <v>1649</v>
      </c>
      <c r="D355" s="133" t="s">
        <v>965</v>
      </c>
      <c r="E355" s="133">
        <v>2025.0</v>
      </c>
      <c r="F355" s="199" t="s">
        <v>1650</v>
      </c>
      <c r="G355" s="200">
        <v>2.0</v>
      </c>
      <c r="H355" s="201"/>
    </row>
    <row r="356" ht="22.5" customHeight="1">
      <c r="A356" s="127">
        <v>45196.0</v>
      </c>
      <c r="B356" s="133" t="s">
        <v>1651</v>
      </c>
      <c r="C356" s="133" t="s">
        <v>1652</v>
      </c>
      <c r="D356" s="133" t="s">
        <v>965</v>
      </c>
      <c r="E356" s="133">
        <v>2026.0</v>
      </c>
      <c r="F356" s="199" t="s">
        <v>1653</v>
      </c>
      <c r="G356" s="200">
        <v>1.0</v>
      </c>
      <c r="H356" s="201"/>
    </row>
    <row r="357" ht="22.5" customHeight="1">
      <c r="A357" s="127">
        <v>45196.0</v>
      </c>
      <c r="B357" s="133" t="s">
        <v>817</v>
      </c>
      <c r="C357" s="133" t="s">
        <v>818</v>
      </c>
      <c r="D357" s="133" t="s">
        <v>961</v>
      </c>
      <c r="E357" s="133">
        <v>2027.0</v>
      </c>
      <c r="F357" s="199" t="s">
        <v>1654</v>
      </c>
      <c r="G357" s="200">
        <v>7.0</v>
      </c>
      <c r="H357" s="201"/>
    </row>
    <row r="358" ht="22.5" customHeight="1">
      <c r="A358" s="127">
        <v>45196.0</v>
      </c>
      <c r="B358" s="133" t="s">
        <v>1655</v>
      </c>
      <c r="C358" s="133" t="s">
        <v>1628</v>
      </c>
      <c r="D358" s="133" t="s">
        <v>965</v>
      </c>
      <c r="E358" s="133">
        <v>2024.0</v>
      </c>
      <c r="F358" s="199" t="s">
        <v>1656</v>
      </c>
      <c r="G358" s="200">
        <v>7.0</v>
      </c>
      <c r="H358" s="201"/>
    </row>
    <row r="359" ht="22.5" customHeight="1">
      <c r="A359" s="127">
        <v>45197.0</v>
      </c>
      <c r="B359" s="208" t="s">
        <v>1387</v>
      </c>
      <c r="C359" s="133" t="s">
        <v>1388</v>
      </c>
      <c r="D359" s="133" t="s">
        <v>965</v>
      </c>
      <c r="E359" s="133">
        <v>2026.0</v>
      </c>
      <c r="F359" s="199" t="s">
        <v>1657</v>
      </c>
      <c r="G359" s="200">
        <v>14.0</v>
      </c>
      <c r="H359" s="201"/>
    </row>
    <row r="360" ht="22.5" customHeight="1">
      <c r="A360" s="127">
        <v>45197.0</v>
      </c>
      <c r="B360" s="133" t="s">
        <v>1658</v>
      </c>
      <c r="C360" s="133" t="s">
        <v>1659</v>
      </c>
      <c r="D360" s="133" t="s">
        <v>1031</v>
      </c>
      <c r="E360" s="133">
        <v>2025.0</v>
      </c>
      <c r="F360" s="199" t="s">
        <v>1660</v>
      </c>
      <c r="G360" s="200">
        <v>5.0</v>
      </c>
      <c r="H360" s="201"/>
    </row>
    <row r="361" ht="22.5" customHeight="1">
      <c r="A361" s="127">
        <v>45197.0</v>
      </c>
      <c r="B361" s="133" t="s">
        <v>850</v>
      </c>
      <c r="C361" s="133" t="s">
        <v>851</v>
      </c>
      <c r="D361" s="133" t="s">
        <v>957</v>
      </c>
      <c r="E361" s="133">
        <v>2027.0</v>
      </c>
      <c r="F361" s="199" t="s">
        <v>1661</v>
      </c>
      <c r="G361" s="200">
        <v>6.0</v>
      </c>
      <c r="H361" s="201"/>
    </row>
    <row r="362" ht="22.5" customHeight="1">
      <c r="A362" s="127">
        <v>45197.0</v>
      </c>
      <c r="B362" s="133" t="s">
        <v>1662</v>
      </c>
      <c r="C362" s="209" t="s">
        <v>1663</v>
      </c>
      <c r="D362" s="133" t="s">
        <v>965</v>
      </c>
      <c r="E362" s="133">
        <v>2024.0</v>
      </c>
      <c r="F362" s="199" t="s">
        <v>1664</v>
      </c>
      <c r="G362" s="200">
        <v>11.0</v>
      </c>
      <c r="H362" s="201"/>
    </row>
    <row r="363" ht="22.5" customHeight="1">
      <c r="A363" s="127">
        <v>45197.0</v>
      </c>
      <c r="B363" s="133" t="s">
        <v>1665</v>
      </c>
      <c r="C363" s="133" t="s">
        <v>1666</v>
      </c>
      <c r="D363" s="133" t="s">
        <v>1646</v>
      </c>
      <c r="E363" s="133">
        <v>2024.0</v>
      </c>
      <c r="F363" s="199" t="s">
        <v>1667</v>
      </c>
      <c r="G363" s="200">
        <v>3.0</v>
      </c>
      <c r="H363" s="201"/>
    </row>
    <row r="364" ht="22.5" customHeight="1">
      <c r="A364" s="127">
        <v>45197.0</v>
      </c>
      <c r="B364" s="133" t="s">
        <v>1668</v>
      </c>
      <c r="C364" s="133" t="s">
        <v>1669</v>
      </c>
      <c r="D364" s="133" t="s">
        <v>1646</v>
      </c>
      <c r="E364" s="133">
        <v>2026.0</v>
      </c>
      <c r="F364" s="199" t="s">
        <v>1670</v>
      </c>
      <c r="G364" s="200">
        <v>1.0</v>
      </c>
      <c r="H364" s="201"/>
    </row>
    <row r="365" ht="22.5" customHeight="1">
      <c r="A365" s="127">
        <v>45197.0</v>
      </c>
      <c r="B365" s="133" t="s">
        <v>1671</v>
      </c>
      <c r="C365" s="133" t="s">
        <v>1672</v>
      </c>
      <c r="D365" s="133" t="s">
        <v>961</v>
      </c>
      <c r="E365" s="133">
        <v>2027.0</v>
      </c>
      <c r="F365" s="199" t="s">
        <v>1673</v>
      </c>
      <c r="G365" s="200">
        <v>13.0</v>
      </c>
      <c r="H365" s="201"/>
    </row>
    <row r="366" ht="22.5" customHeight="1">
      <c r="A366" s="127">
        <v>45197.0</v>
      </c>
      <c r="B366" s="133" t="s">
        <v>715</v>
      </c>
      <c r="C366" s="133" t="s">
        <v>716</v>
      </c>
      <c r="D366" s="133" t="s">
        <v>961</v>
      </c>
      <c r="E366" s="133">
        <v>2027.0</v>
      </c>
      <c r="F366" s="199" t="s">
        <v>1674</v>
      </c>
      <c r="G366" s="200">
        <v>6.0</v>
      </c>
      <c r="H366" s="201"/>
    </row>
    <row r="367" ht="22.5" customHeight="1">
      <c r="A367" s="127">
        <v>45197.0</v>
      </c>
      <c r="B367" s="133" t="s">
        <v>1648</v>
      </c>
      <c r="C367" s="133" t="s">
        <v>1649</v>
      </c>
      <c r="D367" s="133" t="s">
        <v>1646</v>
      </c>
      <c r="E367" s="133">
        <v>2025.0</v>
      </c>
      <c r="F367" s="199" t="s">
        <v>1128</v>
      </c>
      <c r="G367" s="200">
        <v>1.0</v>
      </c>
      <c r="H367" s="201"/>
    </row>
    <row r="368" ht="22.5" customHeight="1">
      <c r="A368" s="127">
        <v>45197.0</v>
      </c>
      <c r="B368" s="133" t="s">
        <v>1644</v>
      </c>
      <c r="C368" s="133" t="s">
        <v>1645</v>
      </c>
      <c r="D368" s="133" t="s">
        <v>1646</v>
      </c>
      <c r="E368" s="133">
        <v>2024.0</v>
      </c>
      <c r="F368" s="199" t="s">
        <v>1675</v>
      </c>
      <c r="G368" s="200">
        <v>2.0</v>
      </c>
      <c r="H368" s="201"/>
    </row>
    <row r="369" ht="22.5" customHeight="1">
      <c r="A369" s="127">
        <v>45197.0</v>
      </c>
      <c r="B369" s="133" t="s">
        <v>1676</v>
      </c>
      <c r="C369" s="133" t="s">
        <v>1677</v>
      </c>
      <c r="D369" s="133" t="s">
        <v>961</v>
      </c>
      <c r="E369" s="133">
        <v>2027.0</v>
      </c>
      <c r="F369" s="199" t="s">
        <v>1678</v>
      </c>
      <c r="G369" s="200">
        <v>6.0</v>
      </c>
      <c r="H369" s="201"/>
    </row>
    <row r="370" ht="22.5" customHeight="1">
      <c r="A370" s="127">
        <v>45197.0</v>
      </c>
      <c r="B370" s="133" t="s">
        <v>1679</v>
      </c>
      <c r="C370" s="133" t="s">
        <v>1680</v>
      </c>
      <c r="D370" s="133" t="s">
        <v>961</v>
      </c>
      <c r="E370" s="133">
        <v>2027.0</v>
      </c>
      <c r="F370" s="199" t="s">
        <v>1681</v>
      </c>
      <c r="G370" s="200">
        <v>1.0</v>
      </c>
      <c r="H370" s="201"/>
    </row>
    <row r="371" ht="22.5" customHeight="1">
      <c r="A371" s="127">
        <v>45197.0</v>
      </c>
      <c r="B371" s="133" t="s">
        <v>1682</v>
      </c>
      <c r="C371" s="133" t="s">
        <v>1683</v>
      </c>
      <c r="D371" s="133" t="s">
        <v>965</v>
      </c>
      <c r="E371" s="133">
        <v>2024.0</v>
      </c>
      <c r="F371" s="199" t="s">
        <v>1684</v>
      </c>
      <c r="G371" s="200">
        <v>13.0</v>
      </c>
      <c r="H371" s="201"/>
    </row>
    <row r="372" ht="22.5" customHeight="1">
      <c r="A372" s="127">
        <v>45201.0</v>
      </c>
      <c r="B372" s="133" t="s">
        <v>1685</v>
      </c>
      <c r="C372" s="133" t="s">
        <v>1452</v>
      </c>
      <c r="D372" s="133" t="s">
        <v>1031</v>
      </c>
      <c r="E372" s="133">
        <v>2026.0</v>
      </c>
      <c r="F372" s="199" t="s">
        <v>1686</v>
      </c>
      <c r="G372" s="200">
        <v>18.0</v>
      </c>
      <c r="H372" s="201"/>
    </row>
    <row r="373" ht="22.5" customHeight="1">
      <c r="A373" s="127">
        <v>45201.0</v>
      </c>
      <c r="B373" s="133" t="s">
        <v>1687</v>
      </c>
      <c r="C373" s="133" t="s">
        <v>1688</v>
      </c>
      <c r="D373" s="133" t="s">
        <v>1031</v>
      </c>
      <c r="E373" s="133">
        <v>2026.0</v>
      </c>
      <c r="F373" s="199" t="s">
        <v>1689</v>
      </c>
      <c r="G373" s="200">
        <v>16.0</v>
      </c>
      <c r="H373" s="201"/>
    </row>
    <row r="374" ht="22.5" customHeight="1">
      <c r="A374" s="127">
        <v>45201.0</v>
      </c>
      <c r="B374" s="133" t="s">
        <v>1569</v>
      </c>
      <c r="C374" s="133" t="s">
        <v>1570</v>
      </c>
      <c r="D374" s="133" t="s">
        <v>1571</v>
      </c>
      <c r="E374" s="133">
        <v>2024.0</v>
      </c>
      <c r="F374" s="199" t="s">
        <v>1690</v>
      </c>
      <c r="G374" s="200">
        <v>11.0</v>
      </c>
      <c r="H374" s="201"/>
    </row>
    <row r="375" ht="22.5" customHeight="1">
      <c r="A375" s="127">
        <v>45207.0</v>
      </c>
      <c r="B375" s="133" t="s">
        <v>829</v>
      </c>
      <c r="C375" s="133" t="s">
        <v>830</v>
      </c>
      <c r="D375" s="133" t="s">
        <v>957</v>
      </c>
      <c r="E375" s="133">
        <v>2027.0</v>
      </c>
      <c r="F375" s="199" t="s">
        <v>1691</v>
      </c>
      <c r="G375" s="200">
        <v>16.0</v>
      </c>
      <c r="H375" s="201"/>
    </row>
    <row r="376" ht="22.5" customHeight="1">
      <c r="A376" s="127">
        <v>45207.0</v>
      </c>
      <c r="B376" s="133" t="s">
        <v>1692</v>
      </c>
      <c r="C376" s="133" t="s">
        <v>1693</v>
      </c>
      <c r="D376" s="133" t="s">
        <v>957</v>
      </c>
      <c r="E376" s="133">
        <v>2027.0</v>
      </c>
      <c r="F376" s="199" t="s">
        <v>1694</v>
      </c>
      <c r="G376" s="200">
        <v>14.0</v>
      </c>
      <c r="H376" s="201"/>
    </row>
    <row r="377" ht="22.5" customHeight="1">
      <c r="A377" s="127">
        <v>45207.0</v>
      </c>
      <c r="B377" s="133" t="s">
        <v>1695</v>
      </c>
      <c r="C377" s="133" t="s">
        <v>1696</v>
      </c>
      <c r="D377" s="133" t="s">
        <v>957</v>
      </c>
      <c r="E377" s="133">
        <v>2027.0</v>
      </c>
      <c r="F377" s="199" t="s">
        <v>1697</v>
      </c>
      <c r="G377" s="200">
        <v>3.0</v>
      </c>
      <c r="H377" s="201"/>
    </row>
    <row r="378" ht="22.5" customHeight="1">
      <c r="A378" s="127">
        <v>45207.0</v>
      </c>
      <c r="B378" s="133" t="s">
        <v>1698</v>
      </c>
      <c r="C378" s="133" t="s">
        <v>1699</v>
      </c>
      <c r="D378" s="133" t="s">
        <v>957</v>
      </c>
      <c r="E378" s="133">
        <v>2027.0</v>
      </c>
      <c r="F378" s="199" t="s">
        <v>1700</v>
      </c>
      <c r="G378" s="200">
        <v>12.0</v>
      </c>
      <c r="H378" s="201"/>
    </row>
    <row r="379" ht="22.5" customHeight="1">
      <c r="A379" s="127">
        <v>45208.0</v>
      </c>
      <c r="B379" s="133" t="s">
        <v>1160</v>
      </c>
      <c r="C379" s="133" t="s">
        <v>1630</v>
      </c>
      <c r="D379" s="133" t="s">
        <v>1162</v>
      </c>
      <c r="E379" s="133">
        <v>2024.0</v>
      </c>
      <c r="F379" s="199" t="s">
        <v>1701</v>
      </c>
      <c r="G379" s="200">
        <v>13.0</v>
      </c>
      <c r="H379" s="201"/>
    </row>
    <row r="380" ht="22.5" customHeight="1">
      <c r="A380" s="127">
        <v>45208.0</v>
      </c>
      <c r="B380" s="133" t="s">
        <v>1698</v>
      </c>
      <c r="C380" s="133" t="s">
        <v>1699</v>
      </c>
      <c r="D380" s="133" t="s">
        <v>957</v>
      </c>
      <c r="E380" s="133">
        <v>2027.0</v>
      </c>
      <c r="F380" s="199" t="s">
        <v>1702</v>
      </c>
      <c r="G380" s="200">
        <v>24.0</v>
      </c>
      <c r="H380" s="201"/>
    </row>
    <row r="381" ht="22.5" customHeight="1">
      <c r="A381" s="127">
        <v>45208.0</v>
      </c>
      <c r="B381" s="133" t="s">
        <v>527</v>
      </c>
      <c r="C381" s="133" t="s">
        <v>528</v>
      </c>
      <c r="D381" s="133" t="s">
        <v>961</v>
      </c>
      <c r="E381" s="133">
        <v>2027.0</v>
      </c>
      <c r="F381" s="199" t="s">
        <v>1703</v>
      </c>
      <c r="G381" s="200">
        <v>4.0</v>
      </c>
      <c r="H381" s="201"/>
    </row>
    <row r="382" ht="22.5" customHeight="1">
      <c r="A382" s="127">
        <v>45208.0</v>
      </c>
      <c r="B382" s="133" t="s">
        <v>1704</v>
      </c>
      <c r="C382" s="133" t="s">
        <v>1705</v>
      </c>
      <c r="D382" s="133" t="s">
        <v>1091</v>
      </c>
      <c r="E382" s="133">
        <v>2026.0</v>
      </c>
      <c r="F382" s="199" t="s">
        <v>1706</v>
      </c>
      <c r="G382" s="200">
        <v>13.0</v>
      </c>
      <c r="H382" s="201"/>
    </row>
    <row r="383" ht="22.5" customHeight="1">
      <c r="A383" s="127">
        <v>45208.0</v>
      </c>
      <c r="B383" s="133" t="s">
        <v>1707</v>
      </c>
      <c r="C383" s="133" t="s">
        <v>1708</v>
      </c>
      <c r="D383" s="133" t="s">
        <v>970</v>
      </c>
      <c r="E383" s="133">
        <v>2026.0</v>
      </c>
      <c r="F383" s="199" t="s">
        <v>1709</v>
      </c>
      <c r="G383" s="200">
        <v>14.0</v>
      </c>
      <c r="H383" s="201"/>
    </row>
    <row r="384" ht="22.5" customHeight="1">
      <c r="A384" s="127">
        <v>45208.0</v>
      </c>
      <c r="B384" s="133" t="s">
        <v>1710</v>
      </c>
      <c r="C384" s="133" t="s">
        <v>1711</v>
      </c>
      <c r="D384" s="133" t="s">
        <v>961</v>
      </c>
      <c r="E384" s="133">
        <v>2027.0</v>
      </c>
      <c r="F384" s="199" t="s">
        <v>1712</v>
      </c>
      <c r="G384" s="200">
        <v>9.0</v>
      </c>
      <c r="H384" s="201"/>
    </row>
    <row r="385" ht="22.5" customHeight="1">
      <c r="A385" s="127">
        <v>45208.0</v>
      </c>
      <c r="B385" s="133" t="s">
        <v>1685</v>
      </c>
      <c r="C385" s="133" t="s">
        <v>1452</v>
      </c>
      <c r="D385" s="133" t="s">
        <v>1031</v>
      </c>
      <c r="E385" s="133">
        <v>2026.0</v>
      </c>
      <c r="F385" s="199" t="s">
        <v>1713</v>
      </c>
      <c r="G385" s="200">
        <v>36.0</v>
      </c>
      <c r="H385" s="201"/>
    </row>
    <row r="386" ht="22.5" customHeight="1">
      <c r="A386" s="127">
        <v>45208.0</v>
      </c>
      <c r="B386" s="133" t="s">
        <v>1714</v>
      </c>
      <c r="C386" s="133" t="s">
        <v>1715</v>
      </c>
      <c r="D386" s="133" t="s">
        <v>1031</v>
      </c>
      <c r="E386" s="133">
        <v>2026.0</v>
      </c>
      <c r="F386" s="199" t="s">
        <v>1716</v>
      </c>
      <c r="G386" s="200">
        <v>13.0</v>
      </c>
      <c r="H386" s="201"/>
    </row>
    <row r="387" ht="22.5" customHeight="1">
      <c r="A387" s="127">
        <v>45208.0</v>
      </c>
      <c r="B387" s="133" t="s">
        <v>1717</v>
      </c>
      <c r="C387" s="133" t="s">
        <v>1718</v>
      </c>
      <c r="D387" s="133" t="s">
        <v>957</v>
      </c>
      <c r="E387" s="133">
        <v>2027.0</v>
      </c>
      <c r="F387" s="199" t="s">
        <v>1719</v>
      </c>
      <c r="G387" s="200">
        <v>2.0</v>
      </c>
      <c r="H387" s="201"/>
    </row>
    <row r="388" ht="22.5" customHeight="1">
      <c r="A388" s="127">
        <v>45208.0</v>
      </c>
      <c r="B388" s="133" t="s">
        <v>1720</v>
      </c>
      <c r="C388" s="133" t="s">
        <v>564</v>
      </c>
      <c r="D388" s="133" t="s">
        <v>961</v>
      </c>
      <c r="E388" s="133">
        <v>2027.0</v>
      </c>
      <c r="F388" s="199" t="s">
        <v>1721</v>
      </c>
      <c r="G388" s="200">
        <v>3.0</v>
      </c>
      <c r="H388" s="201"/>
    </row>
    <row r="389" ht="22.5" customHeight="1">
      <c r="A389" s="127">
        <v>45210.0</v>
      </c>
      <c r="B389" s="133" t="s">
        <v>1707</v>
      </c>
      <c r="C389" s="133" t="s">
        <v>1708</v>
      </c>
      <c r="D389" s="133" t="s">
        <v>970</v>
      </c>
      <c r="E389" s="133">
        <v>2026.0</v>
      </c>
      <c r="F389" s="199" t="s">
        <v>1722</v>
      </c>
      <c r="G389" s="200">
        <v>3.0</v>
      </c>
      <c r="H389" s="201"/>
    </row>
    <row r="390" ht="22.5" customHeight="1">
      <c r="A390" s="127">
        <v>45210.0</v>
      </c>
      <c r="B390" s="133" t="s">
        <v>1723</v>
      </c>
      <c r="C390" s="133" t="s">
        <v>1724</v>
      </c>
      <c r="D390" s="133" t="s">
        <v>1082</v>
      </c>
      <c r="E390" s="133">
        <v>2025.0</v>
      </c>
      <c r="F390" s="199" t="s">
        <v>1725</v>
      </c>
      <c r="G390" s="200"/>
      <c r="H390" s="201"/>
    </row>
    <row r="391" ht="22.5" customHeight="1">
      <c r="A391" s="127">
        <v>45210.0</v>
      </c>
      <c r="B391" s="133" t="s">
        <v>613</v>
      </c>
      <c r="C391" s="133" t="s">
        <v>614</v>
      </c>
      <c r="D391" s="133" t="s">
        <v>961</v>
      </c>
      <c r="E391" s="133">
        <v>2027.0</v>
      </c>
      <c r="F391" s="199" t="s">
        <v>1726</v>
      </c>
      <c r="G391" s="200">
        <v>3.0</v>
      </c>
      <c r="H391" s="201"/>
    </row>
    <row r="392" ht="22.5" customHeight="1">
      <c r="A392" s="127">
        <v>45210.0</v>
      </c>
      <c r="B392" s="133" t="s">
        <v>1727</v>
      </c>
      <c r="C392" s="133" t="s">
        <v>1728</v>
      </c>
      <c r="D392" s="133" t="s">
        <v>1600</v>
      </c>
      <c r="E392" s="133">
        <v>2025.0</v>
      </c>
      <c r="F392" s="199" t="s">
        <v>1729</v>
      </c>
      <c r="G392" s="200">
        <v>4.0</v>
      </c>
      <c r="H392" s="201"/>
    </row>
    <row r="393" ht="22.5" customHeight="1">
      <c r="A393" s="127">
        <v>45215.0</v>
      </c>
      <c r="B393" s="133" t="s">
        <v>1714</v>
      </c>
      <c r="C393" s="133" t="s">
        <v>1715</v>
      </c>
      <c r="D393" s="133" t="s">
        <v>1031</v>
      </c>
      <c r="E393" s="133">
        <v>2026.0</v>
      </c>
      <c r="F393" s="199" t="s">
        <v>1730</v>
      </c>
      <c r="G393" s="200">
        <v>22.0</v>
      </c>
      <c r="H393" s="201"/>
    </row>
    <row r="394" ht="22.5" customHeight="1">
      <c r="A394" s="127">
        <v>45222.0</v>
      </c>
      <c r="B394" s="133" t="s">
        <v>1731</v>
      </c>
      <c r="C394" s="133" t="s">
        <v>1732</v>
      </c>
      <c r="D394" s="133" t="s">
        <v>1091</v>
      </c>
      <c r="E394" s="133">
        <v>2026.0</v>
      </c>
      <c r="F394" s="199" t="s">
        <v>1733</v>
      </c>
      <c r="G394" s="200">
        <v>4.0</v>
      </c>
      <c r="H394" s="201"/>
    </row>
    <row r="395" ht="22.5" customHeight="1">
      <c r="A395" s="127">
        <v>45222.0</v>
      </c>
      <c r="B395" s="133" t="s">
        <v>1734</v>
      </c>
      <c r="C395" s="133" t="s">
        <v>1735</v>
      </c>
      <c r="D395" s="133" t="s">
        <v>1091</v>
      </c>
      <c r="E395" s="133">
        <v>2026.0</v>
      </c>
      <c r="F395" s="199" t="s">
        <v>1736</v>
      </c>
      <c r="G395" s="200">
        <v>8.0</v>
      </c>
      <c r="H395" s="201"/>
    </row>
    <row r="396" ht="22.5" customHeight="1">
      <c r="A396" s="127">
        <v>45222.0</v>
      </c>
      <c r="B396" s="133" t="s">
        <v>1467</v>
      </c>
      <c r="C396" s="133" t="s">
        <v>1468</v>
      </c>
      <c r="D396" s="133" t="s">
        <v>965</v>
      </c>
      <c r="E396" s="133">
        <v>2025.0</v>
      </c>
      <c r="F396" s="199" t="s">
        <v>1737</v>
      </c>
      <c r="G396" s="200">
        <v>9.0</v>
      </c>
      <c r="H396" s="201"/>
    </row>
    <row r="397" ht="22.5" customHeight="1">
      <c r="A397" s="127">
        <v>45224.0</v>
      </c>
      <c r="B397" s="133" t="s">
        <v>1738</v>
      </c>
      <c r="C397" s="133" t="s">
        <v>1630</v>
      </c>
      <c r="D397" s="133" t="s">
        <v>1162</v>
      </c>
      <c r="E397" s="133">
        <v>2024.0</v>
      </c>
      <c r="F397" s="199" t="s">
        <v>1739</v>
      </c>
      <c r="G397" s="200">
        <v>13.0</v>
      </c>
      <c r="H397" s="201"/>
    </row>
    <row r="398" ht="22.5" customHeight="1">
      <c r="A398" s="127">
        <v>45225.0</v>
      </c>
      <c r="B398" s="133" t="s">
        <v>1740</v>
      </c>
      <c r="C398" s="133" t="s">
        <v>1741</v>
      </c>
      <c r="D398" s="133" t="s">
        <v>961</v>
      </c>
      <c r="E398" s="133">
        <v>2027.0</v>
      </c>
      <c r="F398" s="204" t="s">
        <v>1742</v>
      </c>
      <c r="G398" s="200">
        <v>1.0</v>
      </c>
      <c r="H398" s="201"/>
    </row>
    <row r="399" ht="22.5" customHeight="1">
      <c r="A399" s="127">
        <v>45225.0</v>
      </c>
      <c r="B399" s="133" t="s">
        <v>1743</v>
      </c>
      <c r="C399" s="133" t="s">
        <v>1744</v>
      </c>
      <c r="D399" s="133" t="s">
        <v>961</v>
      </c>
      <c r="E399" s="133">
        <v>2027.0</v>
      </c>
      <c r="F399" s="199" t="s">
        <v>1742</v>
      </c>
      <c r="G399" s="200">
        <v>1.0</v>
      </c>
      <c r="H399" s="201"/>
    </row>
    <row r="400" ht="22.5" customHeight="1">
      <c r="A400" s="127">
        <v>45225.0</v>
      </c>
      <c r="B400" s="133" t="s">
        <v>715</v>
      </c>
      <c r="C400" s="133" t="s">
        <v>716</v>
      </c>
      <c r="D400" s="133" t="s">
        <v>961</v>
      </c>
      <c r="E400" s="133">
        <v>2027.0</v>
      </c>
      <c r="F400" s="199" t="s">
        <v>1742</v>
      </c>
      <c r="G400" s="200">
        <v>1.0</v>
      </c>
      <c r="H400" s="201"/>
    </row>
    <row r="401" ht="22.5" customHeight="1">
      <c r="A401" s="127">
        <v>45225.0</v>
      </c>
      <c r="B401" s="133" t="s">
        <v>527</v>
      </c>
      <c r="C401" s="133" t="s">
        <v>528</v>
      </c>
      <c r="D401" s="133" t="s">
        <v>961</v>
      </c>
      <c r="E401" s="133">
        <v>2027.0</v>
      </c>
      <c r="F401" s="199" t="s">
        <v>1745</v>
      </c>
      <c r="G401" s="200">
        <v>8.0</v>
      </c>
      <c r="H401" s="201"/>
    </row>
    <row r="402" ht="22.5" customHeight="1">
      <c r="A402" s="210">
        <v>45225.0</v>
      </c>
      <c r="B402" s="133" t="s">
        <v>1746</v>
      </c>
      <c r="C402" s="133" t="s">
        <v>1747</v>
      </c>
      <c r="D402" s="133" t="s">
        <v>957</v>
      </c>
      <c r="E402" s="133">
        <v>2027.0</v>
      </c>
      <c r="F402" s="199" t="s">
        <v>1748</v>
      </c>
      <c r="G402" s="200">
        <v>1.0</v>
      </c>
      <c r="H402" s="201"/>
    </row>
    <row r="403" ht="22.5" customHeight="1">
      <c r="A403" s="210">
        <v>45225.0</v>
      </c>
      <c r="B403" s="133" t="s">
        <v>1749</v>
      </c>
      <c r="C403" s="133" t="s">
        <v>1750</v>
      </c>
      <c r="D403" s="133" t="s">
        <v>970</v>
      </c>
      <c r="E403" s="133">
        <v>2027.0</v>
      </c>
      <c r="F403" s="199" t="s">
        <v>1751</v>
      </c>
      <c r="G403" s="200">
        <v>1.0</v>
      </c>
      <c r="H403" s="201"/>
    </row>
    <row r="404" ht="22.5" customHeight="1">
      <c r="A404" s="127">
        <v>45228.0</v>
      </c>
      <c r="B404" s="133" t="s">
        <v>1752</v>
      </c>
      <c r="C404" s="133" t="s">
        <v>1609</v>
      </c>
      <c r="D404" s="133" t="s">
        <v>965</v>
      </c>
      <c r="E404" s="133">
        <v>2026.0</v>
      </c>
      <c r="F404" s="199" t="s">
        <v>1753</v>
      </c>
      <c r="G404" s="200">
        <v>21.0</v>
      </c>
      <c r="H404" s="201"/>
    </row>
    <row r="405" ht="22.5" customHeight="1">
      <c r="A405" s="127">
        <v>45228.0</v>
      </c>
      <c r="B405" s="133" t="s">
        <v>1461</v>
      </c>
      <c r="C405" s="133" t="s">
        <v>1462</v>
      </c>
      <c r="D405" s="133" t="s">
        <v>965</v>
      </c>
      <c r="E405" s="133">
        <v>2026.0</v>
      </c>
      <c r="F405" s="199" t="s">
        <v>1754</v>
      </c>
      <c r="G405" s="200">
        <v>3.0</v>
      </c>
      <c r="H405" s="201"/>
    </row>
    <row r="406" ht="22.5" customHeight="1">
      <c r="A406" s="127">
        <v>45228.0</v>
      </c>
      <c r="B406" s="133" t="s">
        <v>900</v>
      </c>
      <c r="C406" s="133" t="s">
        <v>901</v>
      </c>
      <c r="D406" s="133" t="s">
        <v>957</v>
      </c>
      <c r="E406" s="133">
        <v>2027.0</v>
      </c>
      <c r="F406" s="199" t="s">
        <v>1755</v>
      </c>
      <c r="G406" s="200">
        <v>10.0</v>
      </c>
      <c r="H406" s="201"/>
    </row>
    <row r="407" ht="22.5" customHeight="1">
      <c r="A407" s="127">
        <v>45228.0</v>
      </c>
      <c r="B407" s="133" t="s">
        <v>1692</v>
      </c>
      <c r="C407" s="133" t="s">
        <v>1693</v>
      </c>
      <c r="D407" s="133" t="s">
        <v>957</v>
      </c>
      <c r="E407" s="133">
        <v>2027.0</v>
      </c>
      <c r="F407" s="199" t="s">
        <v>1756</v>
      </c>
      <c r="G407" s="200">
        <v>7.0</v>
      </c>
      <c r="H407" s="201"/>
    </row>
    <row r="408" ht="22.5" customHeight="1">
      <c r="A408" s="127">
        <v>45228.0</v>
      </c>
      <c r="B408" s="133" t="s">
        <v>829</v>
      </c>
      <c r="C408" s="133" t="s">
        <v>830</v>
      </c>
      <c r="D408" s="133" t="s">
        <v>957</v>
      </c>
      <c r="E408" s="133">
        <v>2027.0</v>
      </c>
      <c r="F408" s="199" t="s">
        <v>1757</v>
      </c>
      <c r="G408" s="200">
        <v>2.0</v>
      </c>
      <c r="H408" s="201"/>
    </row>
    <row r="409" ht="22.5" customHeight="1">
      <c r="A409" s="127">
        <v>45228.0</v>
      </c>
      <c r="B409" s="133" t="s">
        <v>1695</v>
      </c>
      <c r="C409" s="133" t="s">
        <v>1696</v>
      </c>
      <c r="D409" s="133" t="s">
        <v>957</v>
      </c>
      <c r="E409" s="133">
        <v>2027.0</v>
      </c>
      <c r="F409" s="199" t="s">
        <v>1758</v>
      </c>
      <c r="G409" s="200">
        <v>1.0</v>
      </c>
      <c r="H409" s="201"/>
    </row>
    <row r="410" ht="22.5" customHeight="1">
      <c r="A410" s="127">
        <v>45229.0</v>
      </c>
      <c r="B410" s="133" t="s">
        <v>1759</v>
      </c>
      <c r="C410" s="133" t="s">
        <v>1156</v>
      </c>
      <c r="D410" s="133" t="s">
        <v>961</v>
      </c>
      <c r="E410" s="133">
        <v>2027.0</v>
      </c>
      <c r="F410" s="199" t="s">
        <v>1760</v>
      </c>
      <c r="G410" s="200">
        <v>25.0</v>
      </c>
      <c r="H410" s="201"/>
    </row>
    <row r="411" ht="22.5" customHeight="1">
      <c r="A411" s="127">
        <v>45229.0</v>
      </c>
      <c r="B411" s="133" t="s">
        <v>1676</v>
      </c>
      <c r="C411" s="133" t="s">
        <v>1761</v>
      </c>
      <c r="D411" s="133" t="s">
        <v>961</v>
      </c>
      <c r="E411" s="133">
        <v>2027.0</v>
      </c>
      <c r="F411" s="199" t="s">
        <v>1762</v>
      </c>
      <c r="G411" s="200">
        <v>3.0</v>
      </c>
      <c r="H411" s="201"/>
    </row>
    <row r="412" ht="22.5" customHeight="1">
      <c r="A412" s="127">
        <v>45229.0</v>
      </c>
      <c r="B412" s="133" t="s">
        <v>1763</v>
      </c>
      <c r="C412" s="133" t="s">
        <v>1764</v>
      </c>
      <c r="D412" s="133" t="s">
        <v>1031</v>
      </c>
      <c r="E412" s="133">
        <v>2026.0</v>
      </c>
      <c r="F412" s="199" t="s">
        <v>1765</v>
      </c>
      <c r="G412" s="200">
        <v>17.0</v>
      </c>
      <c r="H412" s="201"/>
    </row>
    <row r="413" ht="22.5" customHeight="1">
      <c r="A413" s="127">
        <v>45229.0</v>
      </c>
      <c r="B413" s="133" t="s">
        <v>1685</v>
      </c>
      <c r="C413" s="133" t="s">
        <v>1452</v>
      </c>
      <c r="D413" s="133" t="s">
        <v>1031</v>
      </c>
      <c r="E413" s="133">
        <v>2026.0</v>
      </c>
      <c r="F413" s="199" t="s">
        <v>1766</v>
      </c>
      <c r="G413" s="200">
        <v>1.0</v>
      </c>
      <c r="H413" s="201"/>
    </row>
    <row r="414" ht="22.5" customHeight="1">
      <c r="A414" s="127">
        <v>45232.0</v>
      </c>
      <c r="B414" s="133" t="s">
        <v>658</v>
      </c>
      <c r="C414" s="129" t="s">
        <v>659</v>
      </c>
      <c r="D414" s="133" t="s">
        <v>961</v>
      </c>
      <c r="E414" s="133">
        <v>2027.0</v>
      </c>
      <c r="F414" s="199" t="s">
        <v>1767</v>
      </c>
      <c r="G414" s="200">
        <v>3.0</v>
      </c>
      <c r="H414" s="201"/>
    </row>
    <row r="415" ht="22.5" customHeight="1">
      <c r="A415" s="127">
        <v>45236.0</v>
      </c>
      <c r="B415" s="126" t="s">
        <v>1687</v>
      </c>
      <c r="C415" s="133" t="s">
        <v>1688</v>
      </c>
      <c r="D415" s="133" t="s">
        <v>1031</v>
      </c>
      <c r="E415" s="133">
        <v>2026.0</v>
      </c>
      <c r="F415" s="199" t="s">
        <v>1768</v>
      </c>
      <c r="G415" s="200">
        <v>1.0</v>
      </c>
      <c r="H415" s="201"/>
    </row>
    <row r="416" ht="22.5" customHeight="1">
      <c r="A416" s="127">
        <v>45236.0</v>
      </c>
      <c r="B416" s="133" t="s">
        <v>1685</v>
      </c>
      <c r="C416" s="133" t="s">
        <v>1452</v>
      </c>
      <c r="D416" s="133" t="s">
        <v>1031</v>
      </c>
      <c r="E416" s="133">
        <v>2026.0</v>
      </c>
      <c r="F416" s="199" t="s">
        <v>1769</v>
      </c>
      <c r="G416" s="200">
        <v>3.0</v>
      </c>
      <c r="H416" s="201"/>
    </row>
    <row r="417" ht="22.5" customHeight="1">
      <c r="A417" s="211">
        <v>45236.0</v>
      </c>
      <c r="B417" s="133" t="s">
        <v>1073</v>
      </c>
      <c r="C417" s="133" t="s">
        <v>1074</v>
      </c>
      <c r="D417" s="133" t="s">
        <v>957</v>
      </c>
      <c r="E417" s="133">
        <v>2027.0</v>
      </c>
      <c r="F417" s="199" t="s">
        <v>1770</v>
      </c>
      <c r="G417" s="200">
        <v>10.0</v>
      </c>
      <c r="H417" s="201"/>
    </row>
    <row r="418" ht="22.5" customHeight="1">
      <c r="A418" s="127">
        <v>45238.0</v>
      </c>
      <c r="B418" s="133" t="s">
        <v>1771</v>
      </c>
      <c r="C418" s="133" t="s">
        <v>1772</v>
      </c>
      <c r="D418" s="133" t="s">
        <v>965</v>
      </c>
      <c r="E418" s="133">
        <v>2024.0</v>
      </c>
      <c r="F418" s="199" t="s">
        <v>1773</v>
      </c>
      <c r="G418" s="200">
        <v>7.0</v>
      </c>
      <c r="H418" s="201"/>
    </row>
    <row r="419" ht="22.5" customHeight="1">
      <c r="A419" s="127">
        <v>45239.0</v>
      </c>
      <c r="B419" s="133" t="s">
        <v>1510</v>
      </c>
      <c r="C419" s="133" t="s">
        <v>1511</v>
      </c>
      <c r="D419" s="133" t="s">
        <v>1459</v>
      </c>
      <c r="E419" s="133">
        <v>2026.0</v>
      </c>
      <c r="F419" s="199" t="s">
        <v>1774</v>
      </c>
      <c r="G419" s="200">
        <v>2.0</v>
      </c>
      <c r="H419" s="201"/>
    </row>
    <row r="420" ht="22.5" customHeight="1">
      <c r="A420" s="210">
        <v>45239.0</v>
      </c>
      <c r="B420" s="133" t="s">
        <v>1775</v>
      </c>
      <c r="C420" s="133" t="s">
        <v>1776</v>
      </c>
      <c r="D420" s="133" t="s">
        <v>965</v>
      </c>
      <c r="E420" s="133">
        <v>2024.0</v>
      </c>
      <c r="F420" s="199" t="s">
        <v>1777</v>
      </c>
      <c r="G420" s="200">
        <v>20.0</v>
      </c>
      <c r="H420" s="201"/>
    </row>
    <row r="421" ht="22.5" customHeight="1">
      <c r="A421" s="210">
        <v>45239.0</v>
      </c>
      <c r="B421" s="133" t="s">
        <v>1778</v>
      </c>
      <c r="C421" s="133" t="s">
        <v>1779</v>
      </c>
      <c r="D421" s="133" t="s">
        <v>1646</v>
      </c>
      <c r="E421" s="133">
        <v>2026.0</v>
      </c>
      <c r="F421" s="199" t="s">
        <v>1780</v>
      </c>
      <c r="G421" s="200">
        <v>1.0</v>
      </c>
      <c r="H421" s="201"/>
    </row>
    <row r="422" ht="22.5" customHeight="1">
      <c r="A422" s="210">
        <v>45239.0</v>
      </c>
      <c r="B422" s="133" t="s">
        <v>1665</v>
      </c>
      <c r="C422" s="133" t="s">
        <v>1666</v>
      </c>
      <c r="D422" s="133" t="s">
        <v>1646</v>
      </c>
      <c r="E422" s="133">
        <v>2024.0</v>
      </c>
      <c r="F422" s="199" t="s">
        <v>1781</v>
      </c>
      <c r="G422" s="200">
        <v>1.0</v>
      </c>
      <c r="H422" s="201"/>
    </row>
    <row r="423" ht="22.5" customHeight="1">
      <c r="A423" s="127">
        <v>45242.0</v>
      </c>
      <c r="B423" s="133" t="s">
        <v>527</v>
      </c>
      <c r="C423" s="133" t="s">
        <v>528</v>
      </c>
      <c r="D423" s="133" t="s">
        <v>961</v>
      </c>
      <c r="E423" s="133">
        <v>2027.0</v>
      </c>
      <c r="F423" s="199" t="s">
        <v>1782</v>
      </c>
      <c r="G423" s="200">
        <v>13.0</v>
      </c>
      <c r="H423" s="201"/>
    </row>
    <row r="424" ht="22.5" customHeight="1">
      <c r="A424" s="212">
        <v>45242.0</v>
      </c>
      <c r="B424" s="133" t="s">
        <v>1783</v>
      </c>
      <c r="C424" s="133" t="s">
        <v>1718</v>
      </c>
      <c r="D424" s="133" t="s">
        <v>957</v>
      </c>
      <c r="E424" s="133">
        <v>2027.0</v>
      </c>
      <c r="F424" s="199" t="s">
        <v>485</v>
      </c>
      <c r="G424" s="200">
        <v>1.0</v>
      </c>
      <c r="H424" s="201"/>
    </row>
    <row r="425" ht="22.5" customHeight="1">
      <c r="A425" s="212">
        <v>45243.0</v>
      </c>
      <c r="B425" s="133" t="s">
        <v>1784</v>
      </c>
      <c r="C425" s="133" t="s">
        <v>1785</v>
      </c>
      <c r="D425" s="133" t="s">
        <v>1031</v>
      </c>
      <c r="E425" s="133">
        <v>2026.0</v>
      </c>
      <c r="F425" s="199" t="s">
        <v>1786</v>
      </c>
      <c r="G425" s="200">
        <v>39.0</v>
      </c>
      <c r="H425" s="201"/>
    </row>
    <row r="426" ht="22.5" customHeight="1">
      <c r="A426" s="127">
        <v>45243.0</v>
      </c>
      <c r="B426" s="133" t="s">
        <v>1685</v>
      </c>
      <c r="C426" s="133" t="s">
        <v>1452</v>
      </c>
      <c r="D426" s="133" t="s">
        <v>1031</v>
      </c>
      <c r="E426" s="133">
        <v>2026.0</v>
      </c>
      <c r="F426" s="199" t="s">
        <v>1787</v>
      </c>
      <c r="G426" s="200">
        <v>1.0</v>
      </c>
      <c r="H426" s="201"/>
    </row>
    <row r="427" ht="22.5" customHeight="1">
      <c r="A427" s="127">
        <v>45243.0</v>
      </c>
      <c r="B427" s="133" t="s">
        <v>1687</v>
      </c>
      <c r="C427" s="133" t="s">
        <v>1688</v>
      </c>
      <c r="D427" s="133" t="s">
        <v>1031</v>
      </c>
      <c r="E427" s="133">
        <v>2026.0</v>
      </c>
      <c r="F427" s="199" t="s">
        <v>1788</v>
      </c>
      <c r="G427" s="200">
        <v>16.0</v>
      </c>
      <c r="H427" s="201"/>
    </row>
    <row r="428" ht="22.5" customHeight="1">
      <c r="A428" s="127">
        <v>45243.0</v>
      </c>
      <c r="B428" s="133" t="s">
        <v>1714</v>
      </c>
      <c r="C428" s="133" t="s">
        <v>1715</v>
      </c>
      <c r="D428" s="133" t="s">
        <v>1031</v>
      </c>
      <c r="E428" s="133">
        <v>2026.0</v>
      </c>
      <c r="F428" s="199" t="s">
        <v>1789</v>
      </c>
      <c r="G428" s="200">
        <v>11.0</v>
      </c>
      <c r="H428" s="201"/>
    </row>
    <row r="429" ht="22.5" customHeight="1">
      <c r="A429" s="127">
        <v>45243.0</v>
      </c>
      <c r="B429" s="133" t="s">
        <v>1763</v>
      </c>
      <c r="C429" s="133" t="s">
        <v>1764</v>
      </c>
      <c r="D429" s="133" t="s">
        <v>1031</v>
      </c>
      <c r="E429" s="133">
        <v>2026.0</v>
      </c>
      <c r="F429" s="199" t="s">
        <v>1790</v>
      </c>
      <c r="G429" s="200">
        <v>10.0</v>
      </c>
      <c r="H429" s="201"/>
    </row>
    <row r="430" ht="22.5" customHeight="1">
      <c r="A430" s="127">
        <v>45245.0</v>
      </c>
      <c r="B430" s="133" t="s">
        <v>1763</v>
      </c>
      <c r="C430" s="133" t="s">
        <v>1764</v>
      </c>
      <c r="D430" s="133" t="s">
        <v>1031</v>
      </c>
      <c r="E430" s="133">
        <v>2026.0</v>
      </c>
      <c r="F430" s="199" t="s">
        <v>1791</v>
      </c>
      <c r="G430" s="200">
        <v>11.0</v>
      </c>
      <c r="H430" s="201"/>
    </row>
    <row r="431" ht="22.5" customHeight="1">
      <c r="A431" s="127">
        <v>45245.0</v>
      </c>
      <c r="B431" s="133" t="s">
        <v>1166</v>
      </c>
      <c r="C431" s="133" t="s">
        <v>757</v>
      </c>
      <c r="D431" s="133" t="s">
        <v>970</v>
      </c>
      <c r="E431" s="133">
        <v>2027.0</v>
      </c>
      <c r="F431" s="199" t="s">
        <v>1792</v>
      </c>
      <c r="G431" s="200">
        <v>12.0</v>
      </c>
      <c r="H431" s="201"/>
    </row>
    <row r="432" ht="22.5" customHeight="1">
      <c r="A432" s="127">
        <v>45245.0</v>
      </c>
      <c r="B432" s="133" t="s">
        <v>1793</v>
      </c>
      <c r="C432" s="133" t="s">
        <v>1502</v>
      </c>
      <c r="D432" s="133" t="s">
        <v>965</v>
      </c>
      <c r="E432" s="133">
        <v>2024.0</v>
      </c>
      <c r="F432" s="199" t="s">
        <v>1794</v>
      </c>
      <c r="G432" s="200">
        <v>1.0</v>
      </c>
      <c r="H432" s="201"/>
    </row>
    <row r="433" ht="22.5" customHeight="1">
      <c r="A433" s="127">
        <v>45249.0</v>
      </c>
      <c r="B433" s="133" t="s">
        <v>1464</v>
      </c>
      <c r="C433" s="133" t="s">
        <v>1465</v>
      </c>
      <c r="D433" s="133" t="s">
        <v>1116</v>
      </c>
      <c r="E433" s="133">
        <v>2024.0</v>
      </c>
      <c r="F433" s="199" t="s">
        <v>1795</v>
      </c>
      <c r="G433" s="200">
        <v>13.0</v>
      </c>
      <c r="H433" s="201"/>
    </row>
    <row r="434" ht="22.5" customHeight="1">
      <c r="A434" s="127">
        <v>45249.0</v>
      </c>
      <c r="B434" s="133" t="s">
        <v>1695</v>
      </c>
      <c r="C434" s="133" t="s">
        <v>1696</v>
      </c>
      <c r="D434" s="133" t="s">
        <v>957</v>
      </c>
      <c r="E434" s="133">
        <v>2027.0</v>
      </c>
      <c r="F434" s="199" t="s">
        <v>1796</v>
      </c>
      <c r="G434" s="200">
        <v>21.0</v>
      </c>
      <c r="H434" s="201"/>
    </row>
    <row r="435" ht="22.5" customHeight="1">
      <c r="A435" s="127">
        <v>45250.0</v>
      </c>
      <c r="B435" s="133" t="s">
        <v>941</v>
      </c>
      <c r="C435" s="133" t="s">
        <v>942</v>
      </c>
      <c r="D435" s="133" t="s">
        <v>961</v>
      </c>
      <c r="E435" s="133">
        <v>2026.0</v>
      </c>
      <c r="F435" s="199" t="s">
        <v>1797</v>
      </c>
      <c r="G435" s="200">
        <v>3.0</v>
      </c>
      <c r="H435" s="201"/>
    </row>
    <row r="436" ht="22.5" customHeight="1">
      <c r="A436" s="127">
        <v>45250.0</v>
      </c>
      <c r="B436" s="133" t="s">
        <v>941</v>
      </c>
      <c r="C436" s="133" t="s">
        <v>942</v>
      </c>
      <c r="D436" s="133" t="s">
        <v>961</v>
      </c>
      <c r="E436" s="133">
        <v>2026.0</v>
      </c>
      <c r="F436" s="199" t="s">
        <v>1787</v>
      </c>
      <c r="G436" s="200">
        <v>1.0</v>
      </c>
      <c r="H436" s="201"/>
    </row>
    <row r="437" ht="22.5" customHeight="1">
      <c r="A437" s="127">
        <v>45250.0</v>
      </c>
      <c r="B437" s="133" t="s">
        <v>1763</v>
      </c>
      <c r="C437" s="133" t="s">
        <v>1764</v>
      </c>
      <c r="D437" s="133" t="s">
        <v>1031</v>
      </c>
      <c r="E437" s="133">
        <v>2026.0</v>
      </c>
      <c r="F437" s="199" t="s">
        <v>1798</v>
      </c>
      <c r="G437" s="200">
        <v>5.0</v>
      </c>
      <c r="H437" s="201"/>
    </row>
    <row r="438" ht="22.5" customHeight="1">
      <c r="A438" s="127">
        <v>45250.0</v>
      </c>
      <c r="B438" s="133" t="s">
        <v>1799</v>
      </c>
      <c r="C438" s="133" t="s">
        <v>851</v>
      </c>
      <c r="D438" s="133" t="s">
        <v>957</v>
      </c>
      <c r="E438" s="133">
        <v>2026.0</v>
      </c>
      <c r="F438" s="199" t="s">
        <v>1800</v>
      </c>
      <c r="G438" s="200">
        <v>3.0</v>
      </c>
      <c r="H438" s="201"/>
    </row>
    <row r="439" ht="22.5" customHeight="1">
      <c r="A439" s="127">
        <v>45250.0</v>
      </c>
      <c r="B439" s="133" t="s">
        <v>1801</v>
      </c>
      <c r="C439" s="133" t="s">
        <v>1802</v>
      </c>
      <c r="D439" s="133" t="s">
        <v>970</v>
      </c>
      <c r="E439" s="133">
        <v>2026.0</v>
      </c>
      <c r="F439" s="199" t="s">
        <v>1803</v>
      </c>
      <c r="G439" s="200">
        <v>5.0</v>
      </c>
      <c r="H439" s="201"/>
    </row>
    <row r="440" ht="22.5" customHeight="1">
      <c r="A440" s="127">
        <v>45250.0</v>
      </c>
      <c r="B440" s="133" t="s">
        <v>1454</v>
      </c>
      <c r="C440" s="133" t="s">
        <v>1455</v>
      </c>
      <c r="D440" s="133" t="s">
        <v>970</v>
      </c>
      <c r="E440" s="133">
        <v>2026.0</v>
      </c>
      <c r="F440" s="199" t="s">
        <v>1804</v>
      </c>
      <c r="G440" s="200">
        <v>8.0</v>
      </c>
      <c r="H440" s="201"/>
    </row>
    <row r="441" ht="22.5" customHeight="1">
      <c r="A441" s="127">
        <v>45250.0</v>
      </c>
      <c r="B441" s="133" t="s">
        <v>1635</v>
      </c>
      <c r="C441" s="133" t="s">
        <v>1636</v>
      </c>
      <c r="D441" s="133" t="s">
        <v>1116</v>
      </c>
      <c r="E441" s="133">
        <v>2026.0</v>
      </c>
      <c r="F441" s="199" t="s">
        <v>1805</v>
      </c>
      <c r="G441" s="200">
        <v>11.0</v>
      </c>
      <c r="H441" s="201"/>
    </row>
    <row r="442" ht="22.5" customHeight="1">
      <c r="A442" s="127">
        <v>45256.0</v>
      </c>
      <c r="B442" s="133" t="s">
        <v>1806</v>
      </c>
      <c r="C442" s="133" t="s">
        <v>1807</v>
      </c>
      <c r="D442" s="133" t="s">
        <v>965</v>
      </c>
      <c r="E442" s="133">
        <v>2025.0</v>
      </c>
      <c r="F442" s="199" t="s">
        <v>1808</v>
      </c>
      <c r="G442" s="200">
        <v>3.0</v>
      </c>
      <c r="H442" s="133"/>
    </row>
    <row r="443" ht="22.5" customHeight="1">
      <c r="A443" s="127">
        <v>45257.0</v>
      </c>
      <c r="B443" s="133" t="s">
        <v>1687</v>
      </c>
      <c r="C443" s="133" t="s">
        <v>1688</v>
      </c>
      <c r="D443" s="133" t="s">
        <v>1031</v>
      </c>
      <c r="E443" s="133">
        <v>2026.0</v>
      </c>
      <c r="F443" s="199" t="s">
        <v>1809</v>
      </c>
      <c r="G443" s="200">
        <v>18.0</v>
      </c>
      <c r="H443" s="133"/>
    </row>
    <row r="444" ht="22.5" customHeight="1">
      <c r="A444" s="127">
        <v>45257.0</v>
      </c>
      <c r="B444" s="133" t="s">
        <v>1784</v>
      </c>
      <c r="C444" s="133" t="s">
        <v>1785</v>
      </c>
      <c r="D444" s="133" t="s">
        <v>1031</v>
      </c>
      <c r="E444" s="133">
        <v>2026.0</v>
      </c>
      <c r="F444" s="199" t="s">
        <v>1810</v>
      </c>
      <c r="G444" s="200">
        <v>7.0</v>
      </c>
      <c r="H444" s="133"/>
    </row>
    <row r="445" ht="22.5" customHeight="1">
      <c r="A445" s="127">
        <v>45257.0</v>
      </c>
      <c r="B445" s="213" t="s">
        <v>1811</v>
      </c>
      <c r="C445" s="133" t="s">
        <v>1812</v>
      </c>
      <c r="D445" s="133" t="s">
        <v>1031</v>
      </c>
      <c r="E445" s="133">
        <v>2024.0</v>
      </c>
      <c r="F445" s="199" t="s">
        <v>33</v>
      </c>
      <c r="G445" s="200">
        <v>1.0</v>
      </c>
      <c r="H445" s="133"/>
    </row>
    <row r="446" ht="22.5" customHeight="1">
      <c r="A446" s="127">
        <v>45257.0</v>
      </c>
      <c r="B446" s="214" t="s">
        <v>1813</v>
      </c>
      <c r="C446" s="133" t="s">
        <v>1814</v>
      </c>
      <c r="D446" s="133" t="s">
        <v>970</v>
      </c>
      <c r="E446" s="133">
        <v>2027.0</v>
      </c>
      <c r="F446" s="199" t="s">
        <v>1815</v>
      </c>
      <c r="G446" s="200">
        <v>11.0</v>
      </c>
      <c r="H446" s="133"/>
    </row>
    <row r="447" ht="22.5" customHeight="1">
      <c r="A447" s="215">
        <v>45257.0</v>
      </c>
      <c r="B447" s="133" t="s">
        <v>1816</v>
      </c>
      <c r="C447" s="133" t="s">
        <v>1817</v>
      </c>
      <c r="D447" s="133" t="s">
        <v>961</v>
      </c>
      <c r="E447" s="133">
        <v>2027.0</v>
      </c>
      <c r="F447" s="199" t="s">
        <v>1745</v>
      </c>
      <c r="G447" s="200">
        <v>8.0</v>
      </c>
      <c r="H447" s="133"/>
    </row>
    <row r="448" ht="22.5" customHeight="1">
      <c r="A448" s="127">
        <v>45257.0</v>
      </c>
      <c r="B448" s="133" t="s">
        <v>1160</v>
      </c>
      <c r="C448" s="133" t="s">
        <v>1161</v>
      </c>
      <c r="D448" s="133" t="s">
        <v>1162</v>
      </c>
      <c r="E448" s="133">
        <v>2024.0</v>
      </c>
      <c r="F448" s="199" t="s">
        <v>1818</v>
      </c>
      <c r="G448" s="200">
        <v>13.0</v>
      </c>
      <c r="H448" s="133"/>
    </row>
    <row r="449" ht="22.5" customHeight="1">
      <c r="A449" s="127">
        <v>45263.0</v>
      </c>
      <c r="B449" s="133" t="s">
        <v>904</v>
      </c>
      <c r="C449" s="133" t="s">
        <v>905</v>
      </c>
      <c r="D449" s="133" t="s">
        <v>957</v>
      </c>
      <c r="E449" s="133">
        <v>2027.0</v>
      </c>
      <c r="F449" s="199" t="s">
        <v>1819</v>
      </c>
      <c r="G449" s="200">
        <v>7.0</v>
      </c>
      <c r="H449" s="133"/>
    </row>
    <row r="450" ht="22.5" customHeight="1">
      <c r="A450" s="127">
        <v>45263.0</v>
      </c>
      <c r="B450" s="133" t="s">
        <v>1820</v>
      </c>
      <c r="C450" s="133" t="s">
        <v>1821</v>
      </c>
      <c r="D450" s="133" t="s">
        <v>961</v>
      </c>
      <c r="E450" s="133">
        <v>2027.0</v>
      </c>
      <c r="F450" s="199" t="s">
        <v>1822</v>
      </c>
      <c r="G450" s="200">
        <v>1.0</v>
      </c>
      <c r="H450" s="133"/>
    </row>
    <row r="451" ht="22.5" customHeight="1">
      <c r="A451" s="127">
        <v>45264.0</v>
      </c>
      <c r="B451" s="133" t="s">
        <v>1622</v>
      </c>
      <c r="C451" s="133" t="s">
        <v>1623</v>
      </c>
      <c r="D451" s="133" t="s">
        <v>965</v>
      </c>
      <c r="E451" s="133">
        <v>2025.0</v>
      </c>
      <c r="F451" s="199" t="s">
        <v>1823</v>
      </c>
      <c r="G451" s="200">
        <v>11.0</v>
      </c>
      <c r="H451" s="133"/>
    </row>
    <row r="452" ht="22.5" customHeight="1">
      <c r="A452" s="127">
        <v>45264.0</v>
      </c>
      <c r="B452" s="133" t="s">
        <v>980</v>
      </c>
      <c r="C452" s="133" t="s">
        <v>1824</v>
      </c>
      <c r="D452" s="133" t="s">
        <v>957</v>
      </c>
      <c r="E452" s="133">
        <v>2027.0</v>
      </c>
      <c r="F452" s="199" t="s">
        <v>1825</v>
      </c>
      <c r="G452" s="200">
        <v>9.0</v>
      </c>
      <c r="H452" s="133"/>
    </row>
    <row r="453" ht="22.5" customHeight="1">
      <c r="A453" s="127">
        <v>45264.0</v>
      </c>
      <c r="B453" s="133" t="s">
        <v>1826</v>
      </c>
      <c r="C453" s="133" t="s">
        <v>1827</v>
      </c>
      <c r="D453" s="133" t="s">
        <v>965</v>
      </c>
      <c r="E453" s="133">
        <v>2025.0</v>
      </c>
      <c r="F453" s="199" t="s">
        <v>1828</v>
      </c>
      <c r="G453" s="200">
        <v>16.0</v>
      </c>
      <c r="H453" s="133"/>
    </row>
    <row r="454" ht="22.5" customHeight="1">
      <c r="A454" s="127">
        <v>45264.0</v>
      </c>
      <c r="B454" s="133" t="s">
        <v>1451</v>
      </c>
      <c r="C454" s="133" t="s">
        <v>1452</v>
      </c>
      <c r="D454" s="133" t="s">
        <v>1031</v>
      </c>
      <c r="E454" s="133">
        <v>2026.0</v>
      </c>
      <c r="F454" s="216" t="s">
        <v>1829</v>
      </c>
      <c r="G454" s="200">
        <v>10.0</v>
      </c>
      <c r="H454" s="133"/>
    </row>
    <row r="455" ht="22.5" customHeight="1">
      <c r="A455" s="127">
        <v>45264.0</v>
      </c>
      <c r="B455" s="133" t="s">
        <v>1687</v>
      </c>
      <c r="C455" s="133" t="s">
        <v>1688</v>
      </c>
      <c r="D455" s="133" t="s">
        <v>1031</v>
      </c>
      <c r="E455" s="133">
        <v>2026.0</v>
      </c>
      <c r="F455" s="199" t="s">
        <v>1830</v>
      </c>
      <c r="G455" s="200">
        <v>17.0</v>
      </c>
      <c r="H455" s="133"/>
    </row>
    <row r="456" ht="22.5" customHeight="1">
      <c r="A456" s="127">
        <v>45264.0</v>
      </c>
      <c r="B456" s="133" t="s">
        <v>1763</v>
      </c>
      <c r="C456" s="133" t="s">
        <v>1764</v>
      </c>
      <c r="D456" s="133" t="s">
        <v>1031</v>
      </c>
      <c r="E456" s="133">
        <v>2026.0</v>
      </c>
      <c r="F456" s="199" t="s">
        <v>1831</v>
      </c>
      <c r="G456" s="200">
        <v>23.0</v>
      </c>
      <c r="H456" s="133"/>
    </row>
    <row r="457" ht="22.5" customHeight="1">
      <c r="A457" s="127">
        <v>45266.0</v>
      </c>
      <c r="B457" s="133" t="s">
        <v>1832</v>
      </c>
      <c r="C457" s="133" t="s">
        <v>1833</v>
      </c>
      <c r="D457" s="133" t="s">
        <v>965</v>
      </c>
      <c r="E457" s="133">
        <v>2025.0</v>
      </c>
      <c r="F457" s="199" t="s">
        <v>1834</v>
      </c>
      <c r="G457" s="200">
        <v>17.0</v>
      </c>
      <c r="H457" s="133"/>
    </row>
    <row r="458" ht="22.5" customHeight="1">
      <c r="A458" s="127">
        <v>45267.0</v>
      </c>
      <c r="B458" s="133" t="s">
        <v>613</v>
      </c>
      <c r="C458" s="133" t="s">
        <v>614</v>
      </c>
      <c r="D458" s="133" t="s">
        <v>961</v>
      </c>
      <c r="E458" s="133">
        <v>2027.0</v>
      </c>
      <c r="F458" s="199" t="s">
        <v>1835</v>
      </c>
      <c r="G458" s="200">
        <v>5.0</v>
      </c>
      <c r="H458" s="133"/>
    </row>
    <row r="459" ht="22.5" customHeight="1">
      <c r="A459" s="210">
        <v>45267.0</v>
      </c>
      <c r="B459" s="133" t="s">
        <v>527</v>
      </c>
      <c r="C459" s="133" t="s">
        <v>528</v>
      </c>
      <c r="D459" s="133" t="s">
        <v>961</v>
      </c>
      <c r="E459" s="133">
        <v>2027.0</v>
      </c>
      <c r="F459" s="199" t="s">
        <v>1836</v>
      </c>
      <c r="G459" s="200">
        <v>4.0</v>
      </c>
      <c r="H459" s="133"/>
    </row>
    <row r="460" ht="22.5" customHeight="1">
      <c r="A460" s="210">
        <v>45267.0</v>
      </c>
      <c r="B460" s="133" t="s">
        <v>928</v>
      </c>
      <c r="C460" s="133" t="s">
        <v>1837</v>
      </c>
      <c r="D460" s="133" t="s">
        <v>957</v>
      </c>
      <c r="E460" s="133">
        <v>2027.0</v>
      </c>
      <c r="F460" s="199" t="s">
        <v>1838</v>
      </c>
      <c r="G460" s="200">
        <v>3.0</v>
      </c>
      <c r="H460" s="133"/>
    </row>
    <row r="461" ht="22.5" customHeight="1">
      <c r="A461" s="210">
        <v>45267.0</v>
      </c>
      <c r="B461" s="133" t="s">
        <v>941</v>
      </c>
      <c r="C461" s="133" t="s">
        <v>942</v>
      </c>
      <c r="D461" s="133" t="s">
        <v>961</v>
      </c>
      <c r="E461" s="133">
        <v>2026.0</v>
      </c>
      <c r="F461" s="199" t="s">
        <v>1839</v>
      </c>
      <c r="G461" s="200">
        <v>3.0</v>
      </c>
      <c r="H461" s="133"/>
    </row>
    <row r="462" ht="22.5" customHeight="1">
      <c r="A462" s="217">
        <v>45277.0</v>
      </c>
      <c r="B462" s="133" t="s">
        <v>1840</v>
      </c>
      <c r="C462" s="133" t="s">
        <v>1841</v>
      </c>
      <c r="D462" s="133" t="s">
        <v>1842</v>
      </c>
      <c r="E462" s="133">
        <v>2026.0</v>
      </c>
      <c r="F462" s="199" t="s">
        <v>1843</v>
      </c>
      <c r="G462" s="200">
        <v>2.0</v>
      </c>
      <c r="H462" s="133"/>
    </row>
    <row r="463" ht="22.5" customHeight="1">
      <c r="A463" s="217">
        <v>45277.0</v>
      </c>
      <c r="B463" s="133" t="s">
        <v>1844</v>
      </c>
      <c r="C463" s="133" t="s">
        <v>1845</v>
      </c>
      <c r="D463" s="133" t="s">
        <v>1842</v>
      </c>
      <c r="E463" s="133">
        <v>2026.0</v>
      </c>
      <c r="F463" s="199" t="s">
        <v>1846</v>
      </c>
      <c r="G463" s="200">
        <v>2.0</v>
      </c>
      <c r="H463" s="133"/>
    </row>
    <row r="464" ht="22.5" customHeight="1">
      <c r="A464" s="217">
        <v>45277.0</v>
      </c>
      <c r="B464" s="133" t="s">
        <v>829</v>
      </c>
      <c r="C464" s="133" t="s">
        <v>830</v>
      </c>
      <c r="D464" s="133" t="s">
        <v>957</v>
      </c>
      <c r="E464" s="133">
        <v>2027.0</v>
      </c>
      <c r="F464" s="199" t="s">
        <v>1847</v>
      </c>
      <c r="G464" s="200">
        <v>3.0</v>
      </c>
      <c r="H464" s="133"/>
    </row>
    <row r="465" ht="22.5" customHeight="1">
      <c r="A465" s="217">
        <v>45320.0</v>
      </c>
      <c r="B465" s="133" t="s">
        <v>1848</v>
      </c>
      <c r="C465" s="133" t="s">
        <v>617</v>
      </c>
      <c r="D465" s="133" t="s">
        <v>957</v>
      </c>
      <c r="E465" s="133">
        <v>2027.0</v>
      </c>
      <c r="F465" s="199" t="s">
        <v>1849</v>
      </c>
      <c r="G465" s="200">
        <v>3.0</v>
      </c>
      <c r="H465" s="133"/>
    </row>
    <row r="466" ht="22.5" customHeight="1">
      <c r="A466" s="210">
        <v>45320.0</v>
      </c>
      <c r="B466" s="133" t="s">
        <v>896</v>
      </c>
      <c r="C466" s="133" t="s">
        <v>897</v>
      </c>
      <c r="D466" s="133" t="s">
        <v>970</v>
      </c>
      <c r="E466" s="133">
        <v>2026.0</v>
      </c>
      <c r="F466" s="199" t="s">
        <v>1850</v>
      </c>
      <c r="G466" s="200">
        <v>8.0</v>
      </c>
      <c r="H466" s="133"/>
    </row>
    <row r="467" ht="22.5" customHeight="1">
      <c r="A467" s="210">
        <v>45320.0</v>
      </c>
      <c r="B467" s="133" t="s">
        <v>522</v>
      </c>
      <c r="C467" s="133" t="s">
        <v>523</v>
      </c>
      <c r="D467" s="133" t="s">
        <v>961</v>
      </c>
      <c r="E467" s="133">
        <v>2027.0</v>
      </c>
      <c r="F467" s="199" t="s">
        <v>1851</v>
      </c>
      <c r="G467" s="200">
        <v>4.0</v>
      </c>
      <c r="H467" s="133"/>
    </row>
    <row r="468" ht="22.5" customHeight="1">
      <c r="A468" s="217">
        <v>45320.0</v>
      </c>
      <c r="B468" s="133" t="s">
        <v>1738</v>
      </c>
      <c r="C468" s="133" t="s">
        <v>1630</v>
      </c>
      <c r="D468" s="133" t="s">
        <v>1162</v>
      </c>
      <c r="E468" s="133">
        <v>2024.0</v>
      </c>
      <c r="F468" s="199" t="s">
        <v>1852</v>
      </c>
      <c r="G468" s="200">
        <v>12.0</v>
      </c>
      <c r="H468" s="133"/>
    </row>
    <row r="469" ht="22.5" customHeight="1">
      <c r="A469" s="210">
        <v>45320.0</v>
      </c>
      <c r="B469" s="133" t="s">
        <v>1853</v>
      </c>
      <c r="C469" s="133" t="s">
        <v>1854</v>
      </c>
      <c r="D469" s="133" t="s">
        <v>1646</v>
      </c>
      <c r="E469" s="133">
        <v>2025.0</v>
      </c>
      <c r="F469" s="199" t="s">
        <v>1855</v>
      </c>
      <c r="G469" s="200">
        <v>15.0</v>
      </c>
      <c r="H469" s="133"/>
    </row>
    <row r="470" ht="22.5" customHeight="1">
      <c r="A470" s="217">
        <v>45320.0</v>
      </c>
      <c r="B470" s="133" t="s">
        <v>945</v>
      </c>
      <c r="C470" s="133" t="s">
        <v>946</v>
      </c>
      <c r="D470" s="133" t="s">
        <v>1031</v>
      </c>
      <c r="E470" s="133">
        <v>2024.0</v>
      </c>
      <c r="F470" s="199" t="s">
        <v>1856</v>
      </c>
      <c r="G470" s="200">
        <v>1.0</v>
      </c>
      <c r="H470" s="133"/>
    </row>
    <row r="471" ht="22.5" customHeight="1">
      <c r="A471" s="210">
        <v>45320.0</v>
      </c>
      <c r="B471" s="133" t="s">
        <v>949</v>
      </c>
      <c r="C471" s="133" t="s">
        <v>950</v>
      </c>
      <c r="D471" s="133" t="s">
        <v>1031</v>
      </c>
      <c r="E471" s="133">
        <v>2024.0</v>
      </c>
      <c r="F471" s="199" t="s">
        <v>1857</v>
      </c>
      <c r="G471" s="200">
        <v>16.0</v>
      </c>
      <c r="H471" s="133"/>
    </row>
    <row r="472" ht="22.5" customHeight="1">
      <c r="A472" s="217">
        <v>45320.0</v>
      </c>
      <c r="B472" s="133" t="s">
        <v>622</v>
      </c>
      <c r="C472" s="133" t="s">
        <v>623</v>
      </c>
      <c r="D472" s="133" t="s">
        <v>961</v>
      </c>
      <c r="E472" s="133">
        <v>2027.0</v>
      </c>
      <c r="F472" s="199" t="s">
        <v>1858</v>
      </c>
      <c r="G472" s="200">
        <v>3.0</v>
      </c>
      <c r="H472" s="133"/>
    </row>
    <row r="473" ht="22.5" customHeight="1">
      <c r="A473" s="217">
        <v>45320.0</v>
      </c>
      <c r="B473" s="133" t="s">
        <v>734</v>
      </c>
      <c r="C473" s="133" t="s">
        <v>1859</v>
      </c>
      <c r="D473" s="133" t="s">
        <v>961</v>
      </c>
      <c r="E473" s="133">
        <v>2027.0</v>
      </c>
      <c r="F473" s="199" t="s">
        <v>1860</v>
      </c>
      <c r="G473" s="200">
        <v>4.0</v>
      </c>
      <c r="H473" s="133"/>
    </row>
    <row r="474" ht="22.5" customHeight="1">
      <c r="A474" s="210">
        <v>45320.0</v>
      </c>
      <c r="B474" s="133" t="s">
        <v>1448</v>
      </c>
      <c r="C474" s="133" t="s">
        <v>1449</v>
      </c>
      <c r="D474" s="133" t="s">
        <v>965</v>
      </c>
      <c r="E474" s="133">
        <v>2024.0</v>
      </c>
      <c r="F474" s="199" t="s">
        <v>1861</v>
      </c>
      <c r="G474" s="200">
        <v>8.0</v>
      </c>
      <c r="H474" s="133"/>
    </row>
    <row r="475" ht="22.5" customHeight="1">
      <c r="A475" s="218">
        <v>45320.0</v>
      </c>
      <c r="B475" s="133" t="s">
        <v>1862</v>
      </c>
      <c r="C475" s="133" t="s">
        <v>1863</v>
      </c>
      <c r="D475" s="133" t="s">
        <v>965</v>
      </c>
      <c r="E475" s="133">
        <v>2025.0</v>
      </c>
      <c r="F475" s="199" t="s">
        <v>1864</v>
      </c>
      <c r="G475" s="200">
        <v>34.0</v>
      </c>
      <c r="H475" s="133"/>
    </row>
    <row r="476" ht="22.5" customHeight="1">
      <c r="A476" s="210">
        <v>45320.0</v>
      </c>
      <c r="B476" s="133" t="s">
        <v>1865</v>
      </c>
      <c r="C476" s="133" t="s">
        <v>1866</v>
      </c>
      <c r="D476" s="133" t="s">
        <v>1646</v>
      </c>
      <c r="E476" s="133">
        <v>2025.0</v>
      </c>
      <c r="F476" s="199" t="s">
        <v>1867</v>
      </c>
      <c r="G476" s="200">
        <v>3.0</v>
      </c>
      <c r="H476" s="133"/>
    </row>
    <row r="477" ht="22.5" customHeight="1">
      <c r="A477" s="217">
        <v>45323.0</v>
      </c>
      <c r="B477" s="133" t="s">
        <v>1868</v>
      </c>
      <c r="C477" s="133" t="s">
        <v>1869</v>
      </c>
      <c r="D477" s="133" t="s">
        <v>1600</v>
      </c>
      <c r="E477" s="133">
        <v>2025.0</v>
      </c>
      <c r="F477" s="219" t="s">
        <v>1870</v>
      </c>
      <c r="G477" s="200">
        <v>11.0</v>
      </c>
      <c r="H477" s="133"/>
    </row>
    <row r="478" ht="22.5" customHeight="1">
      <c r="A478" s="210">
        <v>45323.0</v>
      </c>
      <c r="B478" s="133" t="s">
        <v>941</v>
      </c>
      <c r="C478" s="133" t="s">
        <v>942</v>
      </c>
      <c r="D478" s="133" t="s">
        <v>961</v>
      </c>
      <c r="E478" s="133">
        <v>2026.0</v>
      </c>
      <c r="F478" s="199" t="s">
        <v>1871</v>
      </c>
      <c r="G478" s="200">
        <v>4.0</v>
      </c>
      <c r="H478" s="133"/>
    </row>
    <row r="479" ht="22.5" customHeight="1">
      <c r="A479" s="210">
        <v>45323.0</v>
      </c>
      <c r="B479" s="133" t="s">
        <v>1872</v>
      </c>
      <c r="C479" s="133" t="s">
        <v>1873</v>
      </c>
      <c r="D479" s="133" t="s">
        <v>961</v>
      </c>
      <c r="E479" s="133">
        <v>2026.0</v>
      </c>
      <c r="F479" s="199" t="s">
        <v>1874</v>
      </c>
      <c r="G479" s="200">
        <v>2.0</v>
      </c>
      <c r="H479" s="133"/>
    </row>
    <row r="480" ht="22.5" customHeight="1">
      <c r="A480" s="210">
        <v>45323.0</v>
      </c>
      <c r="B480" s="133" t="s">
        <v>817</v>
      </c>
      <c r="C480" s="133" t="s">
        <v>818</v>
      </c>
      <c r="D480" s="133" t="s">
        <v>961</v>
      </c>
      <c r="E480" s="133">
        <v>2027.0</v>
      </c>
      <c r="F480" s="199" t="s">
        <v>1875</v>
      </c>
      <c r="G480" s="200">
        <v>2.0</v>
      </c>
      <c r="H480" s="133"/>
    </row>
    <row r="481" ht="22.5" customHeight="1">
      <c r="A481" s="217">
        <v>45323.0</v>
      </c>
      <c r="B481" s="133" t="s">
        <v>963</v>
      </c>
      <c r="C481" s="133" t="s">
        <v>1876</v>
      </c>
      <c r="D481" s="133" t="s">
        <v>965</v>
      </c>
      <c r="E481" s="133">
        <v>2026.0</v>
      </c>
      <c r="F481" s="220" t="s">
        <v>1877</v>
      </c>
      <c r="G481" s="200">
        <v>17.0</v>
      </c>
      <c r="H481" s="133"/>
    </row>
    <row r="482" ht="22.5" customHeight="1">
      <c r="A482" s="210">
        <v>45323.0</v>
      </c>
      <c r="B482" s="133" t="s">
        <v>1387</v>
      </c>
      <c r="C482" s="133" t="s">
        <v>1388</v>
      </c>
      <c r="D482" s="133" t="s">
        <v>965</v>
      </c>
      <c r="E482" s="133">
        <v>2026.0</v>
      </c>
      <c r="F482" s="199" t="s">
        <v>1878</v>
      </c>
      <c r="G482" s="200">
        <v>10.0</v>
      </c>
      <c r="H482" s="133"/>
    </row>
    <row r="483" ht="22.5" customHeight="1">
      <c r="A483" s="210">
        <v>45323.0</v>
      </c>
      <c r="B483" s="133" t="s">
        <v>1879</v>
      </c>
      <c r="C483" s="133" t="s">
        <v>1880</v>
      </c>
      <c r="D483" s="133" t="s">
        <v>965</v>
      </c>
      <c r="E483" s="133">
        <v>2025.0</v>
      </c>
      <c r="F483" s="199" t="s">
        <v>1881</v>
      </c>
      <c r="G483" s="200">
        <v>9.0</v>
      </c>
      <c r="H483" s="133"/>
    </row>
    <row r="484" ht="22.5" customHeight="1">
      <c r="A484" s="217">
        <v>45323.0</v>
      </c>
      <c r="B484" s="133" t="s">
        <v>1882</v>
      </c>
      <c r="C484" s="133" t="s">
        <v>1528</v>
      </c>
      <c r="D484" s="133" t="s">
        <v>965</v>
      </c>
      <c r="E484" s="133">
        <v>2025.0</v>
      </c>
      <c r="F484" s="199" t="s">
        <v>1883</v>
      </c>
      <c r="G484" s="200">
        <v>15.0</v>
      </c>
      <c r="H484" s="133"/>
    </row>
    <row r="485" ht="22.5" customHeight="1">
      <c r="A485" s="217">
        <v>45326.0</v>
      </c>
      <c r="B485" s="133" t="s">
        <v>651</v>
      </c>
      <c r="C485" s="133" t="s">
        <v>652</v>
      </c>
      <c r="D485" s="133" t="s">
        <v>961</v>
      </c>
      <c r="E485" s="133">
        <v>2026.0</v>
      </c>
      <c r="F485" s="199" t="s">
        <v>1079</v>
      </c>
      <c r="G485" s="200">
        <v>1.0</v>
      </c>
      <c r="H485" s="133"/>
    </row>
    <row r="486" ht="22.5" customHeight="1">
      <c r="A486" s="217">
        <v>45326.0</v>
      </c>
      <c r="B486" s="133" t="s">
        <v>963</v>
      </c>
      <c r="C486" s="209" t="s">
        <v>1876</v>
      </c>
      <c r="D486" s="133" t="s">
        <v>965</v>
      </c>
      <c r="E486" s="133">
        <v>2026.0</v>
      </c>
      <c r="F486" s="199" t="s">
        <v>1884</v>
      </c>
      <c r="G486" s="200">
        <v>5.0</v>
      </c>
      <c r="H486" s="133"/>
    </row>
    <row r="487" ht="22.5" customHeight="1">
      <c r="A487" s="217">
        <v>45326.0</v>
      </c>
      <c r="B487" s="133" t="s">
        <v>731</v>
      </c>
      <c r="C487" s="221" t="s">
        <v>732</v>
      </c>
      <c r="D487" s="133" t="s">
        <v>957</v>
      </c>
      <c r="E487" s="133">
        <v>2027.0</v>
      </c>
      <c r="F487" s="199" t="s">
        <v>1885</v>
      </c>
      <c r="G487" s="200">
        <v>28.0</v>
      </c>
      <c r="H487" s="133"/>
    </row>
    <row r="488" ht="22.5" customHeight="1">
      <c r="A488" s="217">
        <v>45326.0</v>
      </c>
      <c r="B488" s="133" t="s">
        <v>1886</v>
      </c>
      <c r="C488" s="133" t="s">
        <v>1887</v>
      </c>
      <c r="D488" s="133" t="s">
        <v>970</v>
      </c>
      <c r="E488" s="133">
        <v>2024.0</v>
      </c>
      <c r="F488" s="199" t="s">
        <v>1888</v>
      </c>
      <c r="G488" s="200">
        <v>11.0</v>
      </c>
      <c r="H488" s="133"/>
    </row>
    <row r="489" ht="22.5" customHeight="1">
      <c r="A489" s="217">
        <v>45326.0</v>
      </c>
      <c r="B489" s="133" t="s">
        <v>900</v>
      </c>
      <c r="C489" s="133" t="s">
        <v>901</v>
      </c>
      <c r="D489" s="133" t="s">
        <v>957</v>
      </c>
      <c r="E489" s="133">
        <v>2027.0</v>
      </c>
      <c r="F489" s="199" t="s">
        <v>1889</v>
      </c>
      <c r="G489" s="200">
        <v>9.0</v>
      </c>
      <c r="H489" s="133"/>
    </row>
    <row r="490" ht="22.5" customHeight="1">
      <c r="A490" s="217">
        <v>45326.0</v>
      </c>
      <c r="B490" s="133" t="s">
        <v>1890</v>
      </c>
      <c r="C490" s="133" t="s">
        <v>1891</v>
      </c>
      <c r="D490" s="133" t="s">
        <v>961</v>
      </c>
      <c r="E490" s="133">
        <v>2026.0</v>
      </c>
      <c r="F490" s="199" t="s">
        <v>1892</v>
      </c>
      <c r="G490" s="200">
        <v>7.0</v>
      </c>
      <c r="H490" s="133"/>
    </row>
    <row r="491" ht="22.5" customHeight="1">
      <c r="A491" s="217">
        <v>45326.0</v>
      </c>
      <c r="B491" s="133" t="s">
        <v>1219</v>
      </c>
      <c r="C491" s="133" t="s">
        <v>1220</v>
      </c>
      <c r="D491" s="133" t="s">
        <v>961</v>
      </c>
      <c r="E491" s="133">
        <v>2027.0</v>
      </c>
      <c r="F491" s="199" t="s">
        <v>1893</v>
      </c>
      <c r="G491" s="200">
        <v>11.0</v>
      </c>
      <c r="H491" s="133"/>
    </row>
    <row r="492" ht="22.5" customHeight="1">
      <c r="A492" s="217">
        <v>45326.0</v>
      </c>
      <c r="B492" s="133" t="s">
        <v>1695</v>
      </c>
      <c r="C492" s="133" t="s">
        <v>1696</v>
      </c>
      <c r="D492" s="133" t="s">
        <v>957</v>
      </c>
      <c r="E492" s="133">
        <v>2027.0</v>
      </c>
      <c r="F492" s="199" t="s">
        <v>1894</v>
      </c>
      <c r="G492" s="200">
        <v>2.0</v>
      </c>
      <c r="H492" s="133"/>
    </row>
    <row r="493" ht="22.5" customHeight="1">
      <c r="A493" s="217">
        <v>45327.0</v>
      </c>
      <c r="B493" s="133" t="s">
        <v>850</v>
      </c>
      <c r="C493" s="133" t="s">
        <v>851</v>
      </c>
      <c r="D493" s="133" t="s">
        <v>957</v>
      </c>
      <c r="E493" s="133">
        <v>2027.0</v>
      </c>
      <c r="F493" s="199" t="s">
        <v>1895</v>
      </c>
      <c r="G493" s="200">
        <v>3.0</v>
      </c>
      <c r="H493" s="133"/>
    </row>
    <row r="494" ht="22.5" customHeight="1">
      <c r="A494" s="222">
        <v>45327.0</v>
      </c>
      <c r="B494" s="133" t="s">
        <v>1454</v>
      </c>
      <c r="C494" s="133" t="s">
        <v>1455</v>
      </c>
      <c r="D494" s="133" t="s">
        <v>970</v>
      </c>
      <c r="E494" s="133">
        <v>2026.0</v>
      </c>
      <c r="F494" s="199" t="s">
        <v>1896</v>
      </c>
      <c r="G494" s="200">
        <v>5.0</v>
      </c>
      <c r="H494" s="133"/>
    </row>
    <row r="495" ht="22.5" customHeight="1">
      <c r="A495" s="222">
        <v>45327.0</v>
      </c>
      <c r="B495" s="133" t="s">
        <v>1635</v>
      </c>
      <c r="C495" s="133" t="s">
        <v>1636</v>
      </c>
      <c r="D495" s="133" t="s">
        <v>1116</v>
      </c>
      <c r="E495" s="133">
        <v>2026.0</v>
      </c>
      <c r="F495" s="199" t="s">
        <v>1897</v>
      </c>
      <c r="G495" s="200">
        <v>5.0</v>
      </c>
      <c r="H495" s="133"/>
    </row>
    <row r="496" ht="22.5" customHeight="1">
      <c r="A496" s="222">
        <v>45327.0</v>
      </c>
      <c r="B496" s="133" t="s">
        <v>1738</v>
      </c>
      <c r="C496" s="133" t="s">
        <v>1630</v>
      </c>
      <c r="D496" s="133" t="s">
        <v>1162</v>
      </c>
      <c r="E496" s="133">
        <v>2024.0</v>
      </c>
      <c r="F496" s="199" t="s">
        <v>1898</v>
      </c>
      <c r="G496" s="200">
        <v>4.0</v>
      </c>
      <c r="H496" s="133"/>
    </row>
    <row r="497" ht="22.5" customHeight="1">
      <c r="A497" s="223">
        <v>45330.0</v>
      </c>
      <c r="B497" s="133" t="s">
        <v>1707</v>
      </c>
      <c r="C497" s="133" t="s">
        <v>1708</v>
      </c>
      <c r="D497" s="133" t="s">
        <v>970</v>
      </c>
      <c r="E497" s="133">
        <v>2026.0</v>
      </c>
      <c r="F497" s="199" t="s">
        <v>1899</v>
      </c>
      <c r="G497" s="200">
        <v>14.0</v>
      </c>
      <c r="H497" s="133"/>
    </row>
    <row r="498" ht="22.5" customHeight="1">
      <c r="A498" s="222">
        <v>45330.0</v>
      </c>
      <c r="B498" s="133" t="s">
        <v>1900</v>
      </c>
      <c r="C498" s="133" t="s">
        <v>1901</v>
      </c>
      <c r="D498" s="133" t="s">
        <v>1116</v>
      </c>
      <c r="E498" s="133">
        <v>2026.0</v>
      </c>
      <c r="F498" s="199" t="s">
        <v>1902</v>
      </c>
      <c r="G498" s="200">
        <v>5.0</v>
      </c>
      <c r="H498" s="133"/>
    </row>
    <row r="499" ht="22.5" customHeight="1">
      <c r="A499" s="224">
        <v>45330.0</v>
      </c>
      <c r="B499" s="133" t="s">
        <v>1704</v>
      </c>
      <c r="C499" s="133" t="s">
        <v>1705</v>
      </c>
      <c r="D499" s="133" t="s">
        <v>1091</v>
      </c>
      <c r="E499" s="133">
        <v>2026.0</v>
      </c>
      <c r="F499" s="199" t="s">
        <v>1903</v>
      </c>
      <c r="G499" s="200">
        <v>20.0</v>
      </c>
      <c r="H499" s="133"/>
    </row>
    <row r="500" ht="22.5" customHeight="1">
      <c r="A500" s="222">
        <v>45330.0</v>
      </c>
      <c r="B500" s="133" t="s">
        <v>1904</v>
      </c>
      <c r="C500" s="133" t="s">
        <v>942</v>
      </c>
      <c r="D500" s="133" t="s">
        <v>961</v>
      </c>
      <c r="E500" s="133">
        <v>2026.0</v>
      </c>
      <c r="F500" s="199" t="s">
        <v>1905</v>
      </c>
      <c r="G500" s="200">
        <v>4.0</v>
      </c>
      <c r="H500" s="133"/>
    </row>
    <row r="501" ht="22.5" customHeight="1">
      <c r="A501" s="222">
        <v>45330.0</v>
      </c>
      <c r="B501" s="133" t="s">
        <v>900</v>
      </c>
      <c r="C501" s="133" t="s">
        <v>901</v>
      </c>
      <c r="D501" s="133" t="s">
        <v>957</v>
      </c>
      <c r="E501" s="133">
        <v>2027.0</v>
      </c>
      <c r="F501" s="199" t="s">
        <v>1906</v>
      </c>
      <c r="G501" s="200">
        <v>3.0</v>
      </c>
      <c r="H501" s="133"/>
    </row>
    <row r="502" ht="22.5" customHeight="1">
      <c r="A502" s="217">
        <v>45334.0</v>
      </c>
      <c r="B502" s="133" t="s">
        <v>1868</v>
      </c>
      <c r="C502" s="133" t="s">
        <v>1869</v>
      </c>
      <c r="D502" s="133" t="s">
        <v>1600</v>
      </c>
      <c r="E502" s="133">
        <v>2025.0</v>
      </c>
      <c r="F502" s="199" t="s">
        <v>1907</v>
      </c>
      <c r="G502" s="200">
        <v>1.0</v>
      </c>
      <c r="H502" s="133"/>
    </row>
    <row r="503" ht="22.5" customHeight="1">
      <c r="A503" s="217">
        <v>45334.0</v>
      </c>
      <c r="B503" s="133" t="s">
        <v>1166</v>
      </c>
      <c r="C503" s="133" t="s">
        <v>757</v>
      </c>
      <c r="D503" s="133" t="s">
        <v>970</v>
      </c>
      <c r="E503" s="133">
        <v>2027.0</v>
      </c>
      <c r="F503" s="199" t="s">
        <v>1908</v>
      </c>
      <c r="G503" s="200">
        <v>21.0</v>
      </c>
      <c r="H503" s="133"/>
    </row>
    <row r="504" ht="22.5" customHeight="1">
      <c r="A504" s="222">
        <v>45334.0</v>
      </c>
      <c r="B504" s="133" t="s">
        <v>1665</v>
      </c>
      <c r="C504" s="133" t="s">
        <v>1666</v>
      </c>
      <c r="D504" s="133" t="s">
        <v>1646</v>
      </c>
      <c r="E504" s="133">
        <v>2024.0</v>
      </c>
      <c r="F504" s="199" t="s">
        <v>1909</v>
      </c>
      <c r="G504" s="200">
        <v>17.0</v>
      </c>
      <c r="H504" s="133"/>
    </row>
    <row r="505" ht="22.5" customHeight="1">
      <c r="A505" s="217">
        <v>45337.0</v>
      </c>
      <c r="B505" s="133" t="s">
        <v>1910</v>
      </c>
      <c r="C505" s="133" t="s">
        <v>1911</v>
      </c>
      <c r="D505" s="133" t="s">
        <v>1646</v>
      </c>
      <c r="E505" s="133">
        <v>2024.0</v>
      </c>
      <c r="F505" s="199" t="s">
        <v>1650</v>
      </c>
      <c r="G505" s="200">
        <v>2.0</v>
      </c>
      <c r="H505" s="133"/>
    </row>
    <row r="506" ht="22.5" customHeight="1">
      <c r="A506" s="217">
        <v>45337.0</v>
      </c>
      <c r="B506" s="133" t="s">
        <v>1166</v>
      </c>
      <c r="C506" s="133" t="s">
        <v>757</v>
      </c>
      <c r="D506" s="133" t="s">
        <v>970</v>
      </c>
      <c r="E506" s="133">
        <v>2027.0</v>
      </c>
      <c r="F506" s="199" t="s">
        <v>1912</v>
      </c>
      <c r="G506" s="200">
        <v>4.0</v>
      </c>
      <c r="H506" s="133"/>
    </row>
    <row r="507" ht="22.5" customHeight="1">
      <c r="A507" s="217">
        <v>45340.0</v>
      </c>
      <c r="B507" s="133" t="s">
        <v>668</v>
      </c>
      <c r="C507" s="133" t="s">
        <v>669</v>
      </c>
      <c r="D507" s="133" t="s">
        <v>961</v>
      </c>
      <c r="E507" s="133">
        <v>2027.0</v>
      </c>
      <c r="F507" s="199" t="s">
        <v>1913</v>
      </c>
      <c r="G507" s="200">
        <v>23.0</v>
      </c>
      <c r="H507" s="133"/>
    </row>
    <row r="508" ht="22.5" customHeight="1">
      <c r="A508" s="217">
        <v>45340.0</v>
      </c>
      <c r="B508" s="133" t="s">
        <v>1464</v>
      </c>
      <c r="C508" s="133" t="s">
        <v>1465</v>
      </c>
      <c r="D508" s="133" t="s">
        <v>1116</v>
      </c>
      <c r="E508" s="133">
        <v>2024.0</v>
      </c>
      <c r="F508" s="199" t="s">
        <v>1914</v>
      </c>
      <c r="G508" s="200">
        <v>6.0</v>
      </c>
      <c r="H508" s="133"/>
    </row>
    <row r="509" ht="22.5" customHeight="1">
      <c r="A509" s="217">
        <v>45340.0</v>
      </c>
      <c r="B509" s="133" t="s">
        <v>1160</v>
      </c>
      <c r="C509" s="133" t="s">
        <v>1161</v>
      </c>
      <c r="D509" s="133" t="s">
        <v>1162</v>
      </c>
      <c r="E509" s="133">
        <v>2024.0</v>
      </c>
      <c r="F509" s="199" t="s">
        <v>1915</v>
      </c>
      <c r="G509" s="200">
        <v>6.0</v>
      </c>
      <c r="H509" s="133"/>
    </row>
    <row r="510" ht="22.5" customHeight="1">
      <c r="A510" s="217">
        <v>45340.0</v>
      </c>
      <c r="B510" s="133" t="s">
        <v>1676</v>
      </c>
      <c r="C510" s="133" t="s">
        <v>1761</v>
      </c>
      <c r="D510" s="133" t="s">
        <v>961</v>
      </c>
      <c r="E510" s="133">
        <v>2027.0</v>
      </c>
      <c r="F510" s="199" t="s">
        <v>1916</v>
      </c>
      <c r="G510" s="200">
        <v>4.0</v>
      </c>
      <c r="H510" s="133"/>
    </row>
    <row r="511" ht="22.5" customHeight="1">
      <c r="A511" s="217">
        <v>45340.0</v>
      </c>
      <c r="B511" s="133" t="s">
        <v>829</v>
      </c>
      <c r="C511" s="133" t="s">
        <v>830</v>
      </c>
      <c r="D511" s="133" t="s">
        <v>957</v>
      </c>
      <c r="E511" s="133">
        <v>2027.0</v>
      </c>
      <c r="F511" s="199" t="s">
        <v>1506</v>
      </c>
      <c r="G511" s="200">
        <v>3.0</v>
      </c>
      <c r="H511" s="133"/>
    </row>
    <row r="512" ht="22.5" customHeight="1">
      <c r="A512" s="217">
        <v>45347.0</v>
      </c>
      <c r="B512" s="133" t="s">
        <v>1530</v>
      </c>
      <c r="C512" s="133" t="s">
        <v>1531</v>
      </c>
      <c r="D512" s="133" t="s">
        <v>1917</v>
      </c>
      <c r="E512" s="133">
        <v>2026.0</v>
      </c>
      <c r="F512" s="199" t="s">
        <v>1918</v>
      </c>
      <c r="G512" s="200">
        <v>19.0</v>
      </c>
      <c r="H512" s="133"/>
    </row>
    <row r="513" ht="22.5" customHeight="1">
      <c r="A513" s="217">
        <v>45347.0</v>
      </c>
      <c r="B513" s="225" t="s">
        <v>963</v>
      </c>
      <c r="C513" s="133" t="s">
        <v>1876</v>
      </c>
      <c r="D513" s="133" t="s">
        <v>965</v>
      </c>
      <c r="E513" s="133">
        <v>2026.0</v>
      </c>
      <c r="F513" s="199" t="s">
        <v>1919</v>
      </c>
      <c r="G513" s="200">
        <v>4.0</v>
      </c>
      <c r="H513" s="133"/>
    </row>
    <row r="514" ht="22.5" customHeight="1">
      <c r="A514" s="217">
        <v>45347.0</v>
      </c>
      <c r="B514" s="133" t="s">
        <v>1920</v>
      </c>
      <c r="C514" s="133" t="s">
        <v>594</v>
      </c>
      <c r="D514" s="133" t="s">
        <v>961</v>
      </c>
      <c r="E514" s="133">
        <v>2027.0</v>
      </c>
      <c r="F514" s="199" t="s">
        <v>1921</v>
      </c>
      <c r="G514" s="200">
        <v>6.0</v>
      </c>
      <c r="H514" s="133"/>
    </row>
    <row r="515" ht="22.5" customHeight="1">
      <c r="A515" s="217">
        <v>45347.0</v>
      </c>
      <c r="B515" s="226" t="s">
        <v>1922</v>
      </c>
      <c r="C515" s="133" t="s">
        <v>732</v>
      </c>
      <c r="D515" s="133" t="s">
        <v>957</v>
      </c>
      <c r="E515" s="133">
        <v>2027.0</v>
      </c>
      <c r="F515" s="199" t="s">
        <v>1923</v>
      </c>
      <c r="G515" s="200">
        <v>14.0</v>
      </c>
      <c r="H515" s="133"/>
    </row>
    <row r="516" ht="22.5" customHeight="1">
      <c r="A516" s="217">
        <v>45348.0</v>
      </c>
      <c r="B516" s="133" t="s">
        <v>790</v>
      </c>
      <c r="C516" s="133" t="s">
        <v>1924</v>
      </c>
      <c r="D516" s="133" t="s">
        <v>1116</v>
      </c>
      <c r="E516" s="133">
        <v>2024.0</v>
      </c>
      <c r="F516" s="199" t="s">
        <v>1925</v>
      </c>
      <c r="G516" s="200">
        <v>32.0</v>
      </c>
      <c r="H516" s="133"/>
    </row>
    <row r="517" ht="22.5" customHeight="1">
      <c r="A517" s="217">
        <v>45354.0</v>
      </c>
      <c r="B517" s="133" t="s">
        <v>829</v>
      </c>
      <c r="C517" s="133" t="s">
        <v>830</v>
      </c>
      <c r="D517" s="133" t="s">
        <v>957</v>
      </c>
      <c r="E517" s="133">
        <v>2027.0</v>
      </c>
      <c r="F517" s="199" t="s">
        <v>1926</v>
      </c>
      <c r="G517" s="200">
        <v>1.0</v>
      </c>
      <c r="H517" s="133"/>
    </row>
    <row r="518" ht="22.5" customHeight="1">
      <c r="A518" s="217">
        <v>45354.0</v>
      </c>
      <c r="B518" s="133" t="s">
        <v>1695</v>
      </c>
      <c r="C518" s="133" t="s">
        <v>1696</v>
      </c>
      <c r="D518" s="133" t="s">
        <v>957</v>
      </c>
      <c r="E518" s="133">
        <v>2027.0</v>
      </c>
      <c r="F518" s="199" t="s">
        <v>1927</v>
      </c>
      <c r="G518" s="200">
        <v>2.0</v>
      </c>
      <c r="H518" s="133"/>
    </row>
    <row r="519" ht="22.5" customHeight="1">
      <c r="A519" s="217">
        <v>45355.0</v>
      </c>
      <c r="B519" s="133" t="s">
        <v>1928</v>
      </c>
      <c r="C519" s="133" t="s">
        <v>743</v>
      </c>
      <c r="D519" s="133" t="s">
        <v>961</v>
      </c>
      <c r="E519" s="133">
        <v>2027.0</v>
      </c>
      <c r="F519" s="199" t="s">
        <v>1929</v>
      </c>
      <c r="G519" s="200">
        <v>12.0</v>
      </c>
      <c r="H519" s="133"/>
    </row>
    <row r="520" ht="22.5" customHeight="1">
      <c r="A520" s="217">
        <v>45358.0</v>
      </c>
      <c r="B520" s="133" t="s">
        <v>1930</v>
      </c>
      <c r="C520" s="133" t="s">
        <v>1931</v>
      </c>
      <c r="D520" s="133" t="s">
        <v>970</v>
      </c>
      <c r="E520" s="133">
        <v>2027.0</v>
      </c>
      <c r="F520" s="199" t="s">
        <v>1932</v>
      </c>
      <c r="G520" s="200">
        <v>14.0</v>
      </c>
      <c r="H520" s="133"/>
    </row>
    <row r="521" ht="22.5" customHeight="1">
      <c r="A521" s="217">
        <v>45358.0</v>
      </c>
      <c r="B521" s="133" t="s">
        <v>941</v>
      </c>
      <c r="C521" s="133" t="s">
        <v>942</v>
      </c>
      <c r="D521" s="133" t="s">
        <v>961</v>
      </c>
      <c r="E521" s="133">
        <v>2026.0</v>
      </c>
      <c r="F521" s="199" t="s">
        <v>1933</v>
      </c>
      <c r="G521" s="200">
        <v>2.0</v>
      </c>
      <c r="H521" s="133"/>
    </row>
    <row r="522" ht="22.5" customHeight="1">
      <c r="A522" s="217">
        <v>45358.0</v>
      </c>
      <c r="B522" s="133" t="s">
        <v>1491</v>
      </c>
      <c r="C522" s="133" t="s">
        <v>1492</v>
      </c>
      <c r="D522" s="133" t="s">
        <v>965</v>
      </c>
      <c r="E522" s="133">
        <v>2025.0</v>
      </c>
      <c r="F522" s="199" t="s">
        <v>1934</v>
      </c>
      <c r="G522" s="200">
        <v>22.0</v>
      </c>
      <c r="H522" s="133"/>
    </row>
    <row r="523" ht="22.5" customHeight="1">
      <c r="A523" s="217">
        <v>45368.0</v>
      </c>
      <c r="B523" s="133" t="s">
        <v>1935</v>
      </c>
      <c r="C523" s="133" t="s">
        <v>1936</v>
      </c>
      <c r="D523" s="133" t="s">
        <v>961</v>
      </c>
      <c r="E523" s="133">
        <v>2027.0</v>
      </c>
      <c r="F523" s="199" t="s">
        <v>1937</v>
      </c>
      <c r="G523" s="200">
        <v>3.0</v>
      </c>
      <c r="H523" s="133"/>
    </row>
    <row r="524" ht="22.5" customHeight="1">
      <c r="A524" s="217">
        <v>45368.0</v>
      </c>
      <c r="B524" s="133" t="s">
        <v>900</v>
      </c>
      <c r="C524" s="133" t="s">
        <v>901</v>
      </c>
      <c r="D524" s="133" t="s">
        <v>957</v>
      </c>
      <c r="E524" s="133">
        <v>2027.0</v>
      </c>
      <c r="F524" s="199" t="s">
        <v>1938</v>
      </c>
      <c r="G524" s="200">
        <v>3.0</v>
      </c>
      <c r="H524" s="133"/>
    </row>
    <row r="525" ht="22.5" customHeight="1">
      <c r="A525" s="217">
        <v>45368.0</v>
      </c>
      <c r="B525" s="133" t="s">
        <v>829</v>
      </c>
      <c r="C525" s="133" t="s">
        <v>830</v>
      </c>
      <c r="D525" s="133" t="s">
        <v>957</v>
      </c>
      <c r="E525" s="133">
        <v>2027.0</v>
      </c>
      <c r="F525" s="199" t="s">
        <v>1939</v>
      </c>
      <c r="G525" s="200">
        <v>5.0</v>
      </c>
      <c r="H525" s="133"/>
    </row>
    <row r="526" ht="22.5" customHeight="1">
      <c r="A526" s="217">
        <v>45368.0</v>
      </c>
      <c r="B526" s="133" t="s">
        <v>1219</v>
      </c>
      <c r="C526" s="133" t="s">
        <v>1940</v>
      </c>
      <c r="D526" s="133" t="s">
        <v>961</v>
      </c>
      <c r="E526" s="133">
        <v>2027.0</v>
      </c>
      <c r="F526" s="199" t="s">
        <v>1941</v>
      </c>
      <c r="G526" s="200">
        <v>8.0</v>
      </c>
      <c r="H526" s="133"/>
    </row>
    <row r="527" ht="22.5" customHeight="1">
      <c r="A527" s="217">
        <v>45368.0</v>
      </c>
      <c r="B527" s="133" t="s">
        <v>1695</v>
      </c>
      <c r="C527" s="133" t="s">
        <v>1696</v>
      </c>
      <c r="D527" s="133" t="s">
        <v>957</v>
      </c>
      <c r="E527" s="133">
        <v>2027.0</v>
      </c>
      <c r="F527" s="199" t="s">
        <v>1942</v>
      </c>
      <c r="G527" s="200">
        <v>1.0</v>
      </c>
      <c r="H527" s="133"/>
    </row>
    <row r="528" ht="22.5" customHeight="1">
      <c r="A528" s="217">
        <v>45372.0</v>
      </c>
      <c r="B528" s="133" t="s">
        <v>1943</v>
      </c>
      <c r="C528" s="133" t="s">
        <v>1944</v>
      </c>
      <c r="D528" s="133" t="s">
        <v>1116</v>
      </c>
      <c r="E528" s="133">
        <v>2024.0</v>
      </c>
      <c r="F528" s="199" t="s">
        <v>1945</v>
      </c>
      <c r="G528" s="200">
        <v>3.0</v>
      </c>
      <c r="H528" s="133"/>
    </row>
    <row r="529" ht="22.5" customHeight="1">
      <c r="A529" s="217">
        <v>45372.0</v>
      </c>
      <c r="B529" s="133" t="s">
        <v>1946</v>
      </c>
      <c r="C529" s="133" t="s">
        <v>1947</v>
      </c>
      <c r="D529" s="133" t="s">
        <v>1116</v>
      </c>
      <c r="E529" s="133">
        <v>2024.0</v>
      </c>
      <c r="F529" s="199" t="s">
        <v>1948</v>
      </c>
      <c r="G529" s="200">
        <v>5.0</v>
      </c>
      <c r="H529" s="133"/>
    </row>
    <row r="530" ht="22.5" customHeight="1">
      <c r="A530" s="222">
        <v>45372.0</v>
      </c>
      <c r="B530" s="133" t="s">
        <v>661</v>
      </c>
      <c r="C530" s="133" t="s">
        <v>662</v>
      </c>
      <c r="D530" s="133" t="s">
        <v>1116</v>
      </c>
      <c r="E530" s="133">
        <v>2026.0</v>
      </c>
      <c r="F530" s="199" t="s">
        <v>1949</v>
      </c>
      <c r="G530" s="200">
        <v>20.0</v>
      </c>
      <c r="H530" s="133"/>
    </row>
    <row r="531" ht="22.5" customHeight="1">
      <c r="A531" s="217">
        <v>45375.0</v>
      </c>
      <c r="B531" s="133" t="s">
        <v>1658</v>
      </c>
      <c r="C531" s="133" t="s">
        <v>1659</v>
      </c>
      <c r="D531" s="133" t="s">
        <v>1031</v>
      </c>
      <c r="E531" s="133">
        <v>2025.0</v>
      </c>
      <c r="F531" s="199" t="s">
        <v>1950</v>
      </c>
      <c r="G531" s="200">
        <v>12.0</v>
      </c>
      <c r="H531" s="133"/>
    </row>
    <row r="532" ht="22.5" customHeight="1">
      <c r="A532" s="217">
        <v>45375.0</v>
      </c>
      <c r="B532" s="133" t="s">
        <v>1692</v>
      </c>
      <c r="C532" s="133" t="s">
        <v>1693</v>
      </c>
      <c r="D532" s="133" t="s">
        <v>957</v>
      </c>
      <c r="E532" s="133">
        <v>2027.0</v>
      </c>
      <c r="F532" s="199" t="s">
        <v>1951</v>
      </c>
      <c r="G532" s="200">
        <v>1.0</v>
      </c>
      <c r="H532" s="133"/>
    </row>
    <row r="533" ht="22.5" customHeight="1">
      <c r="A533" s="217">
        <v>45375.0</v>
      </c>
      <c r="B533" s="133" t="s">
        <v>1249</v>
      </c>
      <c r="C533" s="133" t="s">
        <v>1250</v>
      </c>
      <c r="D533" s="133" t="s">
        <v>957</v>
      </c>
      <c r="E533" s="133">
        <v>2027.0</v>
      </c>
      <c r="F533" s="199" t="s">
        <v>1952</v>
      </c>
      <c r="G533" s="200">
        <v>4.0</v>
      </c>
      <c r="H533" s="133"/>
    </row>
    <row r="534" ht="22.5" customHeight="1">
      <c r="A534" s="217">
        <v>45376.0</v>
      </c>
      <c r="B534" s="133" t="s">
        <v>963</v>
      </c>
      <c r="C534" s="133" t="s">
        <v>1876</v>
      </c>
      <c r="D534" s="133" t="s">
        <v>1953</v>
      </c>
      <c r="E534" s="133">
        <v>2026.0</v>
      </c>
      <c r="F534" s="199" t="s">
        <v>1954</v>
      </c>
      <c r="G534" s="200">
        <v>3.0</v>
      </c>
      <c r="H534" s="133"/>
    </row>
    <row r="535" ht="22.5" customHeight="1">
      <c r="A535" s="217">
        <v>45376.0</v>
      </c>
      <c r="B535" s="133" t="s">
        <v>1955</v>
      </c>
      <c r="C535" s="133" t="s">
        <v>1956</v>
      </c>
      <c r="D535" s="133" t="s">
        <v>1031</v>
      </c>
      <c r="E535" s="133">
        <v>2025.0</v>
      </c>
      <c r="F535" s="199" t="s">
        <v>1650</v>
      </c>
      <c r="G535" s="200">
        <v>2.0</v>
      </c>
      <c r="H535" s="133"/>
    </row>
    <row r="536" ht="22.5" customHeight="1">
      <c r="A536" s="217">
        <v>45376.0</v>
      </c>
      <c r="B536" s="133" t="s">
        <v>1957</v>
      </c>
      <c r="C536" s="133" t="s">
        <v>1958</v>
      </c>
      <c r="D536" s="133" t="s">
        <v>1031</v>
      </c>
      <c r="E536" s="133">
        <v>2025.0</v>
      </c>
      <c r="F536" s="199" t="s">
        <v>1681</v>
      </c>
      <c r="G536" s="200">
        <v>1.0</v>
      </c>
      <c r="H536" s="133"/>
    </row>
    <row r="537" ht="22.5" customHeight="1">
      <c r="A537" s="217">
        <v>45376.0</v>
      </c>
      <c r="B537" s="133" t="s">
        <v>1738</v>
      </c>
      <c r="C537" s="133" t="s">
        <v>1630</v>
      </c>
      <c r="D537" s="133" t="s">
        <v>1162</v>
      </c>
      <c r="E537" s="133">
        <v>2024.0</v>
      </c>
      <c r="F537" s="199" t="s">
        <v>1959</v>
      </c>
      <c r="G537" s="200">
        <v>10.0</v>
      </c>
      <c r="H537" s="133"/>
    </row>
    <row r="538" ht="22.5" customHeight="1">
      <c r="A538" s="222">
        <v>45379.0</v>
      </c>
      <c r="B538" s="133" t="s">
        <v>1676</v>
      </c>
      <c r="C538" s="133" t="s">
        <v>1761</v>
      </c>
      <c r="D538" s="133" t="s">
        <v>961</v>
      </c>
      <c r="E538" s="133">
        <v>2027.0</v>
      </c>
      <c r="F538" s="227" t="s">
        <v>1960</v>
      </c>
      <c r="G538" s="200">
        <v>4.0</v>
      </c>
      <c r="H538" s="133"/>
    </row>
    <row r="539" ht="22.5" customHeight="1">
      <c r="A539" s="217">
        <v>45382.0</v>
      </c>
      <c r="B539" s="133" t="s">
        <v>1160</v>
      </c>
      <c r="C539" s="133" t="s">
        <v>1161</v>
      </c>
      <c r="D539" s="133" t="s">
        <v>1162</v>
      </c>
      <c r="E539" s="133">
        <v>2024.0</v>
      </c>
      <c r="F539" s="199" t="s">
        <v>1961</v>
      </c>
      <c r="G539" s="200">
        <v>13.0</v>
      </c>
      <c r="H539" s="133"/>
    </row>
    <row r="540" ht="22.5" customHeight="1">
      <c r="A540" s="217">
        <v>45396.0</v>
      </c>
      <c r="B540" s="133" t="s">
        <v>1160</v>
      </c>
      <c r="C540" s="133" t="s">
        <v>1161</v>
      </c>
      <c r="D540" s="133" t="s">
        <v>1162</v>
      </c>
      <c r="E540" s="133">
        <v>2024.0</v>
      </c>
      <c r="F540" s="228" t="s">
        <v>1962</v>
      </c>
      <c r="G540" s="200">
        <v>4.0</v>
      </c>
      <c r="H540" s="133"/>
    </row>
    <row r="541" ht="22.5" customHeight="1">
      <c r="A541" s="217">
        <v>45396.0</v>
      </c>
      <c r="B541" s="133" t="s">
        <v>896</v>
      </c>
      <c r="C541" s="133" t="s">
        <v>897</v>
      </c>
      <c r="D541" s="133" t="s">
        <v>970</v>
      </c>
      <c r="E541" s="133">
        <v>2026.0</v>
      </c>
      <c r="F541" s="228" t="s">
        <v>1963</v>
      </c>
      <c r="G541" s="200">
        <v>7.0</v>
      </c>
      <c r="H541" s="133"/>
    </row>
    <row r="542" ht="22.5" customHeight="1">
      <c r="A542" s="217">
        <v>45396.0</v>
      </c>
      <c r="B542" s="133" t="s">
        <v>829</v>
      </c>
      <c r="C542" s="133" t="s">
        <v>830</v>
      </c>
      <c r="D542" s="133" t="s">
        <v>957</v>
      </c>
      <c r="E542" s="133">
        <v>2027.0</v>
      </c>
      <c r="F542" s="228" t="s">
        <v>1964</v>
      </c>
      <c r="G542" s="200">
        <v>62.0</v>
      </c>
      <c r="H542" s="133"/>
    </row>
    <row r="543" ht="22.5" customHeight="1">
      <c r="A543" s="217">
        <v>45396.0</v>
      </c>
      <c r="B543" s="133" t="s">
        <v>1695</v>
      </c>
      <c r="C543" s="133" t="s">
        <v>1696</v>
      </c>
      <c r="D543" s="133" t="s">
        <v>957</v>
      </c>
      <c r="E543" s="133">
        <v>2027.0</v>
      </c>
      <c r="F543" s="228" t="s">
        <v>1965</v>
      </c>
      <c r="G543" s="200">
        <v>5.0</v>
      </c>
      <c r="H543" s="133"/>
    </row>
    <row r="544" ht="22.5" customHeight="1">
      <c r="A544" s="217">
        <v>45403.0</v>
      </c>
      <c r="B544" s="133" t="s">
        <v>900</v>
      </c>
      <c r="C544" s="133" t="s">
        <v>901</v>
      </c>
      <c r="D544" s="133" t="s">
        <v>957</v>
      </c>
      <c r="E544" s="133">
        <v>2027.0</v>
      </c>
      <c r="F544" s="228" t="s">
        <v>1966</v>
      </c>
      <c r="G544" s="200">
        <v>3.0</v>
      </c>
      <c r="H544" s="133"/>
    </row>
    <row r="545" ht="22.5" customHeight="1">
      <c r="A545" s="217">
        <v>45403.0</v>
      </c>
      <c r="B545" s="133" t="s">
        <v>1160</v>
      </c>
      <c r="C545" s="133" t="s">
        <v>1161</v>
      </c>
      <c r="D545" s="133" t="s">
        <v>1162</v>
      </c>
      <c r="E545" s="133">
        <v>2024.0</v>
      </c>
      <c r="F545" s="228" t="s">
        <v>1967</v>
      </c>
      <c r="G545" s="200">
        <v>2.0</v>
      </c>
      <c r="H545" s="133"/>
    </row>
    <row r="546" ht="22.5" customHeight="1">
      <c r="A546" s="217">
        <v>45403.0</v>
      </c>
      <c r="B546" s="133" t="s">
        <v>1695</v>
      </c>
      <c r="C546" s="133" t="s">
        <v>1696</v>
      </c>
      <c r="D546" s="133" t="s">
        <v>957</v>
      </c>
      <c r="E546" s="133">
        <v>2027.0</v>
      </c>
      <c r="F546" s="228" t="s">
        <v>1968</v>
      </c>
      <c r="G546" s="200">
        <v>7.0</v>
      </c>
      <c r="H546" s="133"/>
    </row>
    <row r="547" ht="22.5" customHeight="1">
      <c r="A547" s="217">
        <v>45410.0</v>
      </c>
      <c r="B547" s="133" t="s">
        <v>1695</v>
      </c>
      <c r="C547" s="133" t="s">
        <v>1696</v>
      </c>
      <c r="D547" s="133" t="s">
        <v>957</v>
      </c>
      <c r="E547" s="133">
        <v>2027.0</v>
      </c>
      <c r="F547" s="228" t="s">
        <v>1969</v>
      </c>
      <c r="G547" s="200">
        <v>15.0</v>
      </c>
      <c r="H547" s="133"/>
    </row>
    <row r="548" ht="22.5" customHeight="1">
      <c r="A548" s="217">
        <v>45411.0</v>
      </c>
      <c r="B548" s="133" t="s">
        <v>1970</v>
      </c>
      <c r="C548" s="133" t="s">
        <v>1971</v>
      </c>
      <c r="D548" s="133" t="s">
        <v>1091</v>
      </c>
      <c r="E548" s="133">
        <v>2025.0</v>
      </c>
      <c r="F548" s="227" t="s">
        <v>1321</v>
      </c>
      <c r="G548" s="200">
        <v>1.0</v>
      </c>
      <c r="H548" s="133"/>
    </row>
    <row r="549" ht="22.5" customHeight="1">
      <c r="A549" s="217">
        <v>45417.0</v>
      </c>
      <c r="B549" s="133" t="s">
        <v>655</v>
      </c>
      <c r="C549" s="133" t="s">
        <v>656</v>
      </c>
      <c r="D549" s="133" t="s">
        <v>970</v>
      </c>
      <c r="E549" s="133">
        <v>2027.0</v>
      </c>
      <c r="F549" s="228" t="s">
        <v>1972</v>
      </c>
      <c r="G549" s="200">
        <v>1.0</v>
      </c>
      <c r="H549" s="133"/>
    </row>
    <row r="550" ht="22.5" customHeight="1">
      <c r="A550" s="217">
        <v>45417.0</v>
      </c>
      <c r="B550" s="133" t="s">
        <v>574</v>
      </c>
      <c r="C550" s="133" t="s">
        <v>575</v>
      </c>
      <c r="D550" s="133" t="s">
        <v>970</v>
      </c>
      <c r="E550" s="133">
        <v>2027.0</v>
      </c>
      <c r="F550" s="228" t="s">
        <v>1973</v>
      </c>
      <c r="G550" s="200">
        <v>2.0</v>
      </c>
      <c r="H550" s="133"/>
    </row>
    <row r="551" ht="22.5" customHeight="1">
      <c r="A551" s="217">
        <v>45417.0</v>
      </c>
      <c r="B551" s="133" t="s">
        <v>1974</v>
      </c>
      <c r="C551" s="133" t="s">
        <v>878</v>
      </c>
      <c r="D551" s="133" t="s">
        <v>961</v>
      </c>
      <c r="E551" s="133">
        <v>2027.0</v>
      </c>
      <c r="F551" s="199" t="s">
        <v>1975</v>
      </c>
      <c r="G551" s="200">
        <v>4.0</v>
      </c>
      <c r="H551" s="133"/>
    </row>
    <row r="552" ht="22.5" customHeight="1">
      <c r="A552" s="210">
        <v>45424.0</v>
      </c>
      <c r="B552" s="133" t="s">
        <v>647</v>
      </c>
      <c r="C552" s="133" t="s">
        <v>648</v>
      </c>
      <c r="D552" s="133" t="s">
        <v>961</v>
      </c>
      <c r="E552" s="133">
        <v>2027.0</v>
      </c>
      <c r="F552" s="199" t="s">
        <v>1976</v>
      </c>
      <c r="G552" s="200">
        <v>15.0</v>
      </c>
      <c r="H552" s="133"/>
    </row>
    <row r="553" ht="22.5" customHeight="1">
      <c r="A553" s="217">
        <v>45442.0</v>
      </c>
      <c r="B553" s="133" t="s">
        <v>1977</v>
      </c>
      <c r="C553" s="133" t="s">
        <v>1978</v>
      </c>
      <c r="D553" s="133" t="s">
        <v>965</v>
      </c>
      <c r="E553" s="133">
        <v>2026.0</v>
      </c>
      <c r="F553" s="199" t="s">
        <v>1979</v>
      </c>
      <c r="G553" s="200">
        <v>28.0</v>
      </c>
      <c r="H553" s="133"/>
    </row>
    <row r="554" ht="22.5" customHeight="1">
      <c r="A554" s="217">
        <v>45442.0</v>
      </c>
      <c r="B554" s="133" t="s">
        <v>1608</v>
      </c>
      <c r="C554" s="133" t="s">
        <v>1609</v>
      </c>
      <c r="D554" s="133" t="s">
        <v>965</v>
      </c>
      <c r="E554" s="133">
        <v>2026.0</v>
      </c>
      <c r="F554" s="199" t="s">
        <v>1980</v>
      </c>
      <c r="G554" s="200">
        <v>17.0</v>
      </c>
      <c r="H554" s="133"/>
    </row>
    <row r="555" ht="22.5" customHeight="1">
      <c r="A555" s="217">
        <v>45442.0</v>
      </c>
      <c r="B555" s="128" t="s">
        <v>661</v>
      </c>
      <c r="C555" s="128" t="s">
        <v>662</v>
      </c>
      <c r="D555" s="133" t="s">
        <v>965</v>
      </c>
      <c r="E555" s="133">
        <v>2026.0</v>
      </c>
      <c r="F555" s="199" t="s">
        <v>1981</v>
      </c>
      <c r="G555" s="200">
        <v>49.0</v>
      </c>
      <c r="H555" s="133"/>
    </row>
    <row r="556" ht="22.5" customHeight="1">
      <c r="A556" s="217">
        <v>45442.0</v>
      </c>
      <c r="B556" s="133" t="s">
        <v>1982</v>
      </c>
      <c r="C556" s="133" t="s">
        <v>1983</v>
      </c>
      <c r="D556" s="133" t="s">
        <v>965</v>
      </c>
      <c r="E556" s="133">
        <v>2027.0</v>
      </c>
      <c r="F556" s="199" t="s">
        <v>1984</v>
      </c>
      <c r="G556" s="200">
        <v>13.0</v>
      </c>
      <c r="H556" s="133"/>
    </row>
    <row r="557" ht="22.5" customHeight="1">
      <c r="A557" s="217">
        <v>45449.0</v>
      </c>
      <c r="B557" s="133" t="s">
        <v>1985</v>
      </c>
      <c r="C557" s="133" t="s">
        <v>1515</v>
      </c>
      <c r="D557" s="133" t="s">
        <v>965</v>
      </c>
      <c r="E557" s="133">
        <v>2024.0</v>
      </c>
      <c r="F557" s="199" t="s">
        <v>1986</v>
      </c>
      <c r="G557" s="200">
        <v>38.0</v>
      </c>
      <c r="H557" s="133"/>
    </row>
    <row r="558" ht="22.5" customHeight="1">
      <c r="A558" s="217">
        <v>45449.0</v>
      </c>
      <c r="B558" s="133" t="s">
        <v>1987</v>
      </c>
      <c r="C558" s="133" t="s">
        <v>1988</v>
      </c>
      <c r="D558" s="133" t="s">
        <v>965</v>
      </c>
      <c r="E558" s="133">
        <v>2024.0</v>
      </c>
      <c r="F558" s="199" t="s">
        <v>1989</v>
      </c>
      <c r="G558" s="200">
        <v>80.0</v>
      </c>
      <c r="H558" s="133"/>
    </row>
    <row r="559" ht="22.5" customHeight="1">
      <c r="A559" s="210"/>
      <c r="B559" s="133"/>
      <c r="C559" s="133"/>
      <c r="D559" s="133"/>
      <c r="E559" s="133"/>
      <c r="F559" s="227"/>
      <c r="G559" s="200"/>
      <c r="H559" s="133"/>
    </row>
    <row r="560" ht="22.5" customHeight="1">
      <c r="A560" s="210"/>
      <c r="B560" s="133"/>
      <c r="C560" s="133"/>
      <c r="D560" s="133"/>
      <c r="E560" s="133"/>
      <c r="F560" s="227"/>
      <c r="G560" s="200"/>
      <c r="H560" s="133"/>
    </row>
    <row r="561" ht="22.5" customHeight="1">
      <c r="A561" s="210"/>
      <c r="B561" s="133"/>
      <c r="C561" s="133"/>
      <c r="D561" s="133"/>
      <c r="E561" s="133"/>
      <c r="F561" s="227"/>
      <c r="G561" s="200"/>
      <c r="H561" s="133"/>
    </row>
    <row r="562" ht="22.5" customHeight="1">
      <c r="A562" s="210"/>
      <c r="B562" s="133"/>
      <c r="C562" s="133"/>
      <c r="D562" s="133"/>
      <c r="E562" s="133"/>
      <c r="F562" s="227"/>
      <c r="G562" s="200"/>
      <c r="H562" s="133"/>
    </row>
    <row r="563" ht="22.5" customHeight="1">
      <c r="A563" s="210"/>
      <c r="B563" s="133"/>
      <c r="C563" s="133"/>
      <c r="D563" s="133"/>
      <c r="E563" s="133"/>
      <c r="F563" s="227"/>
      <c r="G563" s="200"/>
      <c r="H563" s="133"/>
    </row>
    <row r="564" ht="22.5" customHeight="1">
      <c r="A564" s="210"/>
      <c r="B564" s="133"/>
      <c r="C564" s="133"/>
      <c r="D564" s="133"/>
      <c r="E564" s="133"/>
      <c r="F564" s="227"/>
      <c r="G564" s="200"/>
      <c r="H564" s="133"/>
    </row>
    <row r="565" ht="22.5" customHeight="1">
      <c r="A565" s="210"/>
      <c r="B565" s="133"/>
      <c r="C565" s="133"/>
      <c r="D565" s="133"/>
      <c r="E565" s="133"/>
      <c r="F565" s="227"/>
      <c r="G565" s="200"/>
      <c r="H565" s="133"/>
    </row>
    <row r="566" ht="22.5" customHeight="1">
      <c r="A566" s="210"/>
      <c r="B566" s="133"/>
      <c r="C566" s="133"/>
      <c r="D566" s="133"/>
      <c r="E566" s="133"/>
      <c r="F566" s="227"/>
      <c r="G566" s="200"/>
      <c r="H566" s="133"/>
    </row>
    <row r="567" ht="22.5" customHeight="1">
      <c r="A567" s="210"/>
      <c r="B567" s="133"/>
      <c r="C567" s="133"/>
      <c r="D567" s="133"/>
      <c r="E567" s="133"/>
      <c r="F567" s="227"/>
      <c r="G567" s="200"/>
      <c r="H567" s="133"/>
    </row>
    <row r="568" ht="22.5" customHeight="1">
      <c r="A568" s="210"/>
      <c r="B568" s="133"/>
      <c r="C568" s="133"/>
      <c r="D568" s="133"/>
      <c r="E568" s="133"/>
      <c r="F568" s="227"/>
      <c r="G568" s="200"/>
      <c r="H568" s="133"/>
    </row>
    <row r="569" ht="22.5" customHeight="1">
      <c r="A569" s="210"/>
      <c r="B569" s="133"/>
      <c r="C569" s="133"/>
      <c r="D569" s="133"/>
      <c r="E569" s="133"/>
      <c r="F569" s="227"/>
      <c r="G569" s="200"/>
      <c r="H569" s="133"/>
    </row>
    <row r="570" ht="22.5" customHeight="1">
      <c r="A570" s="210"/>
      <c r="B570" s="133"/>
      <c r="C570" s="133"/>
      <c r="D570" s="133"/>
      <c r="E570" s="133"/>
      <c r="F570" s="227"/>
      <c r="G570" s="200"/>
      <c r="H570" s="133"/>
    </row>
    <row r="571" ht="22.5" customHeight="1">
      <c r="A571" s="210"/>
      <c r="B571" s="133"/>
      <c r="C571" s="133"/>
      <c r="D571" s="133"/>
      <c r="E571" s="133"/>
      <c r="F571" s="227"/>
      <c r="G571" s="200"/>
      <c r="H571" s="133"/>
    </row>
    <row r="572" ht="22.5" customHeight="1">
      <c r="A572" s="210"/>
      <c r="B572" s="133"/>
      <c r="C572" s="133"/>
      <c r="D572" s="133"/>
      <c r="E572" s="133"/>
      <c r="F572" s="227"/>
      <c r="G572" s="200"/>
      <c r="H572" s="133"/>
    </row>
    <row r="573" ht="22.5" customHeight="1">
      <c r="A573" s="210"/>
      <c r="B573" s="133"/>
      <c r="C573" s="133"/>
      <c r="D573" s="133"/>
      <c r="E573" s="133"/>
      <c r="F573" s="227"/>
      <c r="G573" s="200"/>
      <c r="H573" s="133"/>
    </row>
    <row r="574" ht="22.5" customHeight="1">
      <c r="A574" s="210"/>
      <c r="B574" s="133"/>
      <c r="C574" s="133"/>
      <c r="D574" s="133"/>
      <c r="E574" s="133"/>
      <c r="F574" s="227"/>
      <c r="G574" s="200" t="s">
        <v>1990</v>
      </c>
      <c r="H574" s="133">
        <f>SUM(G2:G573)</f>
        <v>5841</v>
      </c>
    </row>
  </sheetData>
  <conditionalFormatting sqref="G2:G356 G442:G575">
    <cfRule type="cellIs" dxfId="5" priority="1" operator="equal">
      <formula>0</formula>
    </cfRule>
  </conditionalFormatting>
  <dataValidations>
    <dataValidation type="list" allowBlank="1" sqref="E2:E574">
      <formula1>"2021,2022,2023,2024,2025,2026,2027,2028,Staff,Faculty"</formula1>
    </dataValidation>
    <dataValidation type="list" allowBlank="1" sqref="D2:D218 D220:D240 D242:D247 D249:D261 D263:D272 D274:D574">
      <formula1>"HCA,Kim/Tritton,Barclay,Gummere,Lloyd,Leeds,North Dorms,Staff/Faculty Office,Off Campus,Q House,Cadbury,Yarnall,Drinker,LCC (Latinx),Railroad,Ira Reid,Club,Bryn Mawr,BCC (Black Cultural Center)"</formula1>
    </dataValidation>
    <dataValidation type="custom" allowBlank="1" showDropDown="1" sqref="A2:A423 A426:A574">
      <formula1>OR(NOT(ISERROR(DATEVALUE(A2))), AND(ISNUMBER(A2), LEFT(CELL("format", A2))="D"))</formula1>
    </dataValidation>
    <dataValidation type="list" allowBlank="1" sqref="D219 D241 D248 D262 D273">
      <formula1>"HCA,Kim/Tritton,Barclay,Gummere,Lloyd,Leeds,North Dorms,Staff/Faculty Office"</formula1>
    </dataValidation>
    <dataValidation type="custom" allowBlank="1" showDropDown="1" showErrorMessage="1" sqref="A424:A425">
      <formula1>OR(NOT(ISERROR(DATEVALUE(A424))), AND(ISNUMBER(A424), LEFT(CELL("format", A424))="D"))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34.0"/>
    <col customWidth="1" min="3" max="3" width="25.0"/>
    <col customWidth="1" min="4" max="4" width="21.13"/>
    <col customWidth="1" min="5" max="5" width="13.75"/>
    <col customWidth="1" min="6" max="6" width="13.0"/>
    <col customWidth="1" min="7" max="9" width="9.88"/>
    <col customWidth="1" min="10" max="10" width="12.25"/>
  </cols>
  <sheetData>
    <row r="1" ht="35.25" customHeight="1">
      <c r="A1" s="196" t="s">
        <v>7</v>
      </c>
      <c r="B1" s="196" t="s">
        <v>1991</v>
      </c>
      <c r="C1" s="196" t="s">
        <v>500</v>
      </c>
      <c r="D1" s="196" t="s">
        <v>953</v>
      </c>
      <c r="E1" s="197" t="s">
        <v>954</v>
      </c>
      <c r="F1" s="198" t="s">
        <v>1992</v>
      </c>
      <c r="G1" s="198" t="s">
        <v>1993</v>
      </c>
      <c r="H1" s="198" t="s">
        <v>1321</v>
      </c>
      <c r="I1" s="198" t="s">
        <v>1994</v>
      </c>
      <c r="J1" s="198" t="s">
        <v>1995</v>
      </c>
    </row>
    <row r="2" ht="22.5" customHeight="1">
      <c r="A2" s="229"/>
      <c r="B2" s="230" t="s">
        <v>1996</v>
      </c>
      <c r="C2" s="230"/>
      <c r="D2" s="230"/>
      <c r="E2" s="231"/>
      <c r="F2" s="232" t="b">
        <v>0</v>
      </c>
      <c r="G2" s="232" t="b">
        <v>0</v>
      </c>
      <c r="H2" s="232" t="b">
        <v>0</v>
      </c>
      <c r="I2" s="232" t="b">
        <v>1</v>
      </c>
      <c r="J2" s="233"/>
    </row>
    <row r="3" ht="22.5" customHeight="1">
      <c r="A3" s="234"/>
      <c r="B3" s="235" t="s">
        <v>565</v>
      </c>
      <c r="C3" s="235" t="s">
        <v>566</v>
      </c>
      <c r="D3" s="236" t="s">
        <v>957</v>
      </c>
      <c r="E3" s="237">
        <v>2026.0</v>
      </c>
      <c r="F3" s="238" t="b">
        <v>0</v>
      </c>
      <c r="G3" s="238" t="b">
        <v>0</v>
      </c>
      <c r="H3" s="238" t="b">
        <v>1</v>
      </c>
      <c r="I3" s="238" t="b">
        <v>0</v>
      </c>
      <c r="J3" s="239"/>
    </row>
    <row r="4" ht="22.5" customHeight="1">
      <c r="A4" s="229"/>
      <c r="B4" s="240" t="s">
        <v>1997</v>
      </c>
      <c r="C4" s="240" t="s">
        <v>539</v>
      </c>
      <c r="D4" s="230" t="s">
        <v>957</v>
      </c>
      <c r="E4" s="231">
        <v>2027.0</v>
      </c>
      <c r="F4" s="232" t="b">
        <v>0</v>
      </c>
      <c r="G4" s="232" t="b">
        <v>0</v>
      </c>
      <c r="H4" s="232" t="b">
        <v>0</v>
      </c>
      <c r="I4" s="232" t="b">
        <v>1</v>
      </c>
      <c r="J4" s="233"/>
    </row>
    <row r="5" ht="22.5" customHeight="1">
      <c r="A5" s="229"/>
      <c r="B5" s="241" t="s">
        <v>559</v>
      </c>
      <c r="C5" s="241" t="s">
        <v>560</v>
      </c>
      <c r="D5" s="230" t="s">
        <v>961</v>
      </c>
      <c r="E5" s="231">
        <v>2027.0</v>
      </c>
      <c r="F5" s="232" t="b">
        <v>0</v>
      </c>
      <c r="G5" s="232" t="b">
        <v>0</v>
      </c>
      <c r="H5" s="232" t="b">
        <v>0</v>
      </c>
      <c r="I5" s="232" t="b">
        <v>1</v>
      </c>
      <c r="J5" s="233"/>
    </row>
    <row r="6" ht="22.5" customHeight="1">
      <c r="A6" s="242"/>
      <c r="B6" s="243" t="s">
        <v>930</v>
      </c>
      <c r="C6" s="244"/>
      <c r="D6" s="244"/>
      <c r="E6" s="245"/>
      <c r="F6" s="246" t="b">
        <v>0</v>
      </c>
      <c r="G6" s="246" t="b">
        <v>0</v>
      </c>
      <c r="H6" s="246" t="b">
        <v>1</v>
      </c>
      <c r="I6" s="246" t="b">
        <v>0</v>
      </c>
      <c r="J6" s="247"/>
    </row>
    <row r="7" ht="22.5" customHeight="1">
      <c r="A7" s="229"/>
      <c r="B7" s="241" t="s">
        <v>1051</v>
      </c>
      <c r="C7" s="248"/>
      <c r="D7" s="230"/>
      <c r="E7" s="231"/>
      <c r="F7" s="232" t="b">
        <v>0</v>
      </c>
      <c r="G7" s="232" t="b">
        <v>0</v>
      </c>
      <c r="H7" s="232" t="b">
        <v>0</v>
      </c>
      <c r="I7" s="232" t="b">
        <v>1</v>
      </c>
      <c r="J7" s="233"/>
    </row>
    <row r="8" ht="22.5" customHeight="1">
      <c r="A8" s="242"/>
      <c r="B8" s="244" t="s">
        <v>1322</v>
      </c>
      <c r="C8" s="244" t="s">
        <v>1323</v>
      </c>
      <c r="D8" s="244" t="s">
        <v>957</v>
      </c>
      <c r="E8" s="245">
        <v>2027.0</v>
      </c>
      <c r="F8" s="246" t="b">
        <v>1</v>
      </c>
      <c r="G8" s="246" t="b">
        <v>0</v>
      </c>
      <c r="H8" s="246" t="b">
        <v>0</v>
      </c>
      <c r="I8" s="246" t="b">
        <v>0</v>
      </c>
      <c r="J8" s="247"/>
    </row>
    <row r="9" ht="22.5" customHeight="1">
      <c r="A9" s="234"/>
      <c r="B9" s="236" t="s">
        <v>715</v>
      </c>
      <c r="C9" s="236" t="s">
        <v>716</v>
      </c>
      <c r="D9" s="236" t="s">
        <v>961</v>
      </c>
      <c r="E9" s="237">
        <v>2027.0</v>
      </c>
      <c r="F9" s="238" t="b">
        <v>1</v>
      </c>
      <c r="G9" s="238" t="b">
        <v>0</v>
      </c>
      <c r="H9" s="238" t="b">
        <v>0</v>
      </c>
      <c r="I9" s="238" t="b">
        <v>0</v>
      </c>
      <c r="J9" s="239"/>
    </row>
    <row r="10" ht="22.5" customHeight="1">
      <c r="A10" s="242"/>
      <c r="B10" s="249" t="s">
        <v>1370</v>
      </c>
      <c r="C10" s="249" t="s">
        <v>1371</v>
      </c>
      <c r="D10" s="244" t="s">
        <v>961</v>
      </c>
      <c r="E10" s="245">
        <v>2027.0</v>
      </c>
      <c r="F10" s="246" t="b">
        <v>1</v>
      </c>
      <c r="G10" s="246" t="b">
        <v>0</v>
      </c>
      <c r="H10" s="246" t="b">
        <v>0</v>
      </c>
      <c r="I10" s="246" t="b">
        <v>0</v>
      </c>
      <c r="J10" s="247"/>
    </row>
    <row r="11" ht="22.5" customHeight="1">
      <c r="A11" s="250"/>
      <c r="B11" s="251" t="s">
        <v>1387</v>
      </c>
      <c r="C11" s="251" t="s">
        <v>1388</v>
      </c>
      <c r="D11" s="251" t="s">
        <v>965</v>
      </c>
      <c r="E11" s="252">
        <v>2026.0</v>
      </c>
      <c r="F11" s="253" t="b">
        <v>0</v>
      </c>
      <c r="G11" s="253" t="b">
        <v>0</v>
      </c>
      <c r="H11" s="253" t="b">
        <v>0</v>
      </c>
      <c r="I11" s="253" t="b">
        <v>0</v>
      </c>
      <c r="J11" s="254" t="s">
        <v>1998</v>
      </c>
    </row>
    <row r="12" ht="22.5" customHeight="1">
      <c r="A12" s="255"/>
      <c r="B12" s="256" t="s">
        <v>1999</v>
      </c>
      <c r="C12" s="256"/>
      <c r="D12" s="256"/>
      <c r="E12" s="257"/>
      <c r="F12" s="258" t="b">
        <v>1</v>
      </c>
      <c r="G12" s="258" t="b">
        <v>0</v>
      </c>
      <c r="H12" s="258" t="b">
        <v>0</v>
      </c>
      <c r="I12" s="258" t="b">
        <v>0</v>
      </c>
      <c r="J12" s="259"/>
    </row>
    <row r="13" ht="22.5" customHeight="1">
      <c r="A13" s="255"/>
      <c r="B13" s="256" t="s">
        <v>1576</v>
      </c>
      <c r="C13" s="256"/>
      <c r="D13" s="256" t="s">
        <v>1116</v>
      </c>
      <c r="E13" s="257">
        <v>2024.0</v>
      </c>
      <c r="F13" s="258" t="b">
        <v>1</v>
      </c>
      <c r="G13" s="258" t="b">
        <v>0</v>
      </c>
      <c r="H13" s="258" t="b">
        <v>0</v>
      </c>
      <c r="I13" s="258" t="b">
        <v>0</v>
      </c>
      <c r="J13" s="259"/>
    </row>
    <row r="14" ht="22.5" customHeight="1">
      <c r="A14" s="255"/>
      <c r="B14" s="256" t="s">
        <v>2000</v>
      </c>
      <c r="C14" s="256"/>
      <c r="D14" s="256"/>
      <c r="E14" s="257"/>
      <c r="F14" s="258" t="b">
        <v>1</v>
      </c>
      <c r="G14" s="258" t="b">
        <v>0</v>
      </c>
      <c r="H14" s="258" t="b">
        <v>0</v>
      </c>
      <c r="I14" s="258" t="b">
        <v>0</v>
      </c>
      <c r="J14" s="259"/>
    </row>
    <row r="15" ht="22.5" customHeight="1">
      <c r="A15" s="255"/>
      <c r="B15" s="256" t="s">
        <v>2001</v>
      </c>
      <c r="C15" s="256" t="s">
        <v>2002</v>
      </c>
      <c r="D15" s="256"/>
      <c r="E15" s="257"/>
      <c r="F15" s="258" t="b">
        <v>1</v>
      </c>
      <c r="G15" s="258" t="b">
        <v>0</v>
      </c>
      <c r="H15" s="258" t="b">
        <v>0</v>
      </c>
      <c r="I15" s="258" t="b">
        <v>0</v>
      </c>
      <c r="J15" s="259"/>
    </row>
    <row r="16" ht="22.5" customHeight="1">
      <c r="A16" s="255">
        <v>45181.0</v>
      </c>
      <c r="B16" s="256" t="s">
        <v>1292</v>
      </c>
      <c r="C16" s="256" t="s">
        <v>1293</v>
      </c>
      <c r="D16" s="256" t="s">
        <v>961</v>
      </c>
      <c r="E16" s="257">
        <v>2027.0</v>
      </c>
      <c r="F16" s="258" t="b">
        <v>1</v>
      </c>
      <c r="G16" s="258" t="b">
        <v>0</v>
      </c>
      <c r="H16" s="258" t="b">
        <v>0</v>
      </c>
      <c r="I16" s="258" t="b">
        <v>0</v>
      </c>
      <c r="J16" s="259"/>
    </row>
    <row r="17" ht="22.5" customHeight="1">
      <c r="A17" s="255"/>
      <c r="B17" s="260"/>
      <c r="C17" s="261"/>
      <c r="D17" s="256"/>
      <c r="E17" s="257"/>
      <c r="F17" s="258" t="b">
        <v>0</v>
      </c>
      <c r="G17" s="258" t="b">
        <v>0</v>
      </c>
      <c r="H17" s="258" t="b">
        <v>0</v>
      </c>
      <c r="I17" s="258" t="b">
        <v>0</v>
      </c>
      <c r="J17" s="259"/>
    </row>
    <row r="18" ht="22.5" customHeight="1">
      <c r="A18" s="255"/>
      <c r="B18" s="261"/>
      <c r="C18" s="261"/>
      <c r="D18" s="256"/>
      <c r="E18" s="257"/>
      <c r="F18" s="258" t="b">
        <v>0</v>
      </c>
      <c r="G18" s="258" t="b">
        <v>0</v>
      </c>
      <c r="H18" s="258" t="b">
        <v>0</v>
      </c>
      <c r="I18" s="258" t="b">
        <v>0</v>
      </c>
      <c r="J18" s="259"/>
    </row>
    <row r="19" ht="22.5" customHeight="1">
      <c r="A19" s="255"/>
      <c r="B19" s="261"/>
      <c r="C19" s="261"/>
      <c r="D19" s="256"/>
      <c r="E19" s="257"/>
      <c r="F19" s="258" t="b">
        <v>0</v>
      </c>
      <c r="G19" s="258" t="b">
        <v>0</v>
      </c>
      <c r="H19" s="258" t="b">
        <v>0</v>
      </c>
      <c r="I19" s="258" t="b">
        <v>0</v>
      </c>
      <c r="J19" s="259"/>
    </row>
    <row r="20" ht="22.5" customHeight="1">
      <c r="A20" s="255"/>
      <c r="B20" s="256"/>
      <c r="C20" s="256"/>
      <c r="D20" s="256"/>
      <c r="E20" s="257"/>
      <c r="F20" s="258" t="b">
        <v>0</v>
      </c>
      <c r="G20" s="258" t="b">
        <v>0</v>
      </c>
      <c r="H20" s="258" t="b">
        <v>0</v>
      </c>
      <c r="I20" s="258" t="b">
        <v>0</v>
      </c>
      <c r="J20" s="259"/>
    </row>
    <row r="21" ht="22.5" customHeight="1">
      <c r="A21" s="255"/>
      <c r="B21" s="256"/>
      <c r="C21" s="256"/>
      <c r="D21" s="256"/>
      <c r="E21" s="257"/>
      <c r="F21" s="258" t="b">
        <v>0</v>
      </c>
      <c r="G21" s="258" t="b">
        <v>0</v>
      </c>
      <c r="H21" s="258" t="b">
        <v>0</v>
      </c>
      <c r="I21" s="258" t="b">
        <v>0</v>
      </c>
      <c r="J21" s="259"/>
    </row>
    <row r="22" ht="22.5" customHeight="1">
      <c r="A22" s="255"/>
      <c r="B22" s="256"/>
      <c r="C22" s="256"/>
      <c r="D22" s="256"/>
      <c r="E22" s="257"/>
      <c r="F22" s="258" t="b">
        <v>0</v>
      </c>
      <c r="G22" s="258" t="b">
        <v>0</v>
      </c>
      <c r="H22" s="258" t="b">
        <v>0</v>
      </c>
      <c r="I22" s="258" t="b">
        <v>0</v>
      </c>
      <c r="J22" s="259"/>
    </row>
    <row r="23" ht="22.5" customHeight="1">
      <c r="A23" s="255"/>
      <c r="B23" s="260"/>
      <c r="C23" s="260"/>
      <c r="D23" s="256"/>
      <c r="E23" s="257"/>
      <c r="F23" s="258" t="b">
        <v>0</v>
      </c>
      <c r="G23" s="258" t="b">
        <v>0</v>
      </c>
      <c r="H23" s="258" t="b">
        <v>0</v>
      </c>
      <c r="I23" s="258" t="b">
        <v>0</v>
      </c>
      <c r="J23" s="259"/>
    </row>
    <row r="24" ht="22.5" customHeight="1">
      <c r="A24" s="255"/>
      <c r="B24" s="261"/>
      <c r="C24" s="261"/>
      <c r="D24" s="256"/>
      <c r="E24" s="257"/>
      <c r="F24" s="258" t="b">
        <v>0</v>
      </c>
      <c r="G24" s="258" t="b">
        <v>0</v>
      </c>
      <c r="H24" s="258" t="b">
        <v>0</v>
      </c>
      <c r="I24" s="258" t="b">
        <v>0</v>
      </c>
      <c r="J24" s="259"/>
    </row>
    <row r="25" ht="22.5" customHeight="1">
      <c r="A25" s="255"/>
      <c r="B25" s="261"/>
      <c r="C25" s="261"/>
      <c r="D25" s="256"/>
      <c r="E25" s="257"/>
      <c r="F25" s="258" t="b">
        <v>0</v>
      </c>
      <c r="G25" s="258" t="b">
        <v>0</v>
      </c>
      <c r="H25" s="258" t="b">
        <v>0</v>
      </c>
      <c r="I25" s="258" t="b">
        <v>0</v>
      </c>
      <c r="J25" s="259"/>
    </row>
    <row r="26" ht="22.5" customHeight="1">
      <c r="A26" s="255"/>
      <c r="B26" s="256"/>
      <c r="C26" s="256"/>
      <c r="D26" s="256"/>
      <c r="E26" s="257"/>
      <c r="F26" s="258" t="b">
        <v>0</v>
      </c>
      <c r="G26" s="258" t="b">
        <v>0</v>
      </c>
      <c r="H26" s="258" t="b">
        <v>0</v>
      </c>
      <c r="I26" s="258" t="b">
        <v>0</v>
      </c>
      <c r="J26" s="259"/>
    </row>
    <row r="27" ht="22.5" customHeight="1">
      <c r="A27" s="255"/>
      <c r="B27" s="255"/>
      <c r="C27" s="256"/>
      <c r="D27" s="256"/>
      <c r="E27" s="257"/>
      <c r="F27" s="258" t="b">
        <v>0</v>
      </c>
      <c r="G27" s="258" t="b">
        <v>0</v>
      </c>
      <c r="H27" s="258" t="b">
        <v>0</v>
      </c>
      <c r="I27" s="258" t="b">
        <v>0</v>
      </c>
      <c r="J27" s="259"/>
    </row>
    <row r="28" ht="22.5" customHeight="1">
      <c r="A28" s="255"/>
      <c r="B28" s="256"/>
      <c r="C28" s="256"/>
      <c r="D28" s="256"/>
      <c r="E28" s="257"/>
      <c r="F28" s="258" t="b">
        <v>0</v>
      </c>
      <c r="G28" s="258" t="b">
        <v>0</v>
      </c>
      <c r="H28" s="258" t="b">
        <v>0</v>
      </c>
      <c r="I28" s="258" t="b">
        <v>0</v>
      </c>
      <c r="J28" s="259"/>
    </row>
    <row r="29" ht="22.5" customHeight="1">
      <c r="A29" s="255"/>
      <c r="B29" s="256"/>
      <c r="C29" s="256"/>
      <c r="D29" s="256"/>
      <c r="E29" s="257"/>
      <c r="F29" s="258" t="b">
        <v>0</v>
      </c>
      <c r="G29" s="258" t="b">
        <v>0</v>
      </c>
      <c r="H29" s="258" t="b">
        <v>0</v>
      </c>
      <c r="I29" s="258" t="b">
        <v>0</v>
      </c>
      <c r="J29" s="259"/>
    </row>
    <row r="30" ht="22.5" customHeight="1">
      <c r="A30" s="255"/>
      <c r="B30" s="256"/>
      <c r="C30" s="256"/>
      <c r="D30" s="256"/>
      <c r="E30" s="257"/>
      <c r="F30" s="258" t="b">
        <v>0</v>
      </c>
      <c r="G30" s="258" t="b">
        <v>0</v>
      </c>
      <c r="H30" s="258" t="b">
        <v>0</v>
      </c>
      <c r="I30" s="258" t="b">
        <v>0</v>
      </c>
      <c r="J30" s="259"/>
    </row>
    <row r="31" ht="22.5" customHeight="1">
      <c r="A31" s="255"/>
      <c r="B31" s="256"/>
      <c r="C31" s="256"/>
      <c r="D31" s="256"/>
      <c r="E31" s="257"/>
      <c r="F31" s="258" t="b">
        <v>0</v>
      </c>
      <c r="G31" s="258" t="b">
        <v>0</v>
      </c>
      <c r="H31" s="258" t="b">
        <v>0</v>
      </c>
      <c r="I31" s="258" t="b">
        <v>0</v>
      </c>
      <c r="J31" s="259"/>
    </row>
    <row r="32" ht="22.5" customHeight="1">
      <c r="A32" s="255"/>
      <c r="B32" s="256"/>
      <c r="C32" s="256"/>
      <c r="D32" s="256"/>
      <c r="E32" s="257"/>
      <c r="F32" s="258" t="b">
        <v>0</v>
      </c>
      <c r="G32" s="258" t="b">
        <v>0</v>
      </c>
      <c r="H32" s="258" t="b">
        <v>0</v>
      </c>
      <c r="I32" s="258" t="b">
        <v>0</v>
      </c>
      <c r="J32" s="262"/>
    </row>
    <row r="33" ht="22.5" customHeight="1">
      <c r="A33" s="255"/>
      <c r="B33" s="256"/>
      <c r="C33" s="256"/>
      <c r="D33" s="256"/>
      <c r="E33" s="257"/>
      <c r="F33" s="258" t="b">
        <v>0</v>
      </c>
      <c r="G33" s="258" t="b">
        <v>0</v>
      </c>
      <c r="H33" s="258" t="b">
        <v>0</v>
      </c>
      <c r="I33" s="258" t="b">
        <v>0</v>
      </c>
      <c r="J33" s="262"/>
    </row>
    <row r="34" ht="22.5" customHeight="1">
      <c r="A34" s="255"/>
      <c r="B34" s="256"/>
      <c r="C34" s="256"/>
      <c r="D34" s="256"/>
      <c r="E34" s="257"/>
      <c r="F34" s="258" t="b">
        <v>0</v>
      </c>
      <c r="G34" s="258" t="b">
        <v>0</v>
      </c>
      <c r="H34" s="258" t="b">
        <v>0</v>
      </c>
      <c r="I34" s="258" t="b">
        <v>0</v>
      </c>
      <c r="J34" s="259"/>
    </row>
    <row r="35" ht="22.5" customHeight="1">
      <c r="A35" s="255"/>
      <c r="B35" s="263"/>
      <c r="C35" s="263"/>
      <c r="D35" s="263"/>
      <c r="E35" s="264"/>
      <c r="F35" s="258" t="b">
        <v>0</v>
      </c>
      <c r="G35" s="258" t="b">
        <v>0</v>
      </c>
      <c r="H35" s="258" t="b">
        <v>0</v>
      </c>
      <c r="I35" s="258" t="b">
        <v>0</v>
      </c>
      <c r="J35" s="259"/>
    </row>
    <row r="36" ht="22.5" customHeight="1">
      <c r="A36" s="255"/>
      <c r="B36" s="256"/>
      <c r="C36" s="256"/>
      <c r="D36" s="256"/>
      <c r="E36" s="257"/>
      <c r="F36" s="258" t="b">
        <v>0</v>
      </c>
      <c r="G36" s="258" t="b">
        <v>0</v>
      </c>
      <c r="H36" s="258" t="b">
        <v>0</v>
      </c>
      <c r="I36" s="258" t="b">
        <v>0</v>
      </c>
      <c r="J36" s="259"/>
    </row>
    <row r="37" ht="22.5" customHeight="1">
      <c r="A37" s="255"/>
      <c r="B37" s="256"/>
      <c r="C37" s="256"/>
      <c r="D37" s="256"/>
      <c r="E37" s="257"/>
      <c r="F37" s="258" t="b">
        <v>0</v>
      </c>
      <c r="G37" s="258" t="b">
        <v>0</v>
      </c>
      <c r="H37" s="258" t="b">
        <v>0</v>
      </c>
      <c r="I37" s="258" t="b">
        <v>0</v>
      </c>
      <c r="J37" s="259"/>
    </row>
    <row r="38" ht="22.5" customHeight="1">
      <c r="A38" s="255"/>
      <c r="B38" s="256"/>
      <c r="C38" s="256"/>
      <c r="D38" s="256"/>
      <c r="E38" s="257"/>
      <c r="F38" s="258" t="b">
        <v>0</v>
      </c>
      <c r="G38" s="265" t="b">
        <v>0</v>
      </c>
      <c r="H38" s="265" t="b">
        <v>0</v>
      </c>
      <c r="I38" s="265" t="b">
        <v>0</v>
      </c>
      <c r="J38" s="259"/>
    </row>
    <row r="39" ht="22.5" customHeight="1">
      <c r="A39" s="255"/>
      <c r="B39" s="256"/>
      <c r="C39" s="256"/>
      <c r="D39" s="256"/>
      <c r="E39" s="257"/>
      <c r="F39" s="258" t="b">
        <v>0</v>
      </c>
      <c r="G39" s="265" t="b">
        <v>0</v>
      </c>
      <c r="H39" s="265" t="b">
        <v>0</v>
      </c>
      <c r="I39" s="265" t="b">
        <v>0</v>
      </c>
      <c r="J39" s="259"/>
    </row>
    <row r="40" ht="22.5" customHeight="1">
      <c r="A40" s="255"/>
      <c r="B40" s="256"/>
      <c r="C40" s="256"/>
      <c r="D40" s="256"/>
      <c r="E40" s="257"/>
      <c r="F40" s="258" t="b">
        <v>0</v>
      </c>
      <c r="G40" s="265" t="b">
        <v>0</v>
      </c>
      <c r="H40" s="265" t="b">
        <v>0</v>
      </c>
      <c r="I40" s="265" t="b">
        <v>0</v>
      </c>
      <c r="J40" s="259"/>
    </row>
    <row r="41" ht="22.5" customHeight="1">
      <c r="A41" s="255"/>
      <c r="B41" s="256"/>
      <c r="C41" s="256"/>
      <c r="D41" s="256"/>
      <c r="E41" s="257"/>
      <c r="F41" s="258" t="b">
        <v>0</v>
      </c>
      <c r="G41" s="265" t="b">
        <v>0</v>
      </c>
      <c r="H41" s="265" t="b">
        <v>0</v>
      </c>
      <c r="I41" s="265" t="b">
        <v>0</v>
      </c>
      <c r="J41" s="259"/>
    </row>
    <row r="42" ht="22.5" customHeight="1">
      <c r="A42" s="266"/>
      <c r="B42" s="266"/>
      <c r="C42" s="266"/>
      <c r="D42" s="266"/>
      <c r="E42" s="267"/>
      <c r="F42" s="265">
        <f t="shared" ref="F42:I42" si="1">countif(F2:F43,true)</f>
        <v>8</v>
      </c>
      <c r="G42" s="265">
        <f t="shared" si="1"/>
        <v>0</v>
      </c>
      <c r="H42" s="265">
        <f t="shared" si="1"/>
        <v>2</v>
      </c>
      <c r="I42" s="265">
        <f t="shared" si="1"/>
        <v>4</v>
      </c>
      <c r="J42" s="262"/>
    </row>
  </sheetData>
  <dataValidations>
    <dataValidation type="list" allowBlank="1" sqref="E2:E42">
      <formula1>"2021,2022,2023,2024,2025,2026,2027,2028,Staff,Faculty"</formula1>
    </dataValidation>
    <dataValidation type="list" allowBlank="1" sqref="D35">
      <formula1>"HCA,Kim/Tritton,Barclay,Gummere,Lloyd,Leeds,North Dorms,Staff/Faculty Office,Off Campus,Q House,Cadbury,Yarnall,Drinker,LCC,Railroad,Ira Reid,Club,Bryn Mawr"</formula1>
    </dataValidation>
    <dataValidation type="custom" allowBlank="1" showDropDown="1" sqref="A2:A42">
      <formula1>OR(NOT(ISERROR(DATEVALUE(A2))), AND(ISNUMBER(A2), LEFT(CELL("format", A2))="D"))</formula1>
    </dataValidation>
    <dataValidation type="list" allowBlank="1" sqref="D2:D34 D36:D42">
      <formula1>"HCA,Kim/Tritton,Barclay,Gummere,Lloyd,Leeds,North Dorms,Staff/Faculty Office"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13"/>
    <col customWidth="1" min="2" max="2" width="15.5"/>
  </cols>
  <sheetData>
    <row r="1">
      <c r="A1" s="268" t="s">
        <v>2003</v>
      </c>
      <c r="B1" s="268" t="s">
        <v>2004</v>
      </c>
      <c r="C1" s="268" t="s">
        <v>2005</v>
      </c>
    </row>
    <row r="2" ht="22.5" customHeight="1">
      <c r="A2" s="269" t="s">
        <v>2006</v>
      </c>
      <c r="B2" s="270" t="s">
        <v>2007</v>
      </c>
      <c r="C2" s="271" t="str">
        <f t="shared" ref="C2:C15" si="1">IF(B2="","",LEFT(ADDRESS(1,MATCH(B2,INDIRECT("'"&amp;A2&amp;"'!$1:$1"),FALSE),4)))</f>
        <v>#N/A</v>
      </c>
    </row>
    <row r="3" ht="22.5" customHeight="1">
      <c r="A3" s="269" t="s">
        <v>2006</v>
      </c>
      <c r="B3" s="270" t="s">
        <v>2</v>
      </c>
      <c r="C3" s="271" t="str">
        <f t="shared" si="1"/>
        <v>D</v>
      </c>
    </row>
    <row r="4" ht="22.5" customHeight="1">
      <c r="A4" s="269" t="s">
        <v>2008</v>
      </c>
      <c r="B4" s="269" t="s">
        <v>0</v>
      </c>
      <c r="C4" s="271" t="str">
        <f t="shared" si="1"/>
        <v>A</v>
      </c>
    </row>
    <row r="5" ht="22.5" customHeight="1">
      <c r="A5" s="269" t="s">
        <v>2008</v>
      </c>
      <c r="B5" s="269" t="s">
        <v>2</v>
      </c>
      <c r="C5" s="271" t="str">
        <f t="shared" si="1"/>
        <v>D</v>
      </c>
    </row>
    <row r="6" ht="22.5" customHeight="1">
      <c r="A6" s="269" t="s">
        <v>2009</v>
      </c>
      <c r="B6" s="272" t="str">
        <f>'Current inventory list'!B1</f>
        <v>Item name</v>
      </c>
      <c r="C6" s="271" t="str">
        <f t="shared" si="1"/>
        <v>B</v>
      </c>
    </row>
    <row r="7" ht="22.5" customHeight="1">
      <c r="A7" s="269" t="s">
        <v>2009</v>
      </c>
      <c r="B7" s="270" t="str">
        <f>'Current inventory list'!D1</f>
        <v>Check-in total</v>
      </c>
      <c r="C7" s="271" t="str">
        <f t="shared" si="1"/>
        <v>D</v>
      </c>
    </row>
    <row r="8" ht="22.5" customHeight="1">
      <c r="A8" s="270"/>
      <c r="B8" s="270"/>
      <c r="C8" s="271" t="str">
        <f t="shared" si="1"/>
        <v/>
      </c>
    </row>
    <row r="9" ht="22.5" customHeight="1">
      <c r="A9" s="270"/>
      <c r="B9" s="270"/>
      <c r="C9" s="271" t="str">
        <f t="shared" si="1"/>
        <v/>
      </c>
    </row>
    <row r="10" ht="22.5" customHeight="1">
      <c r="A10" s="270"/>
      <c r="B10" s="270"/>
      <c r="C10" s="271" t="str">
        <f t="shared" si="1"/>
        <v/>
      </c>
    </row>
    <row r="11" ht="22.5" customHeight="1">
      <c r="A11" s="270"/>
      <c r="B11" s="270"/>
      <c r="C11" s="271" t="str">
        <f t="shared" si="1"/>
        <v/>
      </c>
    </row>
    <row r="12" ht="22.5" customHeight="1">
      <c r="A12" s="270"/>
      <c r="B12" s="270"/>
      <c r="C12" s="271" t="str">
        <f t="shared" si="1"/>
        <v/>
      </c>
    </row>
    <row r="13" ht="22.5" customHeight="1">
      <c r="A13" s="270"/>
      <c r="B13" s="270"/>
      <c r="C13" s="271" t="str">
        <f t="shared" si="1"/>
        <v/>
      </c>
    </row>
    <row r="14" ht="22.5" customHeight="1">
      <c r="A14" s="270"/>
      <c r="B14" s="270"/>
      <c r="C14" s="271" t="str">
        <f t="shared" si="1"/>
        <v/>
      </c>
    </row>
    <row r="15" ht="22.5" customHeight="1">
      <c r="A15" s="270"/>
      <c r="B15" s="270"/>
      <c r="C15" s="271" t="str">
        <f t="shared" si="1"/>
        <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sheetData>
    <row r="1">
      <c r="A1" s="273" t="str">
        <f>IFERROR(__xludf.DUMMYFUNCTION("QUERY('Check-out'!A:Z,""SELECT ""&amp;Parameters!C4&amp;"",SUM(""&amp;Parameters!C5&amp;"") WHERE ""&amp;Parameters!C5&amp;""&gt;0 GROUP BY ""&amp;Parameters!C4&amp;"" LABEL SUM(""&amp;Parameters!C5&amp;"") 'Total quantity'"")"),"Check-out date")</f>
        <v>Check-out date</v>
      </c>
      <c r="B1" s="274" t="str">
        <f>IFERROR(__xludf.DUMMYFUNCTION("""COMPUTED_VALUE"""),"Total quantity")</f>
        <v>Total quantity</v>
      </c>
      <c r="C1" s="275" t="str">
        <f t="array" ref="C1:C1001">IF(ROW(A1:A1001)=1,"Weekday",IF(A1:A1001="","",CHOOSE(WEEKDAY(A1:A1001,2),"Monday","Tuesday","Wednesday","Thursday","Friday","Saturday","Sunday")))</f>
        <v>Weekday</v>
      </c>
      <c r="D1" s="274" t="s">
        <v>2010</v>
      </c>
      <c r="E1" s="274" t="s">
        <v>2011</v>
      </c>
    </row>
    <row r="2">
      <c r="A2" s="276"/>
      <c r="B2" s="277">
        <f>IFERROR(__xludf.DUMMYFUNCTION("""COMPUTED_VALUE"""),1.0)</f>
        <v>1</v>
      </c>
      <c r="C2" s="278" t="s">
        <v>3</v>
      </c>
      <c r="D2" s="277" t="s">
        <v>2012</v>
      </c>
      <c r="E2" s="279" t="str">
        <f t="shared" ref="E2:E8" si="1">AVERAGEIF(C:C,D2,B:B)</f>
        <v>#DIV/0!</v>
      </c>
    </row>
    <row r="3">
      <c r="A3" s="277"/>
      <c r="B3" s="277"/>
      <c r="C3" s="278" t="s">
        <v>3</v>
      </c>
      <c r="D3" s="277" t="s">
        <v>2013</v>
      </c>
      <c r="E3" s="279" t="str">
        <f t="shared" si="1"/>
        <v>#DIV/0!</v>
      </c>
    </row>
    <row r="4">
      <c r="A4" s="277"/>
      <c r="B4" s="277"/>
      <c r="C4" s="278" t="s">
        <v>3</v>
      </c>
      <c r="D4" s="277" t="s">
        <v>2014</v>
      </c>
      <c r="E4" s="279" t="str">
        <f t="shared" si="1"/>
        <v>#DIV/0!</v>
      </c>
    </row>
    <row r="5">
      <c r="A5" s="277"/>
      <c r="B5" s="277"/>
      <c r="C5" s="278" t="s">
        <v>3</v>
      </c>
      <c r="D5" s="277" t="s">
        <v>2015</v>
      </c>
      <c r="E5" s="279" t="str">
        <f t="shared" si="1"/>
        <v>#DIV/0!</v>
      </c>
    </row>
    <row r="6">
      <c r="A6" s="277"/>
      <c r="B6" s="277"/>
      <c r="C6" s="278" t="s">
        <v>3</v>
      </c>
      <c r="D6" s="277" t="s">
        <v>2016</v>
      </c>
      <c r="E6" s="279" t="str">
        <f t="shared" si="1"/>
        <v>#DIV/0!</v>
      </c>
    </row>
    <row r="7">
      <c r="A7" s="277"/>
      <c r="B7" s="277"/>
      <c r="C7" s="278" t="s">
        <v>3</v>
      </c>
      <c r="D7" s="277" t="s">
        <v>2017</v>
      </c>
      <c r="E7" s="279" t="str">
        <f t="shared" si="1"/>
        <v>#DIV/0!</v>
      </c>
    </row>
    <row r="8">
      <c r="A8" s="277"/>
      <c r="B8" s="277"/>
      <c r="C8" s="278" t="s">
        <v>3</v>
      </c>
      <c r="D8" s="277" t="s">
        <v>2018</v>
      </c>
      <c r="E8" s="279" t="str">
        <f t="shared" si="1"/>
        <v>#DIV/0!</v>
      </c>
    </row>
    <row r="9">
      <c r="A9" s="277"/>
      <c r="B9" s="277"/>
      <c r="C9" s="278" t="s">
        <v>3</v>
      </c>
      <c r="D9" s="277"/>
      <c r="E9" s="277"/>
    </row>
    <row r="10">
      <c r="A10" s="277"/>
      <c r="B10" s="277"/>
      <c r="C10" s="278" t="s">
        <v>3</v>
      </c>
      <c r="D10" s="277"/>
      <c r="E10" s="277"/>
    </row>
    <row r="11">
      <c r="A11" s="277"/>
      <c r="B11" s="277"/>
      <c r="C11" s="278" t="s">
        <v>3</v>
      </c>
      <c r="D11" s="277"/>
      <c r="E11" s="277"/>
    </row>
    <row r="12">
      <c r="A12" s="277"/>
      <c r="B12" s="277"/>
      <c r="C12" s="278" t="s">
        <v>3</v>
      </c>
      <c r="D12" s="277"/>
      <c r="E12" s="277"/>
    </row>
    <row r="13">
      <c r="A13" s="277"/>
      <c r="B13" s="277"/>
      <c r="C13" s="278" t="s">
        <v>3</v>
      </c>
      <c r="D13" s="277"/>
      <c r="E13" s="277"/>
    </row>
    <row r="14">
      <c r="A14" s="277"/>
      <c r="B14" s="277"/>
      <c r="C14" s="278" t="s">
        <v>3</v>
      </c>
      <c r="D14" s="277"/>
      <c r="E14" s="277"/>
    </row>
    <row r="15">
      <c r="A15" s="277"/>
      <c r="B15" s="277"/>
      <c r="C15" s="278" t="s">
        <v>3</v>
      </c>
      <c r="D15" s="277"/>
      <c r="E15" s="277"/>
    </row>
    <row r="16">
      <c r="A16" s="277"/>
      <c r="B16" s="277"/>
      <c r="C16" s="278" t="s">
        <v>3</v>
      </c>
      <c r="D16" s="277"/>
      <c r="E16" s="277"/>
    </row>
    <row r="17">
      <c r="A17" s="277"/>
      <c r="B17" s="277"/>
      <c r="C17" s="278" t="s">
        <v>3</v>
      </c>
      <c r="D17" s="277"/>
      <c r="E17" s="277"/>
    </row>
    <row r="18">
      <c r="A18" s="277"/>
      <c r="B18" s="277"/>
      <c r="C18" s="278" t="s">
        <v>3</v>
      </c>
      <c r="D18" s="277"/>
      <c r="E18" s="277"/>
    </row>
    <row r="19">
      <c r="A19" s="277"/>
      <c r="B19" s="277"/>
      <c r="C19" s="278" t="s">
        <v>3</v>
      </c>
      <c r="D19" s="277"/>
      <c r="E19" s="277"/>
    </row>
    <row r="20">
      <c r="A20" s="277"/>
      <c r="B20" s="277"/>
      <c r="C20" s="278" t="s">
        <v>3</v>
      </c>
      <c r="D20" s="277"/>
      <c r="E20" s="277"/>
    </row>
    <row r="21">
      <c r="A21" s="277"/>
      <c r="B21" s="277"/>
      <c r="C21" s="278" t="s">
        <v>3</v>
      </c>
      <c r="D21" s="277"/>
      <c r="E21" s="277"/>
    </row>
    <row r="22">
      <c r="A22" s="277"/>
      <c r="B22" s="277"/>
      <c r="C22" s="278" t="s">
        <v>3</v>
      </c>
      <c r="D22" s="277"/>
      <c r="E22" s="277"/>
    </row>
    <row r="23">
      <c r="A23" s="277"/>
      <c r="B23" s="277"/>
      <c r="C23" s="278" t="s">
        <v>3</v>
      </c>
      <c r="D23" s="277"/>
      <c r="E23" s="277"/>
    </row>
    <row r="24">
      <c r="A24" s="277"/>
      <c r="B24" s="277"/>
      <c r="C24" s="278" t="s">
        <v>3</v>
      </c>
      <c r="D24" s="277"/>
      <c r="E24" s="277"/>
    </row>
    <row r="25">
      <c r="A25" s="277"/>
      <c r="B25" s="277"/>
      <c r="C25" s="278" t="s">
        <v>3</v>
      </c>
      <c r="D25" s="277"/>
      <c r="E25" s="277"/>
    </row>
    <row r="26">
      <c r="A26" s="277"/>
      <c r="B26" s="277"/>
      <c r="C26" s="278" t="s">
        <v>3</v>
      </c>
      <c r="D26" s="277"/>
      <c r="E26" s="277"/>
    </row>
    <row r="27">
      <c r="A27" s="277"/>
      <c r="B27" s="277"/>
      <c r="C27" s="278" t="s">
        <v>3</v>
      </c>
      <c r="D27" s="277"/>
      <c r="E27" s="277"/>
    </row>
    <row r="28">
      <c r="A28" s="277"/>
      <c r="B28" s="277"/>
      <c r="C28" s="278" t="s">
        <v>3</v>
      </c>
      <c r="D28" s="277"/>
      <c r="E28" s="277"/>
    </row>
    <row r="29">
      <c r="A29" s="277"/>
      <c r="B29" s="277"/>
      <c r="C29" s="278" t="s">
        <v>3</v>
      </c>
      <c r="D29" s="277"/>
      <c r="E29" s="277"/>
    </row>
    <row r="30">
      <c r="A30" s="277"/>
      <c r="B30" s="277"/>
      <c r="C30" s="278" t="s">
        <v>3</v>
      </c>
      <c r="D30" s="277"/>
      <c r="E30" s="277"/>
    </row>
    <row r="31">
      <c r="A31" s="277"/>
      <c r="B31" s="277"/>
      <c r="C31" s="278" t="s">
        <v>3</v>
      </c>
      <c r="D31" s="277"/>
      <c r="E31" s="277"/>
    </row>
    <row r="32">
      <c r="A32" s="277"/>
      <c r="B32" s="277"/>
      <c r="C32" s="278" t="s">
        <v>3</v>
      </c>
      <c r="D32" s="277"/>
      <c r="E32" s="277"/>
    </row>
    <row r="33">
      <c r="A33" s="277"/>
      <c r="B33" s="277"/>
      <c r="C33" s="278" t="s">
        <v>3</v>
      </c>
      <c r="D33" s="277"/>
      <c r="E33" s="277"/>
    </row>
    <row r="34">
      <c r="A34" s="277"/>
      <c r="B34" s="277"/>
      <c r="C34" s="278" t="s">
        <v>3</v>
      </c>
      <c r="D34" s="277"/>
      <c r="E34" s="277"/>
    </row>
    <row r="35">
      <c r="A35" s="277"/>
      <c r="B35" s="277"/>
      <c r="C35" s="278" t="s">
        <v>3</v>
      </c>
      <c r="D35" s="277"/>
      <c r="E35" s="277"/>
    </row>
    <row r="36">
      <c r="A36" s="277"/>
      <c r="B36" s="277"/>
      <c r="C36" s="278" t="s">
        <v>3</v>
      </c>
      <c r="D36" s="277"/>
      <c r="E36" s="277"/>
    </row>
    <row r="37">
      <c r="A37" s="277"/>
      <c r="B37" s="277"/>
      <c r="C37" s="278" t="s">
        <v>3</v>
      </c>
      <c r="D37" s="277"/>
      <c r="E37" s="277"/>
    </row>
    <row r="38">
      <c r="A38" s="277"/>
      <c r="B38" s="277"/>
      <c r="C38" s="278" t="s">
        <v>3</v>
      </c>
      <c r="D38" s="277"/>
      <c r="E38" s="277"/>
    </row>
    <row r="39">
      <c r="A39" s="277"/>
      <c r="B39" s="277"/>
      <c r="C39" s="278" t="s">
        <v>3</v>
      </c>
      <c r="D39" s="277"/>
      <c r="E39" s="277"/>
    </row>
    <row r="40">
      <c r="A40" s="277"/>
      <c r="B40" s="277"/>
      <c r="C40" s="278" t="s">
        <v>3</v>
      </c>
      <c r="D40" s="277"/>
      <c r="E40" s="277"/>
    </row>
    <row r="41">
      <c r="A41" s="277"/>
      <c r="B41" s="277"/>
      <c r="C41" s="278" t="s">
        <v>3</v>
      </c>
      <c r="D41" s="277"/>
      <c r="E41" s="277"/>
    </row>
    <row r="42">
      <c r="A42" s="277"/>
      <c r="B42" s="277"/>
      <c r="C42" s="278" t="s">
        <v>3</v>
      </c>
      <c r="D42" s="277"/>
      <c r="E42" s="277"/>
    </row>
    <row r="43">
      <c r="A43" s="277"/>
      <c r="B43" s="277"/>
      <c r="C43" s="278" t="s">
        <v>3</v>
      </c>
      <c r="D43" s="277"/>
      <c r="E43" s="277"/>
    </row>
    <row r="44">
      <c r="A44" s="277"/>
      <c r="B44" s="277"/>
      <c r="C44" s="278" t="s">
        <v>3</v>
      </c>
      <c r="D44" s="277"/>
      <c r="E44" s="277"/>
    </row>
    <row r="45">
      <c r="A45" s="277"/>
      <c r="B45" s="277"/>
      <c r="C45" s="278" t="s">
        <v>3</v>
      </c>
      <c r="D45" s="277"/>
      <c r="E45" s="277"/>
    </row>
    <row r="46">
      <c r="A46" s="277"/>
      <c r="B46" s="277"/>
      <c r="C46" s="278" t="s">
        <v>3</v>
      </c>
      <c r="D46" s="277"/>
      <c r="E46" s="277"/>
    </row>
    <row r="47">
      <c r="A47" s="277"/>
      <c r="B47" s="277"/>
      <c r="C47" s="278" t="s">
        <v>3</v>
      </c>
      <c r="D47" s="277"/>
      <c r="E47" s="277"/>
    </row>
    <row r="48">
      <c r="A48" s="277"/>
      <c r="B48" s="277"/>
      <c r="C48" s="278" t="s">
        <v>3</v>
      </c>
      <c r="D48" s="277"/>
      <c r="E48" s="277"/>
    </row>
    <row r="49">
      <c r="A49" s="277"/>
      <c r="B49" s="277"/>
      <c r="C49" s="278" t="s">
        <v>3</v>
      </c>
      <c r="D49" s="277"/>
      <c r="E49" s="277"/>
    </row>
    <row r="50">
      <c r="A50" s="277"/>
      <c r="B50" s="277"/>
      <c r="C50" s="278" t="s">
        <v>3</v>
      </c>
      <c r="D50" s="277"/>
      <c r="E50" s="277"/>
    </row>
    <row r="51">
      <c r="A51" s="277"/>
      <c r="B51" s="277"/>
      <c r="C51" s="278" t="s">
        <v>3</v>
      </c>
      <c r="D51" s="277"/>
      <c r="E51" s="277"/>
    </row>
    <row r="52">
      <c r="A52" s="277"/>
      <c r="B52" s="277"/>
      <c r="C52" s="278" t="s">
        <v>3</v>
      </c>
      <c r="D52" s="277"/>
      <c r="E52" s="277"/>
    </row>
    <row r="53">
      <c r="A53" s="277"/>
      <c r="B53" s="277"/>
      <c r="C53" s="278" t="s">
        <v>3</v>
      </c>
      <c r="D53" s="277"/>
      <c r="E53" s="277"/>
    </row>
    <row r="54">
      <c r="A54" s="277"/>
      <c r="B54" s="277"/>
      <c r="C54" s="278" t="s">
        <v>3</v>
      </c>
      <c r="D54" s="277"/>
      <c r="E54" s="277"/>
    </row>
    <row r="55">
      <c r="A55" s="277"/>
      <c r="B55" s="277"/>
      <c r="C55" s="278" t="s">
        <v>3</v>
      </c>
      <c r="D55" s="277"/>
      <c r="E55" s="277"/>
    </row>
    <row r="56">
      <c r="A56" s="277"/>
      <c r="B56" s="277"/>
      <c r="C56" s="278" t="s">
        <v>3</v>
      </c>
      <c r="D56" s="277"/>
      <c r="E56" s="277"/>
    </row>
    <row r="57">
      <c r="A57" s="277"/>
      <c r="B57" s="277"/>
      <c r="C57" s="278" t="s">
        <v>3</v>
      </c>
      <c r="D57" s="277"/>
      <c r="E57" s="277"/>
    </row>
    <row r="58">
      <c r="A58" s="277"/>
      <c r="B58" s="277"/>
      <c r="C58" s="278" t="s">
        <v>3</v>
      </c>
      <c r="D58" s="277"/>
      <c r="E58" s="277"/>
    </row>
    <row r="59">
      <c r="A59" s="277"/>
      <c r="B59" s="277"/>
      <c r="C59" s="278" t="s">
        <v>3</v>
      </c>
      <c r="D59" s="277"/>
      <c r="E59" s="277"/>
    </row>
    <row r="60">
      <c r="A60" s="277"/>
      <c r="B60" s="277"/>
      <c r="C60" s="278" t="s">
        <v>3</v>
      </c>
      <c r="D60" s="277"/>
      <c r="E60" s="277"/>
    </row>
    <row r="61">
      <c r="A61" s="277"/>
      <c r="B61" s="277"/>
      <c r="C61" s="278" t="s">
        <v>3</v>
      </c>
      <c r="D61" s="277"/>
      <c r="E61" s="277"/>
    </row>
    <row r="62">
      <c r="A62" s="277"/>
      <c r="B62" s="277"/>
      <c r="C62" s="278" t="s">
        <v>3</v>
      </c>
      <c r="D62" s="277"/>
      <c r="E62" s="277"/>
    </row>
    <row r="63">
      <c r="A63" s="277"/>
      <c r="B63" s="277"/>
      <c r="C63" s="278" t="s">
        <v>3</v>
      </c>
      <c r="D63" s="277"/>
      <c r="E63" s="277"/>
    </row>
    <row r="64">
      <c r="A64" s="277"/>
      <c r="B64" s="277"/>
      <c r="C64" s="278" t="s">
        <v>3</v>
      </c>
      <c r="D64" s="277"/>
      <c r="E64" s="277"/>
    </row>
    <row r="65">
      <c r="A65" s="277"/>
      <c r="B65" s="277"/>
      <c r="C65" s="278" t="s">
        <v>3</v>
      </c>
      <c r="D65" s="277"/>
      <c r="E65" s="277"/>
    </row>
    <row r="66">
      <c r="A66" s="277"/>
      <c r="B66" s="277"/>
      <c r="C66" s="278" t="s">
        <v>3</v>
      </c>
      <c r="D66" s="277"/>
      <c r="E66" s="277"/>
    </row>
    <row r="67">
      <c r="A67" s="277"/>
      <c r="B67" s="277"/>
      <c r="C67" s="278" t="s">
        <v>3</v>
      </c>
      <c r="D67" s="277"/>
      <c r="E67" s="277"/>
    </row>
    <row r="68">
      <c r="A68" s="277"/>
      <c r="B68" s="277"/>
      <c r="C68" s="278" t="s">
        <v>3</v>
      </c>
      <c r="D68" s="277"/>
      <c r="E68" s="277"/>
    </row>
    <row r="69">
      <c r="A69" s="277"/>
      <c r="B69" s="277"/>
      <c r="C69" s="278" t="s">
        <v>3</v>
      </c>
      <c r="D69" s="277"/>
      <c r="E69" s="277"/>
    </row>
    <row r="70">
      <c r="A70" s="277"/>
      <c r="B70" s="277"/>
      <c r="C70" s="278" t="s">
        <v>3</v>
      </c>
      <c r="D70" s="277"/>
      <c r="E70" s="277"/>
    </row>
    <row r="71">
      <c r="A71" s="277"/>
      <c r="B71" s="277"/>
      <c r="C71" s="278" t="s">
        <v>3</v>
      </c>
      <c r="D71" s="277"/>
      <c r="E71" s="277"/>
    </row>
    <row r="72">
      <c r="A72" s="277"/>
      <c r="B72" s="277"/>
      <c r="C72" s="278" t="s">
        <v>3</v>
      </c>
      <c r="D72" s="277"/>
      <c r="E72" s="277"/>
    </row>
    <row r="73">
      <c r="A73" s="277"/>
      <c r="B73" s="277"/>
      <c r="C73" s="278" t="s">
        <v>3</v>
      </c>
      <c r="D73" s="277"/>
      <c r="E73" s="277"/>
    </row>
    <row r="74">
      <c r="A74" s="277"/>
      <c r="B74" s="277"/>
      <c r="C74" s="278" t="s">
        <v>3</v>
      </c>
      <c r="D74" s="277"/>
      <c r="E74" s="277"/>
    </row>
    <row r="75">
      <c r="A75" s="277"/>
      <c r="B75" s="277"/>
      <c r="C75" s="278" t="s">
        <v>3</v>
      </c>
      <c r="D75" s="277"/>
      <c r="E75" s="277"/>
    </row>
    <row r="76">
      <c r="A76" s="277"/>
      <c r="B76" s="277"/>
      <c r="C76" s="278" t="s">
        <v>3</v>
      </c>
      <c r="D76" s="277"/>
      <c r="E76" s="277"/>
    </row>
    <row r="77">
      <c r="A77" s="277"/>
      <c r="B77" s="277"/>
      <c r="C77" s="278" t="s">
        <v>3</v>
      </c>
      <c r="D77" s="277"/>
      <c r="E77" s="277"/>
    </row>
    <row r="78">
      <c r="A78" s="277"/>
      <c r="B78" s="277"/>
      <c r="C78" s="278" t="s">
        <v>3</v>
      </c>
      <c r="D78" s="277"/>
      <c r="E78" s="277"/>
    </row>
    <row r="79">
      <c r="A79" s="277"/>
      <c r="B79" s="277"/>
      <c r="C79" s="278" t="s">
        <v>3</v>
      </c>
      <c r="D79" s="277"/>
      <c r="E79" s="277"/>
    </row>
    <row r="80">
      <c r="A80" s="277"/>
      <c r="B80" s="277"/>
      <c r="C80" s="278" t="s">
        <v>3</v>
      </c>
      <c r="D80" s="277"/>
      <c r="E80" s="277"/>
    </row>
    <row r="81">
      <c r="A81" s="277"/>
      <c r="B81" s="277"/>
      <c r="C81" s="278" t="s">
        <v>3</v>
      </c>
      <c r="D81" s="277"/>
      <c r="E81" s="277"/>
    </row>
    <row r="82">
      <c r="A82" s="277"/>
      <c r="B82" s="277"/>
      <c r="C82" s="278" t="s">
        <v>3</v>
      </c>
      <c r="D82" s="277"/>
      <c r="E82" s="277"/>
    </row>
    <row r="83">
      <c r="A83" s="277"/>
      <c r="B83" s="277"/>
      <c r="C83" s="278" t="s">
        <v>3</v>
      </c>
      <c r="D83" s="277"/>
      <c r="E83" s="277"/>
    </row>
    <row r="84">
      <c r="A84" s="277"/>
      <c r="B84" s="277"/>
      <c r="C84" s="278" t="s">
        <v>3</v>
      </c>
      <c r="D84" s="277"/>
      <c r="E84" s="277"/>
    </row>
    <row r="85">
      <c r="A85" s="277"/>
      <c r="B85" s="277"/>
      <c r="C85" s="278" t="s">
        <v>3</v>
      </c>
      <c r="D85" s="277"/>
      <c r="E85" s="277"/>
    </row>
    <row r="86">
      <c r="A86" s="277"/>
      <c r="B86" s="277"/>
      <c r="C86" s="278" t="s">
        <v>3</v>
      </c>
      <c r="D86" s="277"/>
      <c r="E86" s="277"/>
    </row>
    <row r="87">
      <c r="A87" s="277"/>
      <c r="B87" s="277"/>
      <c r="C87" s="278" t="s">
        <v>3</v>
      </c>
      <c r="D87" s="277"/>
      <c r="E87" s="277"/>
    </row>
    <row r="88">
      <c r="A88" s="277"/>
      <c r="B88" s="277"/>
      <c r="C88" s="278" t="s">
        <v>3</v>
      </c>
      <c r="D88" s="277"/>
      <c r="E88" s="277"/>
    </row>
    <row r="89">
      <c r="A89" s="277"/>
      <c r="B89" s="277"/>
      <c r="C89" s="278" t="s">
        <v>3</v>
      </c>
      <c r="D89" s="277"/>
      <c r="E89" s="277"/>
    </row>
    <row r="90">
      <c r="A90" s="277"/>
      <c r="B90" s="277"/>
      <c r="C90" s="278" t="s">
        <v>3</v>
      </c>
      <c r="D90" s="277"/>
      <c r="E90" s="277"/>
    </row>
    <row r="91">
      <c r="A91" s="277"/>
      <c r="B91" s="277"/>
      <c r="C91" s="278" t="s">
        <v>3</v>
      </c>
      <c r="D91" s="277"/>
      <c r="E91" s="277"/>
    </row>
    <row r="92">
      <c r="A92" s="277"/>
      <c r="B92" s="277"/>
      <c r="C92" s="278" t="s">
        <v>3</v>
      </c>
      <c r="D92" s="277"/>
      <c r="E92" s="277"/>
    </row>
    <row r="93">
      <c r="A93" s="277"/>
      <c r="B93" s="277"/>
      <c r="C93" s="278" t="s">
        <v>3</v>
      </c>
      <c r="D93" s="277"/>
      <c r="E93" s="277"/>
    </row>
    <row r="94">
      <c r="A94" s="277"/>
      <c r="B94" s="277"/>
      <c r="C94" s="278" t="s">
        <v>3</v>
      </c>
      <c r="D94" s="277"/>
      <c r="E94" s="277"/>
    </row>
    <row r="95">
      <c r="A95" s="277"/>
      <c r="B95" s="277"/>
      <c r="C95" s="278" t="s">
        <v>3</v>
      </c>
      <c r="D95" s="277"/>
      <c r="E95" s="277"/>
    </row>
    <row r="96">
      <c r="A96" s="277"/>
      <c r="B96" s="277"/>
      <c r="C96" s="278" t="s">
        <v>3</v>
      </c>
      <c r="D96" s="277"/>
      <c r="E96" s="277"/>
    </row>
    <row r="97">
      <c r="A97" s="277"/>
      <c r="B97" s="277"/>
      <c r="C97" s="278" t="s">
        <v>3</v>
      </c>
      <c r="D97" s="277"/>
      <c r="E97" s="277"/>
    </row>
    <row r="98">
      <c r="A98" s="277"/>
      <c r="B98" s="277"/>
      <c r="C98" s="278" t="s">
        <v>3</v>
      </c>
      <c r="D98" s="277"/>
      <c r="E98" s="277"/>
    </row>
    <row r="99">
      <c r="A99" s="277"/>
      <c r="B99" s="277"/>
      <c r="C99" s="278" t="s">
        <v>3</v>
      </c>
      <c r="D99" s="277"/>
      <c r="E99" s="277"/>
    </row>
    <row r="100">
      <c r="A100" s="277"/>
      <c r="B100" s="277"/>
      <c r="C100" s="278" t="s">
        <v>3</v>
      </c>
      <c r="D100" s="277"/>
      <c r="E100" s="277"/>
    </row>
    <row r="101">
      <c r="A101" s="277"/>
      <c r="B101" s="277"/>
      <c r="C101" s="278" t="s">
        <v>3</v>
      </c>
      <c r="D101" s="277"/>
      <c r="E101" s="277"/>
    </row>
    <row r="102">
      <c r="A102" s="277"/>
      <c r="B102" s="277"/>
      <c r="C102" s="278" t="s">
        <v>3</v>
      </c>
      <c r="D102" s="277"/>
      <c r="E102" s="277"/>
    </row>
    <row r="103">
      <c r="A103" s="277"/>
      <c r="B103" s="277"/>
      <c r="C103" s="278" t="s">
        <v>3</v>
      </c>
      <c r="D103" s="277"/>
      <c r="E103" s="277"/>
    </row>
    <row r="104">
      <c r="A104" s="277"/>
      <c r="B104" s="277"/>
      <c r="C104" s="278" t="s">
        <v>3</v>
      </c>
      <c r="D104" s="277"/>
      <c r="E104" s="277"/>
    </row>
    <row r="105">
      <c r="A105" s="277"/>
      <c r="B105" s="277"/>
      <c r="C105" s="278" t="s">
        <v>3</v>
      </c>
      <c r="D105" s="277"/>
      <c r="E105" s="277"/>
    </row>
    <row r="106">
      <c r="A106" s="277"/>
      <c r="B106" s="277"/>
      <c r="C106" s="278" t="s">
        <v>3</v>
      </c>
      <c r="D106" s="277"/>
      <c r="E106" s="277"/>
    </row>
    <row r="107">
      <c r="A107" s="277"/>
      <c r="B107" s="277"/>
      <c r="C107" s="278" t="s">
        <v>3</v>
      </c>
      <c r="D107" s="277"/>
      <c r="E107" s="277"/>
    </row>
    <row r="108">
      <c r="A108" s="277"/>
      <c r="B108" s="277"/>
      <c r="C108" s="278" t="s">
        <v>3</v>
      </c>
      <c r="D108" s="277"/>
      <c r="E108" s="277"/>
    </row>
    <row r="109">
      <c r="A109" s="277"/>
      <c r="B109" s="277"/>
      <c r="C109" s="278" t="s">
        <v>3</v>
      </c>
      <c r="D109" s="277"/>
      <c r="E109" s="277"/>
    </row>
    <row r="110">
      <c r="A110" s="277"/>
      <c r="B110" s="277"/>
      <c r="C110" s="278" t="s">
        <v>3</v>
      </c>
      <c r="D110" s="277"/>
      <c r="E110" s="277"/>
    </row>
    <row r="111">
      <c r="A111" s="277"/>
      <c r="B111" s="277"/>
      <c r="C111" s="278" t="s">
        <v>3</v>
      </c>
      <c r="D111" s="277"/>
      <c r="E111" s="277"/>
    </row>
    <row r="112">
      <c r="A112" s="277"/>
      <c r="B112" s="277"/>
      <c r="C112" s="278" t="s">
        <v>3</v>
      </c>
      <c r="D112" s="277"/>
      <c r="E112" s="277"/>
    </row>
    <row r="113">
      <c r="A113" s="277"/>
      <c r="B113" s="277"/>
      <c r="C113" s="278" t="s">
        <v>3</v>
      </c>
      <c r="D113" s="277"/>
      <c r="E113" s="277"/>
    </row>
    <row r="114">
      <c r="A114" s="277"/>
      <c r="B114" s="277"/>
      <c r="C114" s="278" t="s">
        <v>3</v>
      </c>
      <c r="D114" s="277"/>
      <c r="E114" s="277"/>
    </row>
    <row r="115">
      <c r="A115" s="277"/>
      <c r="B115" s="277"/>
      <c r="C115" s="278" t="s">
        <v>3</v>
      </c>
      <c r="D115" s="277"/>
      <c r="E115" s="277"/>
    </row>
    <row r="116">
      <c r="A116" s="277"/>
      <c r="B116" s="277"/>
      <c r="C116" s="278" t="s">
        <v>3</v>
      </c>
      <c r="D116" s="277"/>
      <c r="E116" s="277"/>
    </row>
    <row r="117">
      <c r="A117" s="277"/>
      <c r="B117" s="277"/>
      <c r="C117" s="278" t="s">
        <v>3</v>
      </c>
      <c r="D117" s="277"/>
      <c r="E117" s="277"/>
    </row>
    <row r="118">
      <c r="A118" s="277"/>
      <c r="B118" s="277"/>
      <c r="C118" s="278" t="s">
        <v>3</v>
      </c>
      <c r="D118" s="277"/>
      <c r="E118" s="277"/>
    </row>
    <row r="119">
      <c r="A119" s="277"/>
      <c r="B119" s="277"/>
      <c r="C119" s="278" t="s">
        <v>3</v>
      </c>
      <c r="D119" s="277"/>
      <c r="E119" s="277"/>
    </row>
    <row r="120">
      <c r="A120" s="277"/>
      <c r="B120" s="277"/>
      <c r="C120" s="278" t="s">
        <v>3</v>
      </c>
      <c r="D120" s="277"/>
      <c r="E120" s="277"/>
    </row>
    <row r="121">
      <c r="A121" s="277"/>
      <c r="B121" s="277"/>
      <c r="C121" s="278" t="s">
        <v>3</v>
      </c>
      <c r="D121" s="277"/>
      <c r="E121" s="277"/>
    </row>
    <row r="122">
      <c r="A122" s="277"/>
      <c r="B122" s="277"/>
      <c r="C122" s="278" t="s">
        <v>3</v>
      </c>
      <c r="D122" s="277"/>
      <c r="E122" s="277"/>
    </row>
    <row r="123">
      <c r="A123" s="277"/>
      <c r="B123" s="277"/>
      <c r="C123" s="278" t="s">
        <v>3</v>
      </c>
      <c r="D123" s="277"/>
      <c r="E123" s="277"/>
    </row>
    <row r="124">
      <c r="A124" s="277"/>
      <c r="B124" s="277"/>
      <c r="C124" s="278" t="s">
        <v>3</v>
      </c>
      <c r="D124" s="277"/>
      <c r="E124" s="277"/>
    </row>
    <row r="125">
      <c r="A125" s="277"/>
      <c r="B125" s="277"/>
      <c r="C125" s="278" t="s">
        <v>3</v>
      </c>
      <c r="D125" s="277"/>
      <c r="E125" s="277"/>
    </row>
    <row r="126">
      <c r="A126" s="277"/>
      <c r="B126" s="277"/>
      <c r="C126" s="278" t="s">
        <v>3</v>
      </c>
      <c r="D126" s="277"/>
      <c r="E126" s="277"/>
    </row>
    <row r="127">
      <c r="A127" s="277"/>
      <c r="B127" s="277"/>
      <c r="C127" s="278" t="s">
        <v>3</v>
      </c>
      <c r="D127" s="277"/>
      <c r="E127" s="277"/>
    </row>
    <row r="128">
      <c r="A128" s="277"/>
      <c r="B128" s="277"/>
      <c r="C128" s="278" t="s">
        <v>3</v>
      </c>
      <c r="D128" s="277"/>
      <c r="E128" s="277"/>
    </row>
    <row r="129">
      <c r="A129" s="277"/>
      <c r="B129" s="277"/>
      <c r="C129" s="278" t="s">
        <v>3</v>
      </c>
      <c r="D129" s="277"/>
      <c r="E129" s="277"/>
    </row>
    <row r="130">
      <c r="A130" s="277"/>
      <c r="B130" s="277"/>
      <c r="C130" s="278" t="s">
        <v>3</v>
      </c>
      <c r="D130" s="277"/>
      <c r="E130" s="277"/>
    </row>
    <row r="131">
      <c r="A131" s="277"/>
      <c r="B131" s="277"/>
      <c r="C131" s="278" t="s">
        <v>3</v>
      </c>
      <c r="D131" s="277"/>
      <c r="E131" s="277"/>
    </row>
    <row r="132">
      <c r="A132" s="277"/>
      <c r="B132" s="277"/>
      <c r="C132" s="278" t="s">
        <v>3</v>
      </c>
      <c r="D132" s="277"/>
      <c r="E132" s="277"/>
    </row>
    <row r="133">
      <c r="A133" s="277"/>
      <c r="B133" s="277"/>
      <c r="C133" s="278" t="s">
        <v>3</v>
      </c>
      <c r="D133" s="277"/>
      <c r="E133" s="277"/>
    </row>
    <row r="134">
      <c r="A134" s="277"/>
      <c r="B134" s="277"/>
      <c r="C134" s="278" t="s">
        <v>3</v>
      </c>
      <c r="D134" s="277"/>
      <c r="E134" s="277"/>
    </row>
    <row r="135">
      <c r="A135" s="277"/>
      <c r="B135" s="277"/>
      <c r="C135" s="278" t="s">
        <v>3</v>
      </c>
      <c r="D135" s="277"/>
      <c r="E135" s="277"/>
    </row>
    <row r="136">
      <c r="A136" s="277"/>
      <c r="B136" s="277"/>
      <c r="C136" s="278" t="s">
        <v>3</v>
      </c>
      <c r="D136" s="277"/>
      <c r="E136" s="277"/>
    </row>
    <row r="137">
      <c r="A137" s="277"/>
      <c r="B137" s="277"/>
      <c r="C137" s="278" t="s">
        <v>3</v>
      </c>
      <c r="D137" s="277"/>
      <c r="E137" s="277"/>
    </row>
    <row r="138">
      <c r="A138" s="277"/>
      <c r="B138" s="277"/>
      <c r="C138" s="278" t="s">
        <v>3</v>
      </c>
      <c r="D138" s="277"/>
      <c r="E138" s="277"/>
    </row>
    <row r="139">
      <c r="A139" s="277"/>
      <c r="B139" s="277"/>
      <c r="C139" s="278" t="s">
        <v>3</v>
      </c>
      <c r="D139" s="277"/>
      <c r="E139" s="277"/>
    </row>
    <row r="140">
      <c r="A140" s="277"/>
      <c r="B140" s="277"/>
      <c r="C140" s="278" t="s">
        <v>3</v>
      </c>
      <c r="D140" s="277"/>
      <c r="E140" s="277"/>
    </row>
    <row r="141">
      <c r="A141" s="277"/>
      <c r="B141" s="277"/>
      <c r="C141" s="278" t="s">
        <v>3</v>
      </c>
      <c r="D141" s="277"/>
      <c r="E141" s="277"/>
    </row>
    <row r="142">
      <c r="A142" s="277"/>
      <c r="B142" s="277"/>
      <c r="C142" s="278" t="s">
        <v>3</v>
      </c>
      <c r="D142" s="277"/>
      <c r="E142" s="277"/>
    </row>
    <row r="143">
      <c r="A143" s="277"/>
      <c r="B143" s="277"/>
      <c r="C143" s="278" t="s">
        <v>3</v>
      </c>
      <c r="D143" s="277"/>
      <c r="E143" s="277"/>
    </row>
    <row r="144">
      <c r="A144" s="277"/>
      <c r="B144" s="277"/>
      <c r="C144" s="278" t="s">
        <v>3</v>
      </c>
      <c r="D144" s="277"/>
      <c r="E144" s="277"/>
    </row>
    <row r="145">
      <c r="A145" s="277"/>
      <c r="B145" s="277"/>
      <c r="C145" s="278" t="s">
        <v>3</v>
      </c>
      <c r="D145" s="277"/>
      <c r="E145" s="277"/>
    </row>
    <row r="146">
      <c r="A146" s="277"/>
      <c r="B146" s="277"/>
      <c r="C146" s="278" t="s">
        <v>3</v>
      </c>
      <c r="D146" s="277"/>
      <c r="E146" s="277"/>
    </row>
    <row r="147">
      <c r="A147" s="277"/>
      <c r="B147" s="277"/>
      <c r="C147" s="278" t="s">
        <v>3</v>
      </c>
      <c r="D147" s="277"/>
      <c r="E147" s="277"/>
    </row>
    <row r="148">
      <c r="A148" s="277"/>
      <c r="B148" s="277"/>
      <c r="C148" s="278" t="s">
        <v>3</v>
      </c>
      <c r="D148" s="277"/>
      <c r="E148" s="277"/>
    </row>
    <row r="149">
      <c r="A149" s="277"/>
      <c r="B149" s="277"/>
      <c r="C149" s="278" t="s">
        <v>3</v>
      </c>
      <c r="D149" s="277"/>
      <c r="E149" s="277"/>
    </row>
    <row r="150">
      <c r="A150" s="277"/>
      <c r="B150" s="277"/>
      <c r="C150" s="278" t="s">
        <v>3</v>
      </c>
      <c r="D150" s="277"/>
      <c r="E150" s="277"/>
    </row>
    <row r="151">
      <c r="A151" s="277"/>
      <c r="B151" s="277"/>
      <c r="C151" s="278" t="s">
        <v>3</v>
      </c>
      <c r="D151" s="277"/>
      <c r="E151" s="277"/>
    </row>
    <row r="152">
      <c r="A152" s="277"/>
      <c r="B152" s="277"/>
      <c r="C152" s="278" t="s">
        <v>3</v>
      </c>
      <c r="D152" s="277"/>
      <c r="E152" s="277"/>
    </row>
    <row r="153">
      <c r="A153" s="277"/>
      <c r="B153" s="277"/>
      <c r="C153" s="278" t="s">
        <v>3</v>
      </c>
      <c r="D153" s="277"/>
      <c r="E153" s="277"/>
    </row>
    <row r="154">
      <c r="A154" s="277"/>
      <c r="B154" s="277"/>
      <c r="C154" s="278" t="s">
        <v>3</v>
      </c>
      <c r="D154" s="277"/>
      <c r="E154" s="277"/>
    </row>
    <row r="155">
      <c r="A155" s="277"/>
      <c r="B155" s="277"/>
      <c r="C155" s="278" t="s">
        <v>3</v>
      </c>
      <c r="D155" s="277"/>
      <c r="E155" s="277"/>
    </row>
    <row r="156">
      <c r="A156" s="277"/>
      <c r="B156" s="277"/>
      <c r="C156" s="278" t="s">
        <v>3</v>
      </c>
      <c r="D156" s="277"/>
      <c r="E156" s="277"/>
    </row>
    <row r="157">
      <c r="A157" s="277"/>
      <c r="B157" s="277"/>
      <c r="C157" s="278" t="s">
        <v>3</v>
      </c>
      <c r="D157" s="277"/>
      <c r="E157" s="277"/>
    </row>
    <row r="158">
      <c r="A158" s="277"/>
      <c r="B158" s="277"/>
      <c r="C158" s="278" t="s">
        <v>3</v>
      </c>
      <c r="D158" s="277"/>
      <c r="E158" s="277"/>
    </row>
    <row r="159">
      <c r="A159" s="277"/>
      <c r="B159" s="277"/>
      <c r="C159" s="278" t="s">
        <v>3</v>
      </c>
      <c r="D159" s="277"/>
      <c r="E159" s="277"/>
    </row>
    <row r="160">
      <c r="A160" s="277"/>
      <c r="B160" s="277"/>
      <c r="C160" s="278" t="s">
        <v>3</v>
      </c>
      <c r="D160" s="277"/>
      <c r="E160" s="277"/>
    </row>
    <row r="161">
      <c r="A161" s="277"/>
      <c r="B161" s="277"/>
      <c r="C161" s="278" t="s">
        <v>3</v>
      </c>
      <c r="D161" s="277"/>
      <c r="E161" s="277"/>
    </row>
    <row r="162">
      <c r="A162" s="277"/>
      <c r="B162" s="277"/>
      <c r="C162" s="278" t="s">
        <v>3</v>
      </c>
      <c r="D162" s="277"/>
      <c r="E162" s="277"/>
    </row>
    <row r="163">
      <c r="A163" s="277"/>
      <c r="B163" s="277"/>
      <c r="C163" s="278" t="s">
        <v>3</v>
      </c>
      <c r="D163" s="277"/>
      <c r="E163" s="277"/>
    </row>
    <row r="164">
      <c r="A164" s="277"/>
      <c r="B164" s="277"/>
      <c r="C164" s="278" t="s">
        <v>3</v>
      </c>
      <c r="D164" s="277"/>
      <c r="E164" s="277"/>
    </row>
    <row r="165">
      <c r="A165" s="277"/>
      <c r="B165" s="277"/>
      <c r="C165" s="278" t="s">
        <v>3</v>
      </c>
      <c r="D165" s="277"/>
      <c r="E165" s="277"/>
    </row>
    <row r="166">
      <c r="A166" s="277"/>
      <c r="B166" s="277"/>
      <c r="C166" s="278" t="s">
        <v>3</v>
      </c>
      <c r="D166" s="277"/>
      <c r="E166" s="277"/>
    </row>
    <row r="167">
      <c r="A167" s="277"/>
      <c r="B167" s="277"/>
      <c r="C167" s="278" t="s">
        <v>3</v>
      </c>
      <c r="D167" s="277"/>
      <c r="E167" s="277"/>
    </row>
    <row r="168">
      <c r="A168" s="277"/>
      <c r="B168" s="277"/>
      <c r="C168" s="278" t="s">
        <v>3</v>
      </c>
      <c r="D168" s="277"/>
      <c r="E168" s="277"/>
    </row>
    <row r="169">
      <c r="A169" s="277"/>
      <c r="B169" s="277"/>
      <c r="C169" s="278" t="s">
        <v>3</v>
      </c>
      <c r="D169" s="277"/>
      <c r="E169" s="277"/>
    </row>
    <row r="170">
      <c r="A170" s="277"/>
      <c r="B170" s="277"/>
      <c r="C170" s="278" t="s">
        <v>3</v>
      </c>
      <c r="D170" s="277"/>
      <c r="E170" s="277"/>
    </row>
    <row r="171">
      <c r="A171" s="277"/>
      <c r="B171" s="277"/>
      <c r="C171" s="278" t="s">
        <v>3</v>
      </c>
      <c r="D171" s="277"/>
      <c r="E171" s="277"/>
    </row>
    <row r="172">
      <c r="A172" s="277"/>
      <c r="B172" s="277"/>
      <c r="C172" s="278" t="s">
        <v>3</v>
      </c>
      <c r="D172" s="277"/>
      <c r="E172" s="277"/>
    </row>
    <row r="173">
      <c r="A173" s="277"/>
      <c r="B173" s="277"/>
      <c r="C173" s="278" t="s">
        <v>3</v>
      </c>
      <c r="D173" s="277"/>
      <c r="E173" s="277"/>
    </row>
    <row r="174">
      <c r="A174" s="277"/>
      <c r="B174" s="277"/>
      <c r="C174" s="278" t="s">
        <v>3</v>
      </c>
      <c r="D174" s="277"/>
      <c r="E174" s="277"/>
    </row>
    <row r="175">
      <c r="A175" s="277"/>
      <c r="B175" s="277"/>
      <c r="C175" s="278" t="s">
        <v>3</v>
      </c>
      <c r="D175" s="277"/>
      <c r="E175" s="277"/>
    </row>
    <row r="176">
      <c r="A176" s="277"/>
      <c r="B176" s="277"/>
      <c r="C176" s="278" t="s">
        <v>3</v>
      </c>
      <c r="D176" s="277"/>
      <c r="E176" s="277"/>
    </row>
    <row r="177">
      <c r="A177" s="277"/>
      <c r="B177" s="277"/>
      <c r="C177" s="278" t="s">
        <v>3</v>
      </c>
      <c r="D177" s="277"/>
      <c r="E177" s="277"/>
    </row>
    <row r="178">
      <c r="A178" s="277"/>
      <c r="B178" s="277"/>
      <c r="C178" s="278" t="s">
        <v>3</v>
      </c>
      <c r="D178" s="277"/>
      <c r="E178" s="277"/>
    </row>
    <row r="179">
      <c r="A179" s="277"/>
      <c r="B179" s="277"/>
      <c r="C179" s="278" t="s">
        <v>3</v>
      </c>
      <c r="D179" s="277"/>
      <c r="E179" s="277"/>
    </row>
    <row r="180">
      <c r="A180" s="277"/>
      <c r="B180" s="277"/>
      <c r="C180" s="278" t="s">
        <v>3</v>
      </c>
      <c r="D180" s="277"/>
      <c r="E180" s="277"/>
    </row>
    <row r="181">
      <c r="A181" s="277"/>
      <c r="B181" s="277"/>
      <c r="C181" s="278" t="s">
        <v>3</v>
      </c>
      <c r="D181" s="277"/>
      <c r="E181" s="277"/>
    </row>
    <row r="182">
      <c r="A182" s="277"/>
      <c r="B182" s="277"/>
      <c r="C182" s="278" t="s">
        <v>3</v>
      </c>
      <c r="D182" s="277"/>
      <c r="E182" s="277"/>
    </row>
    <row r="183">
      <c r="A183" s="277"/>
      <c r="B183" s="277"/>
      <c r="C183" s="278" t="s">
        <v>3</v>
      </c>
      <c r="D183" s="277"/>
      <c r="E183" s="277"/>
    </row>
    <row r="184">
      <c r="A184" s="277"/>
      <c r="B184" s="277"/>
      <c r="C184" s="278" t="s">
        <v>3</v>
      </c>
      <c r="D184" s="277"/>
      <c r="E184" s="277"/>
    </row>
    <row r="185">
      <c r="A185" s="277"/>
      <c r="B185" s="277"/>
      <c r="C185" s="278" t="s">
        <v>3</v>
      </c>
      <c r="D185" s="277"/>
      <c r="E185" s="277"/>
    </row>
    <row r="186">
      <c r="A186" s="277"/>
      <c r="B186" s="277"/>
      <c r="C186" s="278" t="s">
        <v>3</v>
      </c>
      <c r="D186" s="277"/>
      <c r="E186" s="277"/>
    </row>
    <row r="187">
      <c r="A187" s="277"/>
      <c r="B187" s="277"/>
      <c r="C187" s="278" t="s">
        <v>3</v>
      </c>
      <c r="D187" s="277"/>
      <c r="E187" s="277"/>
    </row>
    <row r="188">
      <c r="A188" s="277"/>
      <c r="B188" s="277"/>
      <c r="C188" s="278" t="s">
        <v>3</v>
      </c>
      <c r="D188" s="277"/>
      <c r="E188" s="277"/>
    </row>
    <row r="189">
      <c r="A189" s="277"/>
      <c r="B189" s="277"/>
      <c r="C189" s="278" t="s">
        <v>3</v>
      </c>
      <c r="D189" s="277"/>
      <c r="E189" s="277"/>
    </row>
    <row r="190">
      <c r="A190" s="277"/>
      <c r="B190" s="277"/>
      <c r="C190" s="278" t="s">
        <v>3</v>
      </c>
      <c r="D190" s="277"/>
      <c r="E190" s="277"/>
    </row>
    <row r="191">
      <c r="A191" s="277"/>
      <c r="B191" s="277"/>
      <c r="C191" s="278" t="s">
        <v>3</v>
      </c>
      <c r="D191" s="277"/>
      <c r="E191" s="277"/>
    </row>
    <row r="192">
      <c r="A192" s="277"/>
      <c r="B192" s="277"/>
      <c r="C192" s="278" t="s">
        <v>3</v>
      </c>
      <c r="D192" s="277"/>
      <c r="E192" s="277"/>
    </row>
    <row r="193">
      <c r="A193" s="277"/>
      <c r="B193" s="277"/>
      <c r="C193" s="278" t="s">
        <v>3</v>
      </c>
      <c r="D193" s="277"/>
      <c r="E193" s="277"/>
    </row>
    <row r="194">
      <c r="A194" s="277"/>
      <c r="B194" s="277"/>
      <c r="C194" s="278" t="s">
        <v>3</v>
      </c>
      <c r="D194" s="277"/>
      <c r="E194" s="277"/>
    </row>
    <row r="195">
      <c r="A195" s="277"/>
      <c r="B195" s="277"/>
      <c r="C195" s="278" t="s">
        <v>3</v>
      </c>
      <c r="D195" s="277"/>
      <c r="E195" s="277"/>
    </row>
    <row r="196">
      <c r="A196" s="277"/>
      <c r="B196" s="277"/>
      <c r="C196" s="278" t="s">
        <v>3</v>
      </c>
      <c r="D196" s="277"/>
      <c r="E196" s="277"/>
    </row>
    <row r="197">
      <c r="A197" s="277"/>
      <c r="B197" s="277"/>
      <c r="C197" s="278" t="s">
        <v>3</v>
      </c>
      <c r="D197" s="277"/>
      <c r="E197" s="277"/>
    </row>
    <row r="198">
      <c r="A198" s="277"/>
      <c r="B198" s="277"/>
      <c r="C198" s="278" t="s">
        <v>3</v>
      </c>
      <c r="D198" s="277"/>
      <c r="E198" s="277"/>
    </row>
    <row r="199">
      <c r="A199" s="277"/>
      <c r="B199" s="277"/>
      <c r="C199" s="278" t="s">
        <v>3</v>
      </c>
      <c r="D199" s="277"/>
      <c r="E199" s="277"/>
    </row>
    <row r="200">
      <c r="A200" s="277"/>
      <c r="B200" s="277"/>
      <c r="C200" s="278" t="s">
        <v>3</v>
      </c>
      <c r="D200" s="277"/>
      <c r="E200" s="277"/>
    </row>
    <row r="201">
      <c r="A201" s="277"/>
      <c r="B201" s="277"/>
      <c r="C201" s="278" t="s">
        <v>3</v>
      </c>
      <c r="D201" s="277"/>
      <c r="E201" s="277"/>
    </row>
    <row r="202">
      <c r="A202" s="277"/>
      <c r="B202" s="277"/>
      <c r="C202" s="278" t="s">
        <v>3</v>
      </c>
      <c r="D202" s="277"/>
      <c r="E202" s="277"/>
    </row>
    <row r="203">
      <c r="A203" s="277"/>
      <c r="B203" s="277"/>
      <c r="C203" s="278" t="s">
        <v>3</v>
      </c>
      <c r="D203" s="277"/>
      <c r="E203" s="277"/>
    </row>
    <row r="204">
      <c r="A204" s="277"/>
      <c r="B204" s="277"/>
      <c r="C204" s="278" t="s">
        <v>3</v>
      </c>
      <c r="D204" s="277"/>
      <c r="E204" s="277"/>
    </row>
    <row r="205">
      <c r="A205" s="277"/>
      <c r="B205" s="277"/>
      <c r="C205" s="278" t="s">
        <v>3</v>
      </c>
      <c r="D205" s="277"/>
      <c r="E205" s="277"/>
    </row>
    <row r="206">
      <c r="A206" s="277"/>
      <c r="B206" s="277"/>
      <c r="C206" s="278" t="s">
        <v>3</v>
      </c>
      <c r="D206" s="277"/>
      <c r="E206" s="277"/>
    </row>
    <row r="207">
      <c r="A207" s="277"/>
      <c r="B207" s="277"/>
      <c r="C207" s="278" t="s">
        <v>3</v>
      </c>
      <c r="D207" s="277"/>
      <c r="E207" s="277"/>
    </row>
    <row r="208">
      <c r="A208" s="277"/>
      <c r="B208" s="277"/>
      <c r="C208" s="278" t="s">
        <v>3</v>
      </c>
      <c r="D208" s="277"/>
      <c r="E208" s="277"/>
    </row>
    <row r="209">
      <c r="A209" s="277"/>
      <c r="B209" s="277"/>
      <c r="C209" s="278" t="s">
        <v>3</v>
      </c>
      <c r="D209" s="277"/>
      <c r="E209" s="277"/>
    </row>
    <row r="210">
      <c r="A210" s="277"/>
      <c r="B210" s="277"/>
      <c r="C210" s="278" t="s">
        <v>3</v>
      </c>
      <c r="D210" s="277"/>
      <c r="E210" s="277"/>
    </row>
    <row r="211">
      <c r="A211" s="277"/>
      <c r="B211" s="277"/>
      <c r="C211" s="278" t="s">
        <v>3</v>
      </c>
      <c r="D211" s="277"/>
      <c r="E211" s="277"/>
    </row>
    <row r="212">
      <c r="A212" s="277"/>
      <c r="B212" s="277"/>
      <c r="C212" s="278" t="s">
        <v>3</v>
      </c>
      <c r="D212" s="277"/>
      <c r="E212" s="277"/>
    </row>
    <row r="213">
      <c r="A213" s="277"/>
      <c r="B213" s="277"/>
      <c r="C213" s="278" t="s">
        <v>3</v>
      </c>
      <c r="D213" s="277"/>
      <c r="E213" s="277"/>
    </row>
    <row r="214">
      <c r="A214" s="277"/>
      <c r="B214" s="277"/>
      <c r="C214" s="278" t="s">
        <v>3</v>
      </c>
      <c r="D214" s="277"/>
      <c r="E214" s="277"/>
    </row>
    <row r="215">
      <c r="A215" s="277"/>
      <c r="B215" s="277"/>
      <c r="C215" s="278" t="s">
        <v>3</v>
      </c>
      <c r="D215" s="277"/>
      <c r="E215" s="277"/>
    </row>
    <row r="216">
      <c r="A216" s="277"/>
      <c r="B216" s="277"/>
      <c r="C216" s="278" t="s">
        <v>3</v>
      </c>
      <c r="D216" s="277"/>
      <c r="E216" s="277"/>
    </row>
    <row r="217">
      <c r="A217" s="277"/>
      <c r="B217" s="277"/>
      <c r="C217" s="278" t="s">
        <v>3</v>
      </c>
      <c r="D217" s="277"/>
      <c r="E217" s="277"/>
    </row>
    <row r="218">
      <c r="A218" s="277"/>
      <c r="B218" s="277"/>
      <c r="C218" s="278" t="s">
        <v>3</v>
      </c>
      <c r="D218" s="277"/>
      <c r="E218" s="277"/>
    </row>
    <row r="219">
      <c r="A219" s="277"/>
      <c r="B219" s="277"/>
      <c r="C219" s="278" t="s">
        <v>3</v>
      </c>
      <c r="D219" s="277"/>
      <c r="E219" s="277"/>
    </row>
    <row r="220">
      <c r="A220" s="277"/>
      <c r="B220" s="277"/>
      <c r="C220" s="278" t="s">
        <v>3</v>
      </c>
      <c r="D220" s="277"/>
      <c r="E220" s="277"/>
    </row>
    <row r="221">
      <c r="A221" s="277"/>
      <c r="B221" s="277"/>
      <c r="C221" s="278" t="s">
        <v>3</v>
      </c>
      <c r="D221" s="277"/>
      <c r="E221" s="277"/>
    </row>
    <row r="222">
      <c r="A222" s="277"/>
      <c r="B222" s="277"/>
      <c r="C222" s="278" t="s">
        <v>3</v>
      </c>
      <c r="D222" s="277"/>
      <c r="E222" s="277"/>
    </row>
    <row r="223">
      <c r="A223" s="277"/>
      <c r="B223" s="277"/>
      <c r="C223" s="278" t="s">
        <v>3</v>
      </c>
      <c r="D223" s="277"/>
      <c r="E223" s="277"/>
    </row>
    <row r="224">
      <c r="A224" s="277"/>
      <c r="B224" s="277"/>
      <c r="C224" s="278" t="s">
        <v>3</v>
      </c>
      <c r="D224" s="277"/>
      <c r="E224" s="277"/>
    </row>
    <row r="225">
      <c r="A225" s="277"/>
      <c r="B225" s="277"/>
      <c r="C225" s="278" t="s">
        <v>3</v>
      </c>
      <c r="D225" s="277"/>
      <c r="E225" s="277"/>
    </row>
    <row r="226">
      <c r="A226" s="277"/>
      <c r="B226" s="277"/>
      <c r="C226" s="278" t="s">
        <v>3</v>
      </c>
      <c r="D226" s="277"/>
      <c r="E226" s="277"/>
    </row>
    <row r="227">
      <c r="A227" s="277"/>
      <c r="B227" s="277"/>
      <c r="C227" s="278" t="s">
        <v>3</v>
      </c>
      <c r="D227" s="277"/>
      <c r="E227" s="277"/>
    </row>
    <row r="228">
      <c r="A228" s="277"/>
      <c r="B228" s="277"/>
      <c r="C228" s="278" t="s">
        <v>3</v>
      </c>
      <c r="D228" s="277"/>
      <c r="E228" s="277"/>
    </row>
    <row r="229">
      <c r="A229" s="277"/>
      <c r="B229" s="277"/>
      <c r="C229" s="278" t="s">
        <v>3</v>
      </c>
      <c r="D229" s="277"/>
      <c r="E229" s="277"/>
    </row>
    <row r="230">
      <c r="A230" s="277"/>
      <c r="B230" s="277"/>
      <c r="C230" s="278" t="s">
        <v>3</v>
      </c>
      <c r="D230" s="277"/>
      <c r="E230" s="277"/>
    </row>
    <row r="231">
      <c r="A231" s="277"/>
      <c r="B231" s="277"/>
      <c r="C231" s="278" t="s">
        <v>3</v>
      </c>
      <c r="D231" s="277"/>
      <c r="E231" s="277"/>
    </row>
    <row r="232">
      <c r="A232" s="277"/>
      <c r="B232" s="277"/>
      <c r="C232" s="278" t="s">
        <v>3</v>
      </c>
      <c r="D232" s="277"/>
      <c r="E232" s="277"/>
    </row>
    <row r="233">
      <c r="A233" s="277"/>
      <c r="B233" s="277"/>
      <c r="C233" s="278" t="s">
        <v>3</v>
      </c>
      <c r="D233" s="277"/>
      <c r="E233" s="277"/>
    </row>
    <row r="234">
      <c r="A234" s="277"/>
      <c r="B234" s="277"/>
      <c r="C234" s="278" t="s">
        <v>3</v>
      </c>
      <c r="D234" s="277"/>
      <c r="E234" s="277"/>
    </row>
    <row r="235">
      <c r="A235" s="277"/>
      <c r="B235" s="277"/>
      <c r="C235" s="278" t="s">
        <v>3</v>
      </c>
      <c r="D235" s="277"/>
      <c r="E235" s="277"/>
    </row>
    <row r="236">
      <c r="A236" s="277"/>
      <c r="B236" s="277"/>
      <c r="C236" s="278" t="s">
        <v>3</v>
      </c>
      <c r="D236" s="277"/>
      <c r="E236" s="277"/>
    </row>
    <row r="237">
      <c r="A237" s="277"/>
      <c r="B237" s="277"/>
      <c r="C237" s="278" t="s">
        <v>3</v>
      </c>
      <c r="D237" s="277"/>
      <c r="E237" s="277"/>
    </row>
    <row r="238">
      <c r="A238" s="277"/>
      <c r="B238" s="277"/>
      <c r="C238" s="278" t="s">
        <v>3</v>
      </c>
      <c r="D238" s="277"/>
      <c r="E238" s="277"/>
    </row>
    <row r="239">
      <c r="A239" s="277"/>
      <c r="B239" s="277"/>
      <c r="C239" s="278" t="s">
        <v>3</v>
      </c>
      <c r="D239" s="277"/>
      <c r="E239" s="277"/>
    </row>
    <row r="240">
      <c r="A240" s="277"/>
      <c r="B240" s="277"/>
      <c r="C240" s="278" t="s">
        <v>3</v>
      </c>
      <c r="D240" s="277"/>
      <c r="E240" s="277"/>
    </row>
    <row r="241">
      <c r="A241" s="277"/>
      <c r="B241" s="277"/>
      <c r="C241" s="278" t="s">
        <v>3</v>
      </c>
      <c r="D241" s="277"/>
      <c r="E241" s="277"/>
    </row>
    <row r="242">
      <c r="A242" s="277"/>
      <c r="B242" s="277"/>
      <c r="C242" s="278" t="s">
        <v>3</v>
      </c>
      <c r="D242" s="277"/>
      <c r="E242" s="277"/>
    </row>
    <row r="243">
      <c r="A243" s="277"/>
      <c r="B243" s="277"/>
      <c r="C243" s="278" t="s">
        <v>3</v>
      </c>
      <c r="D243" s="277"/>
      <c r="E243" s="277"/>
    </row>
    <row r="244">
      <c r="A244" s="277"/>
      <c r="B244" s="277"/>
      <c r="C244" s="278" t="s">
        <v>3</v>
      </c>
      <c r="D244" s="277"/>
      <c r="E244" s="277"/>
    </row>
    <row r="245">
      <c r="A245" s="277"/>
      <c r="B245" s="277"/>
      <c r="C245" s="278" t="s">
        <v>3</v>
      </c>
      <c r="D245" s="277"/>
      <c r="E245" s="277"/>
    </row>
    <row r="246">
      <c r="A246" s="277"/>
      <c r="B246" s="277"/>
      <c r="C246" s="278" t="s">
        <v>3</v>
      </c>
      <c r="D246" s="277"/>
      <c r="E246" s="277"/>
    </row>
    <row r="247">
      <c r="A247" s="277"/>
      <c r="B247" s="277"/>
      <c r="C247" s="278" t="s">
        <v>3</v>
      </c>
      <c r="D247" s="277"/>
      <c r="E247" s="277"/>
    </row>
    <row r="248">
      <c r="A248" s="277"/>
      <c r="B248" s="277"/>
      <c r="C248" s="278" t="s">
        <v>3</v>
      </c>
      <c r="D248" s="277"/>
      <c r="E248" s="277"/>
    </row>
    <row r="249">
      <c r="A249" s="277"/>
      <c r="B249" s="277"/>
      <c r="C249" s="278" t="s">
        <v>3</v>
      </c>
      <c r="D249" s="277"/>
      <c r="E249" s="277"/>
    </row>
    <row r="250">
      <c r="A250" s="277"/>
      <c r="B250" s="277"/>
      <c r="C250" s="278" t="s">
        <v>3</v>
      </c>
      <c r="D250" s="277"/>
      <c r="E250" s="277"/>
    </row>
    <row r="251">
      <c r="A251" s="277"/>
      <c r="B251" s="277"/>
      <c r="C251" s="278" t="s">
        <v>3</v>
      </c>
      <c r="D251" s="277"/>
      <c r="E251" s="277"/>
    </row>
    <row r="252">
      <c r="A252" s="277"/>
      <c r="B252" s="277"/>
      <c r="C252" s="278" t="s">
        <v>3</v>
      </c>
      <c r="D252" s="277"/>
      <c r="E252" s="277"/>
    </row>
    <row r="253">
      <c r="A253" s="277"/>
      <c r="B253" s="277"/>
      <c r="C253" s="278" t="s">
        <v>3</v>
      </c>
      <c r="D253" s="277"/>
      <c r="E253" s="277"/>
    </row>
    <row r="254">
      <c r="A254" s="277"/>
      <c r="B254" s="277"/>
      <c r="C254" s="278" t="s">
        <v>3</v>
      </c>
      <c r="D254" s="277"/>
      <c r="E254" s="277"/>
    </row>
    <row r="255">
      <c r="A255" s="277"/>
      <c r="B255" s="277"/>
      <c r="C255" s="278" t="s">
        <v>3</v>
      </c>
      <c r="D255" s="277"/>
      <c r="E255" s="277"/>
    </row>
    <row r="256">
      <c r="A256" s="277"/>
      <c r="B256" s="277"/>
      <c r="C256" s="278" t="s">
        <v>3</v>
      </c>
      <c r="D256" s="277"/>
      <c r="E256" s="277"/>
    </row>
    <row r="257">
      <c r="A257" s="277"/>
      <c r="B257" s="277"/>
      <c r="C257" s="278" t="s">
        <v>3</v>
      </c>
      <c r="D257" s="277"/>
      <c r="E257" s="277"/>
    </row>
    <row r="258">
      <c r="A258" s="277"/>
      <c r="B258" s="277"/>
      <c r="C258" s="278" t="s">
        <v>3</v>
      </c>
      <c r="D258" s="277"/>
      <c r="E258" s="277"/>
    </row>
    <row r="259">
      <c r="A259" s="277"/>
      <c r="B259" s="277"/>
      <c r="C259" s="278" t="s">
        <v>3</v>
      </c>
      <c r="D259" s="277"/>
      <c r="E259" s="277"/>
    </row>
    <row r="260">
      <c r="A260" s="277"/>
      <c r="B260" s="277"/>
      <c r="C260" s="278" t="s">
        <v>3</v>
      </c>
      <c r="D260" s="277"/>
      <c r="E260" s="277"/>
    </row>
    <row r="261">
      <c r="A261" s="277"/>
      <c r="B261" s="277"/>
      <c r="C261" s="278" t="s">
        <v>3</v>
      </c>
      <c r="D261" s="277"/>
      <c r="E261" s="277"/>
    </row>
    <row r="262">
      <c r="A262" s="277"/>
      <c r="B262" s="277"/>
      <c r="C262" s="278" t="s">
        <v>3</v>
      </c>
      <c r="D262" s="277"/>
      <c r="E262" s="277"/>
    </row>
    <row r="263">
      <c r="A263" s="277"/>
      <c r="B263" s="277"/>
      <c r="C263" s="278" t="s">
        <v>3</v>
      </c>
      <c r="D263" s="277"/>
      <c r="E263" s="277"/>
    </row>
    <row r="264">
      <c r="A264" s="277"/>
      <c r="B264" s="277"/>
      <c r="C264" s="278" t="s">
        <v>3</v>
      </c>
      <c r="D264" s="277"/>
      <c r="E264" s="277"/>
    </row>
    <row r="265">
      <c r="A265" s="277"/>
      <c r="B265" s="277"/>
      <c r="C265" s="278" t="s">
        <v>3</v>
      </c>
      <c r="D265" s="277"/>
      <c r="E265" s="277"/>
    </row>
    <row r="266">
      <c r="A266" s="277"/>
      <c r="B266" s="277"/>
      <c r="C266" s="278" t="s">
        <v>3</v>
      </c>
      <c r="D266" s="277"/>
      <c r="E266" s="277"/>
    </row>
    <row r="267">
      <c r="A267" s="277"/>
      <c r="B267" s="277"/>
      <c r="C267" s="278" t="s">
        <v>3</v>
      </c>
      <c r="D267" s="277"/>
      <c r="E267" s="277"/>
    </row>
    <row r="268">
      <c r="A268" s="277"/>
      <c r="B268" s="277"/>
      <c r="C268" s="278" t="s">
        <v>3</v>
      </c>
      <c r="D268" s="277"/>
      <c r="E268" s="277"/>
    </row>
    <row r="269">
      <c r="A269" s="277"/>
      <c r="B269" s="277"/>
      <c r="C269" s="278" t="s">
        <v>3</v>
      </c>
      <c r="D269" s="277"/>
      <c r="E269" s="277"/>
    </row>
    <row r="270">
      <c r="A270" s="277"/>
      <c r="B270" s="277"/>
      <c r="C270" s="278" t="s">
        <v>3</v>
      </c>
      <c r="D270" s="277"/>
      <c r="E270" s="277"/>
    </row>
    <row r="271">
      <c r="A271" s="277"/>
      <c r="B271" s="277"/>
      <c r="C271" s="278" t="s">
        <v>3</v>
      </c>
      <c r="D271" s="277"/>
      <c r="E271" s="277"/>
    </row>
    <row r="272">
      <c r="A272" s="277"/>
      <c r="B272" s="277"/>
      <c r="C272" s="278" t="s">
        <v>3</v>
      </c>
      <c r="D272" s="277"/>
      <c r="E272" s="277"/>
    </row>
    <row r="273">
      <c r="A273" s="277"/>
      <c r="B273" s="277"/>
      <c r="C273" s="278" t="s">
        <v>3</v>
      </c>
      <c r="D273" s="277"/>
      <c r="E273" s="277"/>
    </row>
    <row r="274">
      <c r="A274" s="277"/>
      <c r="B274" s="277"/>
      <c r="C274" s="278" t="s">
        <v>3</v>
      </c>
      <c r="D274" s="277"/>
      <c r="E274" s="277"/>
    </row>
    <row r="275">
      <c r="A275" s="277"/>
      <c r="B275" s="277"/>
      <c r="C275" s="278" t="s">
        <v>3</v>
      </c>
      <c r="D275" s="277"/>
      <c r="E275" s="277"/>
    </row>
    <row r="276">
      <c r="A276" s="277"/>
      <c r="B276" s="277"/>
      <c r="C276" s="278" t="s">
        <v>3</v>
      </c>
      <c r="D276" s="277"/>
      <c r="E276" s="277"/>
    </row>
    <row r="277">
      <c r="A277" s="277"/>
      <c r="B277" s="277"/>
      <c r="C277" s="278" t="s">
        <v>3</v>
      </c>
      <c r="D277" s="277"/>
      <c r="E277" s="277"/>
    </row>
    <row r="278">
      <c r="A278" s="277"/>
      <c r="B278" s="277"/>
      <c r="C278" s="278" t="s">
        <v>3</v>
      </c>
      <c r="D278" s="277"/>
      <c r="E278" s="277"/>
    </row>
    <row r="279">
      <c r="A279" s="277"/>
      <c r="B279" s="277"/>
      <c r="C279" s="278" t="s">
        <v>3</v>
      </c>
      <c r="D279" s="277"/>
      <c r="E279" s="277"/>
    </row>
    <row r="280">
      <c r="A280" s="277"/>
      <c r="B280" s="277"/>
      <c r="C280" s="278" t="s">
        <v>3</v>
      </c>
      <c r="D280" s="277"/>
      <c r="E280" s="277"/>
    </row>
    <row r="281">
      <c r="A281" s="277"/>
      <c r="B281" s="277"/>
      <c r="C281" s="278" t="s">
        <v>3</v>
      </c>
      <c r="D281" s="277"/>
      <c r="E281" s="277"/>
    </row>
    <row r="282">
      <c r="A282" s="277"/>
      <c r="B282" s="277"/>
      <c r="C282" s="278" t="s">
        <v>3</v>
      </c>
      <c r="D282" s="277"/>
      <c r="E282" s="277"/>
    </row>
    <row r="283">
      <c r="A283" s="277"/>
      <c r="B283" s="277"/>
      <c r="C283" s="278" t="s">
        <v>3</v>
      </c>
      <c r="D283" s="277"/>
      <c r="E283" s="277"/>
    </row>
    <row r="284">
      <c r="A284" s="277"/>
      <c r="B284" s="277"/>
      <c r="C284" s="278" t="s">
        <v>3</v>
      </c>
      <c r="D284" s="277"/>
      <c r="E284" s="277"/>
    </row>
    <row r="285">
      <c r="A285" s="277"/>
      <c r="B285" s="277"/>
      <c r="C285" s="278" t="s">
        <v>3</v>
      </c>
      <c r="D285" s="277"/>
      <c r="E285" s="277"/>
    </row>
    <row r="286">
      <c r="A286" s="277"/>
      <c r="B286" s="277"/>
      <c r="C286" s="278" t="s">
        <v>3</v>
      </c>
      <c r="D286" s="277"/>
      <c r="E286" s="277"/>
    </row>
    <row r="287">
      <c r="A287" s="277"/>
      <c r="B287" s="277"/>
      <c r="C287" s="278" t="s">
        <v>3</v>
      </c>
      <c r="D287" s="277"/>
      <c r="E287" s="277"/>
    </row>
    <row r="288">
      <c r="A288" s="277"/>
      <c r="B288" s="277"/>
      <c r="C288" s="278" t="s">
        <v>3</v>
      </c>
      <c r="D288" s="277"/>
      <c r="E288" s="277"/>
    </row>
    <row r="289">
      <c r="A289" s="277"/>
      <c r="B289" s="277"/>
      <c r="C289" s="278" t="s">
        <v>3</v>
      </c>
      <c r="D289" s="277"/>
      <c r="E289" s="277"/>
    </row>
    <row r="290">
      <c r="A290" s="277"/>
      <c r="B290" s="277"/>
      <c r="C290" s="278" t="s">
        <v>3</v>
      </c>
      <c r="D290" s="277"/>
      <c r="E290" s="277"/>
    </row>
    <row r="291">
      <c r="A291" s="277"/>
      <c r="B291" s="277"/>
      <c r="C291" s="278" t="s">
        <v>3</v>
      </c>
      <c r="D291" s="277"/>
      <c r="E291" s="277"/>
    </row>
    <row r="292">
      <c r="A292" s="277"/>
      <c r="B292" s="277"/>
      <c r="C292" s="278" t="s">
        <v>3</v>
      </c>
      <c r="D292" s="277"/>
      <c r="E292" s="277"/>
    </row>
    <row r="293">
      <c r="A293" s="277"/>
      <c r="B293" s="277"/>
      <c r="C293" s="278" t="s">
        <v>3</v>
      </c>
      <c r="D293" s="277"/>
      <c r="E293" s="277"/>
    </row>
    <row r="294">
      <c r="A294" s="277"/>
      <c r="B294" s="277"/>
      <c r="C294" s="278" t="s">
        <v>3</v>
      </c>
      <c r="D294" s="277"/>
      <c r="E294" s="277"/>
    </row>
    <row r="295">
      <c r="A295" s="277"/>
      <c r="B295" s="277"/>
      <c r="C295" s="278" t="s">
        <v>3</v>
      </c>
      <c r="D295" s="277"/>
      <c r="E295" s="277"/>
    </row>
    <row r="296">
      <c r="A296" s="277"/>
      <c r="B296" s="277"/>
      <c r="C296" s="278" t="s">
        <v>3</v>
      </c>
      <c r="D296" s="277"/>
      <c r="E296" s="277"/>
    </row>
    <row r="297">
      <c r="A297" s="277"/>
      <c r="B297" s="277"/>
      <c r="C297" s="278" t="s">
        <v>3</v>
      </c>
      <c r="D297" s="277"/>
      <c r="E297" s="277"/>
    </row>
    <row r="298">
      <c r="A298" s="277"/>
      <c r="B298" s="277"/>
      <c r="C298" s="278" t="s">
        <v>3</v>
      </c>
      <c r="D298" s="277"/>
      <c r="E298" s="277"/>
    </row>
    <row r="299">
      <c r="A299" s="277"/>
      <c r="B299" s="277"/>
      <c r="C299" s="278" t="s">
        <v>3</v>
      </c>
      <c r="D299" s="277"/>
      <c r="E299" s="277"/>
    </row>
    <row r="300">
      <c r="A300" s="277"/>
      <c r="B300" s="277"/>
      <c r="C300" s="278" t="s">
        <v>3</v>
      </c>
      <c r="D300" s="277"/>
      <c r="E300" s="277"/>
    </row>
    <row r="301">
      <c r="A301" s="277"/>
      <c r="B301" s="277"/>
      <c r="C301" s="278" t="s">
        <v>3</v>
      </c>
      <c r="D301" s="277"/>
      <c r="E301" s="277"/>
    </row>
    <row r="302">
      <c r="A302" s="277"/>
      <c r="B302" s="277"/>
      <c r="C302" s="278" t="s">
        <v>3</v>
      </c>
      <c r="D302" s="277"/>
      <c r="E302" s="277"/>
    </row>
    <row r="303">
      <c r="A303" s="277"/>
      <c r="B303" s="277"/>
      <c r="C303" s="278" t="s">
        <v>3</v>
      </c>
      <c r="D303" s="277"/>
      <c r="E303" s="277"/>
    </row>
    <row r="304">
      <c r="A304" s="277"/>
      <c r="B304" s="277"/>
      <c r="C304" s="278" t="s">
        <v>3</v>
      </c>
      <c r="D304" s="277"/>
      <c r="E304" s="277"/>
    </row>
    <row r="305">
      <c r="A305" s="277"/>
      <c r="B305" s="277"/>
      <c r="C305" s="278" t="s">
        <v>3</v>
      </c>
      <c r="D305" s="277"/>
      <c r="E305" s="277"/>
    </row>
    <row r="306">
      <c r="A306" s="277"/>
      <c r="B306" s="277"/>
      <c r="C306" s="278" t="s">
        <v>3</v>
      </c>
      <c r="D306" s="277"/>
      <c r="E306" s="277"/>
    </row>
    <row r="307">
      <c r="A307" s="277"/>
      <c r="B307" s="277"/>
      <c r="C307" s="278" t="s">
        <v>3</v>
      </c>
      <c r="D307" s="277"/>
      <c r="E307" s="277"/>
    </row>
    <row r="308">
      <c r="A308" s="277"/>
      <c r="B308" s="277"/>
      <c r="C308" s="278" t="s">
        <v>3</v>
      </c>
      <c r="D308" s="277"/>
      <c r="E308" s="277"/>
    </row>
    <row r="309">
      <c r="A309" s="277"/>
      <c r="B309" s="277"/>
      <c r="C309" s="278" t="s">
        <v>3</v>
      </c>
      <c r="D309" s="277"/>
      <c r="E309" s="277"/>
    </row>
    <row r="310">
      <c r="A310" s="277"/>
      <c r="B310" s="277"/>
      <c r="C310" s="278" t="s">
        <v>3</v>
      </c>
      <c r="D310" s="277"/>
      <c r="E310" s="277"/>
    </row>
    <row r="311">
      <c r="A311" s="277"/>
      <c r="B311" s="277"/>
      <c r="C311" s="278" t="s">
        <v>3</v>
      </c>
      <c r="D311" s="277"/>
      <c r="E311" s="277"/>
    </row>
    <row r="312">
      <c r="A312" s="277"/>
      <c r="B312" s="277"/>
      <c r="C312" s="278" t="s">
        <v>3</v>
      </c>
      <c r="D312" s="277"/>
      <c r="E312" s="277"/>
    </row>
    <row r="313">
      <c r="A313" s="277"/>
      <c r="B313" s="277"/>
      <c r="C313" s="278" t="s">
        <v>3</v>
      </c>
      <c r="D313" s="277"/>
      <c r="E313" s="277"/>
    </row>
    <row r="314">
      <c r="A314" s="277"/>
      <c r="B314" s="277"/>
      <c r="C314" s="278" t="s">
        <v>3</v>
      </c>
      <c r="D314" s="277"/>
      <c r="E314" s="277"/>
    </row>
    <row r="315">
      <c r="A315" s="277"/>
      <c r="B315" s="277"/>
      <c r="C315" s="278" t="s">
        <v>3</v>
      </c>
      <c r="D315" s="277"/>
      <c r="E315" s="277"/>
    </row>
    <row r="316">
      <c r="A316" s="277"/>
      <c r="B316" s="277"/>
      <c r="C316" s="278" t="s">
        <v>3</v>
      </c>
      <c r="D316" s="277"/>
      <c r="E316" s="277"/>
    </row>
    <row r="317">
      <c r="A317" s="277"/>
      <c r="B317" s="277"/>
      <c r="C317" s="278" t="s">
        <v>3</v>
      </c>
      <c r="D317" s="277"/>
      <c r="E317" s="277"/>
    </row>
    <row r="318">
      <c r="A318" s="277"/>
      <c r="B318" s="277"/>
      <c r="C318" s="278" t="s">
        <v>3</v>
      </c>
      <c r="D318" s="277"/>
      <c r="E318" s="277"/>
    </row>
    <row r="319">
      <c r="A319" s="277"/>
      <c r="B319" s="277"/>
      <c r="C319" s="278" t="s">
        <v>3</v>
      </c>
      <c r="D319" s="277"/>
      <c r="E319" s="277"/>
    </row>
    <row r="320">
      <c r="A320" s="277"/>
      <c r="B320" s="277"/>
      <c r="C320" s="278" t="s">
        <v>3</v>
      </c>
      <c r="D320" s="277"/>
      <c r="E320" s="277"/>
    </row>
    <row r="321">
      <c r="A321" s="277"/>
      <c r="B321" s="277"/>
      <c r="C321" s="278" t="s">
        <v>3</v>
      </c>
      <c r="D321" s="277"/>
      <c r="E321" s="277"/>
    </row>
    <row r="322">
      <c r="A322" s="277"/>
      <c r="B322" s="277"/>
      <c r="C322" s="278" t="s">
        <v>3</v>
      </c>
      <c r="D322" s="277"/>
      <c r="E322" s="277"/>
    </row>
    <row r="323">
      <c r="A323" s="277"/>
      <c r="B323" s="277"/>
      <c r="C323" s="278" t="s">
        <v>3</v>
      </c>
      <c r="D323" s="277"/>
      <c r="E323" s="277"/>
    </row>
    <row r="324">
      <c r="A324" s="277"/>
      <c r="B324" s="277"/>
      <c r="C324" s="278" t="s">
        <v>3</v>
      </c>
      <c r="D324" s="277"/>
      <c r="E324" s="277"/>
    </row>
    <row r="325">
      <c r="A325" s="277"/>
      <c r="B325" s="277"/>
      <c r="C325" s="278" t="s">
        <v>3</v>
      </c>
      <c r="D325" s="277"/>
      <c r="E325" s="277"/>
    </row>
    <row r="326">
      <c r="A326" s="277"/>
      <c r="B326" s="277"/>
      <c r="C326" s="278" t="s">
        <v>3</v>
      </c>
      <c r="D326" s="277"/>
      <c r="E326" s="277"/>
    </row>
    <row r="327">
      <c r="A327" s="277"/>
      <c r="B327" s="277"/>
      <c r="C327" s="278" t="s">
        <v>3</v>
      </c>
      <c r="D327" s="277"/>
      <c r="E327" s="277"/>
    </row>
    <row r="328">
      <c r="A328" s="277"/>
      <c r="B328" s="277"/>
      <c r="C328" s="278" t="s">
        <v>3</v>
      </c>
      <c r="D328" s="277"/>
      <c r="E328" s="277"/>
    </row>
    <row r="329">
      <c r="A329" s="277"/>
      <c r="B329" s="277"/>
      <c r="C329" s="278" t="s">
        <v>3</v>
      </c>
      <c r="D329" s="277"/>
      <c r="E329" s="277"/>
    </row>
    <row r="330">
      <c r="A330" s="277"/>
      <c r="B330" s="277"/>
      <c r="C330" s="278" t="s">
        <v>3</v>
      </c>
      <c r="D330" s="277"/>
      <c r="E330" s="277"/>
    </row>
    <row r="331">
      <c r="A331" s="277"/>
      <c r="B331" s="277"/>
      <c r="C331" s="278" t="s">
        <v>3</v>
      </c>
      <c r="D331" s="277"/>
      <c r="E331" s="277"/>
    </row>
    <row r="332">
      <c r="A332" s="277"/>
      <c r="B332" s="277"/>
      <c r="C332" s="278" t="s">
        <v>3</v>
      </c>
      <c r="D332" s="277"/>
      <c r="E332" s="277"/>
    </row>
    <row r="333">
      <c r="A333" s="277"/>
      <c r="B333" s="277"/>
      <c r="C333" s="278" t="s">
        <v>3</v>
      </c>
      <c r="D333" s="277"/>
      <c r="E333" s="277"/>
    </row>
    <row r="334">
      <c r="A334" s="277"/>
      <c r="B334" s="277"/>
      <c r="C334" s="278" t="s">
        <v>3</v>
      </c>
      <c r="D334" s="277"/>
      <c r="E334" s="277"/>
    </row>
    <row r="335">
      <c r="A335" s="277"/>
      <c r="B335" s="277"/>
      <c r="C335" s="278" t="s">
        <v>3</v>
      </c>
      <c r="D335" s="277"/>
      <c r="E335" s="277"/>
    </row>
    <row r="336">
      <c r="A336" s="277"/>
      <c r="B336" s="277"/>
      <c r="C336" s="278" t="s">
        <v>3</v>
      </c>
      <c r="D336" s="277"/>
      <c r="E336" s="277"/>
    </row>
    <row r="337">
      <c r="A337" s="277"/>
      <c r="B337" s="277"/>
      <c r="C337" s="278" t="s">
        <v>3</v>
      </c>
      <c r="D337" s="277"/>
      <c r="E337" s="277"/>
    </row>
    <row r="338">
      <c r="A338" s="277"/>
      <c r="B338" s="277"/>
      <c r="C338" s="278" t="s">
        <v>3</v>
      </c>
      <c r="D338" s="277"/>
      <c r="E338" s="277"/>
    </row>
    <row r="339">
      <c r="A339" s="277"/>
      <c r="B339" s="277"/>
      <c r="C339" s="278" t="s">
        <v>3</v>
      </c>
      <c r="D339" s="277"/>
      <c r="E339" s="277"/>
    </row>
    <row r="340">
      <c r="A340" s="277"/>
      <c r="B340" s="277"/>
      <c r="C340" s="278" t="s">
        <v>3</v>
      </c>
      <c r="D340" s="277"/>
      <c r="E340" s="277"/>
    </row>
    <row r="341">
      <c r="A341" s="277"/>
      <c r="B341" s="277"/>
      <c r="C341" s="278" t="s">
        <v>3</v>
      </c>
      <c r="D341" s="277"/>
      <c r="E341" s="277"/>
    </row>
    <row r="342">
      <c r="A342" s="277"/>
      <c r="B342" s="277"/>
      <c r="C342" s="278" t="s">
        <v>3</v>
      </c>
      <c r="D342" s="277"/>
      <c r="E342" s="277"/>
    </row>
    <row r="343">
      <c r="A343" s="277"/>
      <c r="B343" s="277"/>
      <c r="C343" s="278" t="s">
        <v>3</v>
      </c>
      <c r="D343" s="277"/>
      <c r="E343" s="277"/>
    </row>
    <row r="344">
      <c r="A344" s="277"/>
      <c r="B344" s="277"/>
      <c r="C344" s="278" t="s">
        <v>3</v>
      </c>
      <c r="D344" s="277"/>
      <c r="E344" s="277"/>
    </row>
    <row r="345">
      <c r="A345" s="277"/>
      <c r="B345" s="277"/>
      <c r="C345" s="278" t="s">
        <v>3</v>
      </c>
      <c r="D345" s="277"/>
      <c r="E345" s="277"/>
    </row>
    <row r="346">
      <c r="A346" s="277"/>
      <c r="B346" s="277"/>
      <c r="C346" s="278" t="s">
        <v>3</v>
      </c>
      <c r="D346" s="277"/>
      <c r="E346" s="277"/>
    </row>
    <row r="347">
      <c r="A347" s="277"/>
      <c r="B347" s="277"/>
      <c r="C347" s="278" t="s">
        <v>3</v>
      </c>
      <c r="D347" s="277"/>
      <c r="E347" s="277"/>
    </row>
    <row r="348">
      <c r="A348" s="277"/>
      <c r="B348" s="277"/>
      <c r="C348" s="278" t="s">
        <v>3</v>
      </c>
      <c r="D348" s="277"/>
      <c r="E348" s="277"/>
    </row>
    <row r="349">
      <c r="A349" s="277"/>
      <c r="B349" s="277"/>
      <c r="C349" s="278" t="s">
        <v>3</v>
      </c>
      <c r="D349" s="277"/>
      <c r="E349" s="277"/>
    </row>
    <row r="350">
      <c r="A350" s="277"/>
      <c r="B350" s="277"/>
      <c r="C350" s="278" t="s">
        <v>3</v>
      </c>
      <c r="D350" s="277"/>
      <c r="E350" s="277"/>
    </row>
    <row r="351">
      <c r="A351" s="277"/>
      <c r="B351" s="277"/>
      <c r="C351" s="278" t="s">
        <v>3</v>
      </c>
      <c r="D351" s="277"/>
      <c r="E351" s="277"/>
    </row>
    <row r="352">
      <c r="A352" s="277"/>
      <c r="B352" s="277"/>
      <c r="C352" s="278" t="s">
        <v>3</v>
      </c>
      <c r="D352" s="277"/>
      <c r="E352" s="277"/>
    </row>
    <row r="353">
      <c r="A353" s="277"/>
      <c r="B353" s="277"/>
      <c r="C353" s="278" t="s">
        <v>3</v>
      </c>
      <c r="D353" s="277"/>
      <c r="E353" s="277"/>
    </row>
    <row r="354">
      <c r="A354" s="277"/>
      <c r="B354" s="277"/>
      <c r="C354" s="278" t="s">
        <v>3</v>
      </c>
      <c r="D354" s="277"/>
      <c r="E354" s="277"/>
    </row>
    <row r="355">
      <c r="A355" s="277"/>
      <c r="B355" s="277"/>
      <c r="C355" s="278" t="s">
        <v>3</v>
      </c>
      <c r="D355" s="277"/>
      <c r="E355" s="277"/>
    </row>
    <row r="356">
      <c r="A356" s="277"/>
      <c r="B356" s="277"/>
      <c r="C356" s="278" t="s">
        <v>3</v>
      </c>
      <c r="D356" s="277"/>
      <c r="E356" s="277"/>
    </row>
    <row r="357">
      <c r="A357" s="277"/>
      <c r="B357" s="277"/>
      <c r="C357" s="278" t="s">
        <v>3</v>
      </c>
      <c r="D357" s="277"/>
      <c r="E357" s="277"/>
    </row>
    <row r="358">
      <c r="A358" s="277"/>
      <c r="B358" s="277"/>
      <c r="C358" s="278" t="s">
        <v>3</v>
      </c>
      <c r="D358" s="277"/>
      <c r="E358" s="277"/>
    </row>
    <row r="359">
      <c r="A359" s="277"/>
      <c r="B359" s="277"/>
      <c r="C359" s="278" t="s">
        <v>3</v>
      </c>
      <c r="D359" s="277"/>
      <c r="E359" s="277"/>
    </row>
    <row r="360">
      <c r="A360" s="277"/>
      <c r="B360" s="277"/>
      <c r="C360" s="278" t="s">
        <v>3</v>
      </c>
      <c r="D360" s="277"/>
      <c r="E360" s="277"/>
    </row>
    <row r="361">
      <c r="A361" s="277"/>
      <c r="B361" s="277"/>
      <c r="C361" s="278" t="s">
        <v>3</v>
      </c>
      <c r="D361" s="277"/>
      <c r="E361" s="277"/>
    </row>
    <row r="362">
      <c r="A362" s="277"/>
      <c r="B362" s="277"/>
      <c r="C362" s="278" t="s">
        <v>3</v>
      </c>
      <c r="D362" s="277"/>
      <c r="E362" s="277"/>
    </row>
    <row r="363">
      <c r="A363" s="277"/>
      <c r="B363" s="277"/>
      <c r="C363" s="278" t="s">
        <v>3</v>
      </c>
      <c r="D363" s="277"/>
      <c r="E363" s="277"/>
    </row>
    <row r="364">
      <c r="A364" s="277"/>
      <c r="B364" s="277"/>
      <c r="C364" s="278" t="s">
        <v>3</v>
      </c>
      <c r="D364" s="277"/>
      <c r="E364" s="277"/>
    </row>
    <row r="365">
      <c r="A365" s="277"/>
      <c r="B365" s="277"/>
      <c r="C365" s="278" t="s">
        <v>3</v>
      </c>
      <c r="D365" s="277"/>
      <c r="E365" s="277"/>
    </row>
    <row r="366">
      <c r="A366" s="277"/>
      <c r="B366" s="277"/>
      <c r="C366" s="278" t="s">
        <v>3</v>
      </c>
      <c r="D366" s="277"/>
      <c r="E366" s="277"/>
    </row>
    <row r="367">
      <c r="A367" s="277"/>
      <c r="B367" s="277"/>
      <c r="C367" s="278" t="s">
        <v>3</v>
      </c>
      <c r="D367" s="277"/>
      <c r="E367" s="277"/>
    </row>
    <row r="368">
      <c r="A368" s="277"/>
      <c r="B368" s="277"/>
      <c r="C368" s="278" t="s">
        <v>3</v>
      </c>
      <c r="D368" s="277"/>
      <c r="E368" s="277"/>
    </row>
    <row r="369">
      <c r="A369" s="277"/>
      <c r="B369" s="277"/>
      <c r="C369" s="278" t="s">
        <v>3</v>
      </c>
      <c r="D369" s="277"/>
      <c r="E369" s="277"/>
    </row>
    <row r="370">
      <c r="A370" s="277"/>
      <c r="B370" s="277"/>
      <c r="C370" s="278" t="s">
        <v>3</v>
      </c>
      <c r="D370" s="277"/>
      <c r="E370" s="277"/>
    </row>
    <row r="371">
      <c r="A371" s="277"/>
      <c r="B371" s="277"/>
      <c r="C371" s="278" t="s">
        <v>3</v>
      </c>
      <c r="D371" s="277"/>
      <c r="E371" s="277"/>
    </row>
    <row r="372">
      <c r="A372" s="277"/>
      <c r="B372" s="277"/>
      <c r="C372" s="278" t="s">
        <v>3</v>
      </c>
      <c r="D372" s="277"/>
      <c r="E372" s="277"/>
    </row>
    <row r="373">
      <c r="A373" s="277"/>
      <c r="B373" s="277"/>
      <c r="C373" s="278" t="s">
        <v>3</v>
      </c>
      <c r="D373" s="277"/>
      <c r="E373" s="277"/>
    </row>
    <row r="374">
      <c r="A374" s="277"/>
      <c r="B374" s="277"/>
      <c r="C374" s="278" t="s">
        <v>3</v>
      </c>
      <c r="D374" s="277"/>
      <c r="E374" s="277"/>
    </row>
    <row r="375">
      <c r="A375" s="277"/>
      <c r="B375" s="277"/>
      <c r="C375" s="278" t="s">
        <v>3</v>
      </c>
      <c r="D375" s="277"/>
      <c r="E375" s="277"/>
    </row>
    <row r="376">
      <c r="A376" s="277"/>
      <c r="B376" s="277"/>
      <c r="C376" s="278" t="s">
        <v>3</v>
      </c>
      <c r="D376" s="277"/>
      <c r="E376" s="277"/>
    </row>
    <row r="377">
      <c r="A377" s="277"/>
      <c r="B377" s="277"/>
      <c r="C377" s="278" t="s">
        <v>3</v>
      </c>
      <c r="D377" s="277"/>
      <c r="E377" s="277"/>
    </row>
    <row r="378">
      <c r="A378" s="277"/>
      <c r="B378" s="277"/>
      <c r="C378" s="278" t="s">
        <v>3</v>
      </c>
      <c r="D378" s="277"/>
      <c r="E378" s="277"/>
    </row>
    <row r="379">
      <c r="A379" s="277"/>
      <c r="B379" s="277"/>
      <c r="C379" s="278" t="s">
        <v>3</v>
      </c>
      <c r="D379" s="277"/>
      <c r="E379" s="277"/>
    </row>
    <row r="380">
      <c r="A380" s="277"/>
      <c r="B380" s="277"/>
      <c r="C380" s="278" t="s">
        <v>3</v>
      </c>
      <c r="D380" s="277"/>
      <c r="E380" s="277"/>
    </row>
    <row r="381">
      <c r="A381" s="277"/>
      <c r="B381" s="277"/>
      <c r="C381" s="278" t="s">
        <v>3</v>
      </c>
      <c r="D381" s="277"/>
      <c r="E381" s="277"/>
    </row>
    <row r="382">
      <c r="A382" s="277"/>
      <c r="B382" s="277"/>
      <c r="C382" s="278" t="s">
        <v>3</v>
      </c>
      <c r="D382" s="277"/>
      <c r="E382" s="277"/>
    </row>
    <row r="383">
      <c r="A383" s="277"/>
      <c r="B383" s="277"/>
      <c r="C383" s="278" t="s">
        <v>3</v>
      </c>
      <c r="D383" s="277"/>
      <c r="E383" s="277"/>
    </row>
    <row r="384">
      <c r="A384" s="277"/>
      <c r="B384" s="277"/>
      <c r="C384" s="278" t="s">
        <v>3</v>
      </c>
      <c r="D384" s="277"/>
      <c r="E384" s="277"/>
    </row>
    <row r="385">
      <c r="A385" s="277"/>
      <c r="B385" s="277"/>
      <c r="C385" s="278" t="s">
        <v>3</v>
      </c>
      <c r="D385" s="277"/>
      <c r="E385" s="277"/>
    </row>
    <row r="386">
      <c r="A386" s="277"/>
      <c r="B386" s="277"/>
      <c r="C386" s="278" t="s">
        <v>3</v>
      </c>
      <c r="D386" s="277"/>
      <c r="E386" s="277"/>
    </row>
    <row r="387">
      <c r="A387" s="277"/>
      <c r="B387" s="277"/>
      <c r="C387" s="278" t="s">
        <v>3</v>
      </c>
      <c r="D387" s="277"/>
      <c r="E387" s="277"/>
    </row>
    <row r="388">
      <c r="A388" s="277"/>
      <c r="B388" s="277"/>
      <c r="C388" s="278" t="s">
        <v>3</v>
      </c>
      <c r="D388" s="277"/>
      <c r="E388" s="277"/>
    </row>
    <row r="389">
      <c r="A389" s="277"/>
      <c r="B389" s="277"/>
      <c r="C389" s="278" t="s">
        <v>3</v>
      </c>
      <c r="D389" s="277"/>
      <c r="E389" s="277"/>
    </row>
    <row r="390">
      <c r="A390" s="277"/>
      <c r="B390" s="277"/>
      <c r="C390" s="278" t="s">
        <v>3</v>
      </c>
      <c r="D390" s="277"/>
      <c r="E390" s="277"/>
    </row>
    <row r="391">
      <c r="A391" s="277"/>
      <c r="B391" s="277"/>
      <c r="C391" s="278" t="s">
        <v>3</v>
      </c>
      <c r="D391" s="277"/>
      <c r="E391" s="277"/>
    </row>
    <row r="392">
      <c r="A392" s="277"/>
      <c r="B392" s="277"/>
      <c r="C392" s="278" t="s">
        <v>3</v>
      </c>
      <c r="D392" s="277"/>
      <c r="E392" s="277"/>
    </row>
    <row r="393">
      <c r="A393" s="277"/>
      <c r="B393" s="277"/>
      <c r="C393" s="278" t="s">
        <v>3</v>
      </c>
      <c r="D393" s="277"/>
      <c r="E393" s="277"/>
    </row>
    <row r="394">
      <c r="A394" s="277"/>
      <c r="B394" s="277"/>
      <c r="C394" s="278" t="s">
        <v>3</v>
      </c>
      <c r="D394" s="277"/>
      <c r="E394" s="277"/>
    </row>
    <row r="395">
      <c r="A395" s="277"/>
      <c r="B395" s="277"/>
      <c r="C395" s="278" t="s">
        <v>3</v>
      </c>
      <c r="D395" s="277"/>
      <c r="E395" s="277"/>
    </row>
    <row r="396">
      <c r="A396" s="277"/>
      <c r="B396" s="277"/>
      <c r="C396" s="278" t="s">
        <v>3</v>
      </c>
      <c r="D396" s="277"/>
      <c r="E396" s="277"/>
    </row>
    <row r="397">
      <c r="A397" s="277"/>
      <c r="B397" s="277"/>
      <c r="C397" s="278" t="s">
        <v>3</v>
      </c>
      <c r="D397" s="277"/>
      <c r="E397" s="277"/>
    </row>
    <row r="398">
      <c r="A398" s="277"/>
      <c r="B398" s="277"/>
      <c r="C398" s="278" t="s">
        <v>3</v>
      </c>
      <c r="D398" s="277"/>
      <c r="E398" s="277"/>
    </row>
    <row r="399">
      <c r="A399" s="277"/>
      <c r="B399" s="277"/>
      <c r="C399" s="278" t="s">
        <v>3</v>
      </c>
      <c r="D399" s="277"/>
      <c r="E399" s="277"/>
    </row>
    <row r="400">
      <c r="A400" s="277"/>
      <c r="B400" s="277"/>
      <c r="C400" s="278" t="s">
        <v>3</v>
      </c>
      <c r="D400" s="277"/>
      <c r="E400" s="277"/>
    </row>
    <row r="401">
      <c r="A401" s="277"/>
      <c r="B401" s="277"/>
      <c r="C401" s="278" t="s">
        <v>3</v>
      </c>
      <c r="D401" s="277"/>
      <c r="E401" s="277"/>
    </row>
    <row r="402">
      <c r="A402" s="277"/>
      <c r="B402" s="277"/>
      <c r="C402" s="278" t="s">
        <v>3</v>
      </c>
      <c r="D402" s="277"/>
      <c r="E402" s="277"/>
    </row>
    <row r="403">
      <c r="A403" s="277"/>
      <c r="B403" s="277"/>
      <c r="C403" s="278" t="s">
        <v>3</v>
      </c>
      <c r="D403" s="277"/>
      <c r="E403" s="277"/>
    </row>
    <row r="404">
      <c r="A404" s="277"/>
      <c r="B404" s="277"/>
      <c r="C404" s="278" t="s">
        <v>3</v>
      </c>
      <c r="D404" s="277"/>
      <c r="E404" s="277"/>
    </row>
    <row r="405">
      <c r="A405" s="277"/>
      <c r="B405" s="277"/>
      <c r="C405" s="278" t="s">
        <v>3</v>
      </c>
      <c r="D405" s="277"/>
      <c r="E405" s="277"/>
    </row>
    <row r="406">
      <c r="A406" s="277"/>
      <c r="B406" s="277"/>
      <c r="C406" s="278" t="s">
        <v>3</v>
      </c>
      <c r="D406" s="277"/>
      <c r="E406" s="277"/>
    </row>
    <row r="407">
      <c r="A407" s="277"/>
      <c r="B407" s="277"/>
      <c r="C407" s="278" t="s">
        <v>3</v>
      </c>
      <c r="D407" s="277"/>
      <c r="E407" s="277"/>
    </row>
    <row r="408">
      <c r="A408" s="277"/>
      <c r="B408" s="277"/>
      <c r="C408" s="278" t="s">
        <v>3</v>
      </c>
      <c r="D408" s="277"/>
      <c r="E408" s="277"/>
    </row>
    <row r="409">
      <c r="A409" s="277"/>
      <c r="B409" s="277"/>
      <c r="C409" s="278" t="s">
        <v>3</v>
      </c>
      <c r="D409" s="277"/>
      <c r="E409" s="277"/>
    </row>
    <row r="410">
      <c r="A410" s="277"/>
      <c r="B410" s="277"/>
      <c r="C410" s="278" t="s">
        <v>3</v>
      </c>
      <c r="D410" s="277"/>
      <c r="E410" s="277"/>
    </row>
    <row r="411">
      <c r="A411" s="277"/>
      <c r="B411" s="277"/>
      <c r="C411" s="278" t="s">
        <v>3</v>
      </c>
      <c r="D411" s="277"/>
      <c r="E411" s="277"/>
    </row>
    <row r="412">
      <c r="A412" s="277"/>
      <c r="B412" s="277"/>
      <c r="C412" s="278" t="s">
        <v>3</v>
      </c>
      <c r="D412" s="277"/>
      <c r="E412" s="277"/>
    </row>
    <row r="413">
      <c r="A413" s="277"/>
      <c r="B413" s="277"/>
      <c r="C413" s="278" t="s">
        <v>3</v>
      </c>
      <c r="D413" s="277"/>
      <c r="E413" s="277"/>
    </row>
    <row r="414">
      <c r="A414" s="277"/>
      <c r="B414" s="277"/>
      <c r="C414" s="278" t="s">
        <v>3</v>
      </c>
      <c r="D414" s="277"/>
      <c r="E414" s="277"/>
    </row>
    <row r="415">
      <c r="A415" s="277"/>
      <c r="B415" s="277"/>
      <c r="C415" s="278" t="s">
        <v>3</v>
      </c>
      <c r="D415" s="277"/>
      <c r="E415" s="277"/>
    </row>
    <row r="416">
      <c r="A416" s="277"/>
      <c r="B416" s="277"/>
      <c r="C416" s="278" t="s">
        <v>3</v>
      </c>
      <c r="D416" s="277"/>
      <c r="E416" s="277"/>
    </row>
    <row r="417">
      <c r="A417" s="277"/>
      <c r="B417" s="277"/>
      <c r="C417" s="278" t="s">
        <v>3</v>
      </c>
      <c r="D417" s="277"/>
      <c r="E417" s="277"/>
    </row>
    <row r="418">
      <c r="A418" s="277"/>
      <c r="B418" s="277"/>
      <c r="C418" s="278" t="s">
        <v>3</v>
      </c>
      <c r="D418" s="277"/>
      <c r="E418" s="277"/>
    </row>
    <row r="419">
      <c r="A419" s="277"/>
      <c r="B419" s="277"/>
      <c r="C419" s="278" t="s">
        <v>3</v>
      </c>
      <c r="D419" s="277"/>
      <c r="E419" s="277"/>
    </row>
    <row r="420">
      <c r="A420" s="277"/>
      <c r="B420" s="277"/>
      <c r="C420" s="278" t="s">
        <v>3</v>
      </c>
      <c r="D420" s="277"/>
      <c r="E420" s="277"/>
    </row>
    <row r="421">
      <c r="A421" s="277"/>
      <c r="B421" s="277"/>
      <c r="C421" s="278" t="s">
        <v>3</v>
      </c>
      <c r="D421" s="277"/>
      <c r="E421" s="277"/>
    </row>
    <row r="422">
      <c r="A422" s="277"/>
      <c r="B422" s="277"/>
      <c r="C422" s="278" t="s">
        <v>3</v>
      </c>
      <c r="D422" s="277"/>
      <c r="E422" s="277"/>
    </row>
    <row r="423">
      <c r="A423" s="277"/>
      <c r="B423" s="277"/>
      <c r="C423" s="278" t="s">
        <v>3</v>
      </c>
      <c r="D423" s="277"/>
      <c r="E423" s="277"/>
    </row>
    <row r="424">
      <c r="A424" s="277"/>
      <c r="B424" s="277"/>
      <c r="C424" s="278" t="s">
        <v>3</v>
      </c>
      <c r="D424" s="277"/>
      <c r="E424" s="277"/>
    </row>
    <row r="425">
      <c r="A425" s="277"/>
      <c r="B425" s="277"/>
      <c r="C425" s="278" t="s">
        <v>3</v>
      </c>
      <c r="D425" s="277"/>
      <c r="E425" s="277"/>
    </row>
    <row r="426">
      <c r="A426" s="277"/>
      <c r="B426" s="277"/>
      <c r="C426" s="278" t="s">
        <v>3</v>
      </c>
      <c r="D426" s="277"/>
      <c r="E426" s="277"/>
    </row>
    <row r="427">
      <c r="A427" s="277"/>
      <c r="B427" s="277"/>
      <c r="C427" s="278" t="s">
        <v>3</v>
      </c>
      <c r="D427" s="277"/>
      <c r="E427" s="277"/>
    </row>
    <row r="428">
      <c r="A428" s="277"/>
      <c r="B428" s="277"/>
      <c r="C428" s="278" t="s">
        <v>3</v>
      </c>
      <c r="D428" s="277"/>
      <c r="E428" s="277"/>
    </row>
    <row r="429">
      <c r="A429" s="277"/>
      <c r="B429" s="277"/>
      <c r="C429" s="278" t="s">
        <v>3</v>
      </c>
      <c r="D429" s="277"/>
      <c r="E429" s="277"/>
    </row>
    <row r="430">
      <c r="A430" s="277"/>
      <c r="B430" s="277"/>
      <c r="C430" s="278" t="s">
        <v>3</v>
      </c>
      <c r="D430" s="277"/>
      <c r="E430" s="277"/>
    </row>
    <row r="431">
      <c r="A431" s="277"/>
      <c r="B431" s="277"/>
      <c r="C431" s="278" t="s">
        <v>3</v>
      </c>
      <c r="D431" s="277"/>
      <c r="E431" s="277"/>
    </row>
    <row r="432">
      <c r="A432" s="277"/>
      <c r="B432" s="277"/>
      <c r="C432" s="278" t="s">
        <v>3</v>
      </c>
      <c r="D432" s="277"/>
      <c r="E432" s="277"/>
    </row>
    <row r="433">
      <c r="A433" s="277"/>
      <c r="B433" s="277"/>
      <c r="C433" s="278" t="s">
        <v>3</v>
      </c>
      <c r="D433" s="277"/>
      <c r="E433" s="277"/>
    </row>
    <row r="434">
      <c r="A434" s="277"/>
      <c r="B434" s="277"/>
      <c r="C434" s="278" t="s">
        <v>3</v>
      </c>
      <c r="D434" s="277"/>
      <c r="E434" s="277"/>
    </row>
    <row r="435">
      <c r="A435" s="277"/>
      <c r="B435" s="277"/>
      <c r="C435" s="278" t="s">
        <v>3</v>
      </c>
      <c r="D435" s="277"/>
      <c r="E435" s="277"/>
    </row>
    <row r="436">
      <c r="A436" s="277"/>
      <c r="B436" s="277"/>
      <c r="C436" s="278" t="s">
        <v>3</v>
      </c>
      <c r="D436" s="277"/>
      <c r="E436" s="277"/>
    </row>
    <row r="437">
      <c r="A437" s="277"/>
      <c r="B437" s="277"/>
      <c r="C437" s="278" t="s">
        <v>3</v>
      </c>
      <c r="D437" s="277"/>
      <c r="E437" s="277"/>
    </row>
    <row r="438">
      <c r="A438" s="277"/>
      <c r="B438" s="277"/>
      <c r="C438" s="278" t="s">
        <v>3</v>
      </c>
      <c r="D438" s="277"/>
      <c r="E438" s="277"/>
    </row>
    <row r="439">
      <c r="A439" s="277"/>
      <c r="B439" s="277"/>
      <c r="C439" s="278" t="s">
        <v>3</v>
      </c>
      <c r="D439" s="277"/>
      <c r="E439" s="277"/>
    </row>
    <row r="440">
      <c r="A440" s="277"/>
      <c r="B440" s="277"/>
      <c r="C440" s="278" t="s">
        <v>3</v>
      </c>
      <c r="D440" s="277"/>
      <c r="E440" s="277"/>
    </row>
    <row r="441">
      <c r="A441" s="277"/>
      <c r="B441" s="277"/>
      <c r="C441" s="278" t="s">
        <v>3</v>
      </c>
      <c r="D441" s="277"/>
      <c r="E441" s="277"/>
    </row>
    <row r="442">
      <c r="A442" s="277"/>
      <c r="B442" s="277"/>
      <c r="C442" s="278" t="s">
        <v>3</v>
      </c>
      <c r="D442" s="277"/>
      <c r="E442" s="277"/>
    </row>
    <row r="443">
      <c r="A443" s="277"/>
      <c r="B443" s="277"/>
      <c r="C443" s="278" t="s">
        <v>3</v>
      </c>
      <c r="D443" s="277"/>
      <c r="E443" s="277"/>
    </row>
    <row r="444">
      <c r="A444" s="277"/>
      <c r="B444" s="277"/>
      <c r="C444" s="278" t="s">
        <v>3</v>
      </c>
      <c r="D444" s="277"/>
      <c r="E444" s="277"/>
    </row>
    <row r="445">
      <c r="A445" s="277"/>
      <c r="B445" s="277"/>
      <c r="C445" s="278" t="s">
        <v>3</v>
      </c>
      <c r="D445" s="277"/>
      <c r="E445" s="277"/>
    </row>
    <row r="446">
      <c r="A446" s="277"/>
      <c r="B446" s="277"/>
      <c r="C446" s="278" t="s">
        <v>3</v>
      </c>
      <c r="D446" s="277"/>
      <c r="E446" s="277"/>
    </row>
    <row r="447">
      <c r="A447" s="277"/>
      <c r="B447" s="277"/>
      <c r="C447" s="278" t="s">
        <v>3</v>
      </c>
      <c r="D447" s="277"/>
      <c r="E447" s="277"/>
    </row>
    <row r="448">
      <c r="A448" s="277"/>
      <c r="B448" s="277"/>
      <c r="C448" s="278" t="s">
        <v>3</v>
      </c>
      <c r="D448" s="277"/>
      <c r="E448" s="277"/>
    </row>
    <row r="449">
      <c r="A449" s="277"/>
      <c r="B449" s="277"/>
      <c r="C449" s="278" t="s">
        <v>3</v>
      </c>
      <c r="D449" s="277"/>
      <c r="E449" s="277"/>
    </row>
    <row r="450">
      <c r="A450" s="277"/>
      <c r="B450" s="277"/>
      <c r="C450" s="278" t="s">
        <v>3</v>
      </c>
      <c r="D450" s="277"/>
      <c r="E450" s="277"/>
    </row>
    <row r="451">
      <c r="A451" s="277"/>
      <c r="B451" s="277"/>
      <c r="C451" s="278" t="s">
        <v>3</v>
      </c>
      <c r="D451" s="277"/>
      <c r="E451" s="277"/>
    </row>
    <row r="452">
      <c r="A452" s="277"/>
      <c r="B452" s="277"/>
      <c r="C452" s="278" t="s">
        <v>3</v>
      </c>
      <c r="D452" s="277"/>
      <c r="E452" s="277"/>
    </row>
    <row r="453">
      <c r="A453" s="277"/>
      <c r="B453" s="277"/>
      <c r="C453" s="278" t="s">
        <v>3</v>
      </c>
      <c r="D453" s="277"/>
      <c r="E453" s="277"/>
    </row>
    <row r="454">
      <c r="A454" s="277"/>
      <c r="B454" s="277"/>
      <c r="C454" s="278" t="s">
        <v>3</v>
      </c>
      <c r="D454" s="277"/>
      <c r="E454" s="277"/>
    </row>
    <row r="455">
      <c r="A455" s="277"/>
      <c r="B455" s="277"/>
      <c r="C455" s="278" t="s">
        <v>3</v>
      </c>
      <c r="D455" s="277"/>
      <c r="E455" s="277"/>
    </row>
    <row r="456">
      <c r="A456" s="277"/>
      <c r="B456" s="277"/>
      <c r="C456" s="278" t="s">
        <v>3</v>
      </c>
      <c r="D456" s="277"/>
      <c r="E456" s="277"/>
    </row>
    <row r="457">
      <c r="A457" s="277"/>
      <c r="B457" s="277"/>
      <c r="C457" s="278" t="s">
        <v>3</v>
      </c>
      <c r="D457" s="277"/>
      <c r="E457" s="277"/>
    </row>
    <row r="458">
      <c r="A458" s="277"/>
      <c r="B458" s="277"/>
      <c r="C458" s="278" t="s">
        <v>3</v>
      </c>
      <c r="D458" s="277"/>
      <c r="E458" s="277"/>
    </row>
    <row r="459">
      <c r="A459" s="277"/>
      <c r="B459" s="277"/>
      <c r="C459" s="278" t="s">
        <v>3</v>
      </c>
      <c r="D459" s="277"/>
      <c r="E459" s="277"/>
    </row>
    <row r="460">
      <c r="A460" s="277"/>
      <c r="B460" s="277"/>
      <c r="C460" s="278" t="s">
        <v>3</v>
      </c>
      <c r="D460" s="277"/>
      <c r="E460" s="277"/>
    </row>
    <row r="461">
      <c r="A461" s="277"/>
      <c r="B461" s="277"/>
      <c r="C461" s="278" t="s">
        <v>3</v>
      </c>
      <c r="D461" s="277"/>
      <c r="E461" s="277"/>
    </row>
    <row r="462">
      <c r="A462" s="277"/>
      <c r="B462" s="277"/>
      <c r="C462" s="278" t="s">
        <v>3</v>
      </c>
      <c r="D462" s="277"/>
      <c r="E462" s="277"/>
    </row>
    <row r="463">
      <c r="A463" s="277"/>
      <c r="B463" s="277"/>
      <c r="C463" s="278" t="s">
        <v>3</v>
      </c>
      <c r="D463" s="277"/>
      <c r="E463" s="277"/>
    </row>
    <row r="464">
      <c r="A464" s="277"/>
      <c r="B464" s="277"/>
      <c r="C464" s="278" t="s">
        <v>3</v>
      </c>
      <c r="D464" s="277"/>
      <c r="E464" s="277"/>
    </row>
    <row r="465">
      <c r="A465" s="277"/>
      <c r="B465" s="277"/>
      <c r="C465" s="278" t="s">
        <v>3</v>
      </c>
      <c r="D465" s="277"/>
      <c r="E465" s="277"/>
    </row>
    <row r="466">
      <c r="A466" s="277"/>
      <c r="B466" s="277"/>
      <c r="C466" s="278" t="s">
        <v>3</v>
      </c>
      <c r="D466" s="277"/>
      <c r="E466" s="277"/>
    </row>
    <row r="467">
      <c r="A467" s="277"/>
      <c r="B467" s="277"/>
      <c r="C467" s="278" t="s">
        <v>3</v>
      </c>
      <c r="D467" s="277"/>
      <c r="E467" s="277"/>
    </row>
    <row r="468">
      <c r="A468" s="277"/>
      <c r="B468" s="277"/>
      <c r="C468" s="278" t="s">
        <v>3</v>
      </c>
      <c r="D468" s="277"/>
      <c r="E468" s="277"/>
    </row>
    <row r="469">
      <c r="A469" s="277"/>
      <c r="B469" s="277"/>
      <c r="C469" s="278" t="s">
        <v>3</v>
      </c>
      <c r="D469" s="277"/>
      <c r="E469" s="277"/>
    </row>
    <row r="470">
      <c r="A470" s="277"/>
      <c r="B470" s="277"/>
      <c r="C470" s="278" t="s">
        <v>3</v>
      </c>
      <c r="D470" s="277"/>
      <c r="E470" s="277"/>
    </row>
    <row r="471">
      <c r="A471" s="277"/>
      <c r="B471" s="277"/>
      <c r="C471" s="278" t="s">
        <v>3</v>
      </c>
      <c r="D471" s="277"/>
      <c r="E471" s="277"/>
    </row>
    <row r="472">
      <c r="A472" s="277"/>
      <c r="B472" s="277"/>
      <c r="C472" s="278" t="s">
        <v>3</v>
      </c>
      <c r="D472" s="277"/>
      <c r="E472" s="277"/>
    </row>
    <row r="473">
      <c r="A473" s="277"/>
      <c r="B473" s="277"/>
      <c r="C473" s="278" t="s">
        <v>3</v>
      </c>
      <c r="D473" s="277"/>
      <c r="E473" s="277"/>
    </row>
    <row r="474">
      <c r="A474" s="277"/>
      <c r="B474" s="277"/>
      <c r="C474" s="278" t="s">
        <v>3</v>
      </c>
      <c r="D474" s="277"/>
      <c r="E474" s="277"/>
    </row>
    <row r="475">
      <c r="A475" s="277"/>
      <c r="B475" s="277"/>
      <c r="C475" s="278" t="s">
        <v>3</v>
      </c>
      <c r="D475" s="277"/>
      <c r="E475" s="277"/>
    </row>
    <row r="476">
      <c r="A476" s="277"/>
      <c r="B476" s="277"/>
      <c r="C476" s="278" t="s">
        <v>3</v>
      </c>
      <c r="D476" s="277"/>
      <c r="E476" s="277"/>
    </row>
    <row r="477">
      <c r="A477" s="277"/>
      <c r="B477" s="277"/>
      <c r="C477" s="278" t="s">
        <v>3</v>
      </c>
      <c r="D477" s="277"/>
      <c r="E477" s="277"/>
    </row>
    <row r="478">
      <c r="A478" s="277"/>
      <c r="B478" s="277"/>
      <c r="C478" s="278" t="s">
        <v>3</v>
      </c>
      <c r="D478" s="277"/>
      <c r="E478" s="277"/>
    </row>
    <row r="479">
      <c r="A479" s="277"/>
      <c r="B479" s="277"/>
      <c r="C479" s="278" t="s">
        <v>3</v>
      </c>
      <c r="D479" s="277"/>
      <c r="E479" s="277"/>
    </row>
    <row r="480">
      <c r="A480" s="277"/>
      <c r="B480" s="277"/>
      <c r="C480" s="278" t="s">
        <v>3</v>
      </c>
      <c r="D480" s="277"/>
      <c r="E480" s="277"/>
    </row>
    <row r="481">
      <c r="A481" s="277"/>
      <c r="B481" s="277"/>
      <c r="C481" s="278" t="s">
        <v>3</v>
      </c>
      <c r="D481" s="277"/>
      <c r="E481" s="277"/>
    </row>
    <row r="482">
      <c r="A482" s="277"/>
      <c r="B482" s="277"/>
      <c r="C482" s="278" t="s">
        <v>3</v>
      </c>
      <c r="D482" s="277"/>
      <c r="E482" s="277"/>
    </row>
    <row r="483">
      <c r="A483" s="277"/>
      <c r="B483" s="277"/>
      <c r="C483" s="278" t="s">
        <v>3</v>
      </c>
      <c r="D483" s="277"/>
      <c r="E483" s="277"/>
    </row>
    <row r="484">
      <c r="A484" s="277"/>
      <c r="B484" s="277"/>
      <c r="C484" s="278" t="s">
        <v>3</v>
      </c>
      <c r="D484" s="277"/>
      <c r="E484" s="277"/>
    </row>
    <row r="485">
      <c r="A485" s="277"/>
      <c r="B485" s="277"/>
      <c r="C485" s="278" t="s">
        <v>3</v>
      </c>
      <c r="D485" s="277"/>
      <c r="E485" s="277"/>
    </row>
    <row r="486">
      <c r="A486" s="277"/>
      <c r="B486" s="277"/>
      <c r="C486" s="278" t="s">
        <v>3</v>
      </c>
      <c r="D486" s="277"/>
      <c r="E486" s="277"/>
    </row>
    <row r="487">
      <c r="A487" s="277"/>
      <c r="B487" s="277"/>
      <c r="C487" s="278" t="s">
        <v>3</v>
      </c>
      <c r="D487" s="277"/>
      <c r="E487" s="277"/>
    </row>
    <row r="488">
      <c r="A488" s="277"/>
      <c r="B488" s="277"/>
      <c r="C488" s="278" t="s">
        <v>3</v>
      </c>
      <c r="D488" s="277"/>
      <c r="E488" s="277"/>
    </row>
    <row r="489">
      <c r="A489" s="277"/>
      <c r="B489" s="277"/>
      <c r="C489" s="278" t="s">
        <v>3</v>
      </c>
      <c r="D489" s="277"/>
      <c r="E489" s="277"/>
    </row>
    <row r="490">
      <c r="A490" s="277"/>
      <c r="B490" s="277"/>
      <c r="C490" s="278" t="s">
        <v>3</v>
      </c>
      <c r="D490" s="277"/>
      <c r="E490" s="277"/>
    </row>
    <row r="491">
      <c r="A491" s="277"/>
      <c r="B491" s="277"/>
      <c r="C491" s="278" t="s">
        <v>3</v>
      </c>
      <c r="D491" s="277"/>
      <c r="E491" s="277"/>
    </row>
    <row r="492">
      <c r="A492" s="277"/>
      <c r="B492" s="277"/>
      <c r="C492" s="278" t="s">
        <v>3</v>
      </c>
      <c r="D492" s="277"/>
      <c r="E492" s="277"/>
    </row>
    <row r="493">
      <c r="A493" s="277"/>
      <c r="B493" s="277"/>
      <c r="C493" s="278" t="s">
        <v>3</v>
      </c>
      <c r="D493" s="277"/>
      <c r="E493" s="277"/>
    </row>
    <row r="494">
      <c r="A494" s="277"/>
      <c r="B494" s="277"/>
      <c r="C494" s="278" t="s">
        <v>3</v>
      </c>
      <c r="D494" s="277"/>
      <c r="E494" s="277"/>
    </row>
    <row r="495">
      <c r="A495" s="277"/>
      <c r="B495" s="277"/>
      <c r="C495" s="278" t="s">
        <v>3</v>
      </c>
      <c r="D495" s="277"/>
      <c r="E495" s="277"/>
    </row>
    <row r="496">
      <c r="A496" s="277"/>
      <c r="B496" s="277"/>
      <c r="C496" s="278" t="s">
        <v>3</v>
      </c>
      <c r="D496" s="277"/>
      <c r="E496" s="277"/>
    </row>
    <row r="497">
      <c r="A497" s="277"/>
      <c r="B497" s="277"/>
      <c r="C497" s="278" t="s">
        <v>3</v>
      </c>
      <c r="D497" s="277"/>
      <c r="E497" s="277"/>
    </row>
    <row r="498">
      <c r="A498" s="277"/>
      <c r="B498" s="277"/>
      <c r="C498" s="278" t="s">
        <v>3</v>
      </c>
      <c r="D498" s="277"/>
      <c r="E498" s="277"/>
    </row>
    <row r="499">
      <c r="A499" s="277"/>
      <c r="B499" s="277"/>
      <c r="C499" s="278" t="s">
        <v>3</v>
      </c>
      <c r="D499" s="277"/>
      <c r="E499" s="277"/>
    </row>
    <row r="500">
      <c r="A500" s="277"/>
      <c r="B500" s="277"/>
      <c r="C500" s="278" t="s">
        <v>3</v>
      </c>
      <c r="D500" s="277"/>
      <c r="E500" s="277"/>
    </row>
    <row r="501">
      <c r="A501" s="277"/>
      <c r="B501" s="277"/>
      <c r="C501" s="278" t="s">
        <v>3</v>
      </c>
      <c r="D501" s="277"/>
      <c r="E501" s="277"/>
    </row>
    <row r="502">
      <c r="A502" s="277"/>
      <c r="B502" s="277"/>
      <c r="C502" s="278" t="s">
        <v>3</v>
      </c>
      <c r="D502" s="277"/>
      <c r="E502" s="277"/>
    </row>
    <row r="503">
      <c r="A503" s="277"/>
      <c r="B503" s="277"/>
      <c r="C503" s="278" t="s">
        <v>3</v>
      </c>
      <c r="D503" s="277"/>
      <c r="E503" s="277"/>
    </row>
    <row r="504">
      <c r="A504" s="277"/>
      <c r="B504" s="277"/>
      <c r="C504" s="278" t="s">
        <v>3</v>
      </c>
      <c r="D504" s="277"/>
      <c r="E504" s="277"/>
    </row>
    <row r="505">
      <c r="A505" s="277"/>
      <c r="B505" s="277"/>
      <c r="C505" s="278" t="s">
        <v>3</v>
      </c>
      <c r="D505" s="277"/>
      <c r="E505" s="277"/>
    </row>
    <row r="506">
      <c r="A506" s="277"/>
      <c r="B506" s="277"/>
      <c r="C506" s="278" t="s">
        <v>3</v>
      </c>
      <c r="D506" s="277"/>
      <c r="E506" s="277"/>
    </row>
    <row r="507">
      <c r="A507" s="277"/>
      <c r="B507" s="277"/>
      <c r="C507" s="278" t="s">
        <v>3</v>
      </c>
      <c r="D507" s="277"/>
      <c r="E507" s="277"/>
    </row>
    <row r="508">
      <c r="A508" s="277"/>
      <c r="B508" s="277"/>
      <c r="C508" s="278" t="s">
        <v>3</v>
      </c>
      <c r="D508" s="277"/>
      <c r="E508" s="277"/>
    </row>
    <row r="509">
      <c r="A509" s="277"/>
      <c r="B509" s="277"/>
      <c r="C509" s="278" t="s">
        <v>3</v>
      </c>
      <c r="D509" s="277"/>
      <c r="E509" s="277"/>
    </row>
    <row r="510">
      <c r="A510" s="277"/>
      <c r="B510" s="277"/>
      <c r="C510" s="278" t="s">
        <v>3</v>
      </c>
      <c r="D510" s="277"/>
      <c r="E510" s="277"/>
    </row>
    <row r="511">
      <c r="A511" s="277"/>
      <c r="B511" s="277"/>
      <c r="C511" s="278" t="s">
        <v>3</v>
      </c>
      <c r="D511" s="277"/>
      <c r="E511" s="277"/>
    </row>
    <row r="512">
      <c r="A512" s="277"/>
      <c r="B512" s="277"/>
      <c r="C512" s="278" t="s">
        <v>3</v>
      </c>
      <c r="D512" s="277"/>
      <c r="E512" s="277"/>
    </row>
    <row r="513">
      <c r="A513" s="277"/>
      <c r="B513" s="277"/>
      <c r="C513" s="278" t="s">
        <v>3</v>
      </c>
      <c r="D513" s="277"/>
      <c r="E513" s="277"/>
    </row>
    <row r="514">
      <c r="A514" s="277"/>
      <c r="B514" s="277"/>
      <c r="C514" s="278" t="s">
        <v>3</v>
      </c>
      <c r="D514" s="277"/>
      <c r="E514" s="277"/>
    </row>
    <row r="515">
      <c r="A515" s="277"/>
      <c r="B515" s="277"/>
      <c r="C515" s="278" t="s">
        <v>3</v>
      </c>
      <c r="D515" s="277"/>
      <c r="E515" s="277"/>
    </row>
    <row r="516">
      <c r="A516" s="277"/>
      <c r="B516" s="277"/>
      <c r="C516" s="278" t="s">
        <v>3</v>
      </c>
      <c r="D516" s="277"/>
      <c r="E516" s="277"/>
    </row>
    <row r="517">
      <c r="A517" s="277"/>
      <c r="B517" s="277"/>
      <c r="C517" s="278" t="s">
        <v>3</v>
      </c>
      <c r="D517" s="277"/>
      <c r="E517" s="277"/>
    </row>
    <row r="518">
      <c r="A518" s="277"/>
      <c r="B518" s="277"/>
      <c r="C518" s="278" t="s">
        <v>3</v>
      </c>
      <c r="D518" s="277"/>
      <c r="E518" s="277"/>
    </row>
    <row r="519">
      <c r="A519" s="277"/>
      <c r="B519" s="277"/>
      <c r="C519" s="278" t="s">
        <v>3</v>
      </c>
      <c r="D519" s="277"/>
      <c r="E519" s="277"/>
    </row>
    <row r="520">
      <c r="A520" s="277"/>
      <c r="B520" s="277"/>
      <c r="C520" s="278" t="s">
        <v>3</v>
      </c>
      <c r="D520" s="277"/>
      <c r="E520" s="277"/>
    </row>
    <row r="521">
      <c r="A521" s="277"/>
      <c r="B521" s="277"/>
      <c r="C521" s="278" t="s">
        <v>3</v>
      </c>
      <c r="D521" s="277"/>
      <c r="E521" s="277"/>
    </row>
    <row r="522">
      <c r="A522" s="277"/>
      <c r="B522" s="277"/>
      <c r="C522" s="278" t="s">
        <v>3</v>
      </c>
      <c r="D522" s="277"/>
      <c r="E522" s="277"/>
    </row>
    <row r="523">
      <c r="A523" s="277"/>
      <c r="B523" s="277"/>
      <c r="C523" s="278" t="s">
        <v>3</v>
      </c>
      <c r="D523" s="277"/>
      <c r="E523" s="277"/>
    </row>
    <row r="524">
      <c r="A524" s="277"/>
      <c r="B524" s="277"/>
      <c r="C524" s="278" t="s">
        <v>3</v>
      </c>
      <c r="D524" s="277"/>
      <c r="E524" s="277"/>
    </row>
    <row r="525">
      <c r="A525" s="277"/>
      <c r="B525" s="277"/>
      <c r="C525" s="278" t="s">
        <v>3</v>
      </c>
      <c r="D525" s="277"/>
      <c r="E525" s="277"/>
    </row>
    <row r="526">
      <c r="A526" s="277"/>
      <c r="B526" s="277"/>
      <c r="C526" s="278" t="s">
        <v>3</v>
      </c>
      <c r="D526" s="277"/>
      <c r="E526" s="277"/>
    </row>
    <row r="527">
      <c r="A527" s="277"/>
      <c r="B527" s="277"/>
      <c r="C527" s="278" t="s">
        <v>3</v>
      </c>
      <c r="D527" s="277"/>
      <c r="E527" s="277"/>
    </row>
    <row r="528">
      <c r="A528" s="277"/>
      <c r="B528" s="277"/>
      <c r="C528" s="278" t="s">
        <v>3</v>
      </c>
      <c r="D528" s="277"/>
      <c r="E528" s="277"/>
    </row>
    <row r="529">
      <c r="A529" s="277"/>
      <c r="B529" s="277"/>
      <c r="C529" s="278" t="s">
        <v>3</v>
      </c>
      <c r="D529" s="277"/>
      <c r="E529" s="277"/>
    </row>
    <row r="530">
      <c r="A530" s="277"/>
      <c r="B530" s="277"/>
      <c r="C530" s="278" t="s">
        <v>3</v>
      </c>
      <c r="D530" s="277"/>
      <c r="E530" s="277"/>
    </row>
    <row r="531">
      <c r="A531" s="277"/>
      <c r="B531" s="277"/>
      <c r="C531" s="278" t="s">
        <v>3</v>
      </c>
      <c r="D531" s="277"/>
      <c r="E531" s="277"/>
    </row>
    <row r="532">
      <c r="A532" s="277"/>
      <c r="B532" s="277"/>
      <c r="C532" s="278" t="s">
        <v>3</v>
      </c>
      <c r="D532" s="277"/>
      <c r="E532" s="277"/>
    </row>
    <row r="533">
      <c r="A533" s="277"/>
      <c r="B533" s="277"/>
      <c r="C533" s="278" t="s">
        <v>3</v>
      </c>
      <c r="D533" s="277"/>
      <c r="E533" s="277"/>
    </row>
    <row r="534">
      <c r="A534" s="277"/>
      <c r="B534" s="277"/>
      <c r="C534" s="278" t="s">
        <v>3</v>
      </c>
      <c r="D534" s="277"/>
      <c r="E534" s="277"/>
    </row>
    <row r="535">
      <c r="A535" s="277"/>
      <c r="B535" s="277"/>
      <c r="C535" s="278" t="s">
        <v>3</v>
      </c>
      <c r="D535" s="277"/>
      <c r="E535" s="277"/>
    </row>
    <row r="536">
      <c r="A536" s="277"/>
      <c r="B536" s="277"/>
      <c r="C536" s="278" t="s">
        <v>3</v>
      </c>
      <c r="D536" s="277"/>
      <c r="E536" s="277"/>
    </row>
    <row r="537">
      <c r="A537" s="277"/>
      <c r="B537" s="277"/>
      <c r="C537" s="278" t="s">
        <v>3</v>
      </c>
      <c r="D537" s="277"/>
      <c r="E537" s="277"/>
    </row>
    <row r="538">
      <c r="A538" s="277"/>
      <c r="B538" s="277"/>
      <c r="C538" s="278" t="s">
        <v>3</v>
      </c>
      <c r="D538" s="277"/>
      <c r="E538" s="277"/>
    </row>
    <row r="539">
      <c r="A539" s="277"/>
      <c r="B539" s="277"/>
      <c r="C539" s="278" t="s">
        <v>3</v>
      </c>
      <c r="D539" s="277"/>
      <c r="E539" s="277"/>
    </row>
    <row r="540">
      <c r="A540" s="277"/>
      <c r="B540" s="277"/>
      <c r="C540" s="278" t="s">
        <v>3</v>
      </c>
      <c r="D540" s="277"/>
      <c r="E540" s="277"/>
    </row>
    <row r="541">
      <c r="A541" s="277"/>
      <c r="B541" s="277"/>
      <c r="C541" s="278" t="s">
        <v>3</v>
      </c>
      <c r="D541" s="277"/>
      <c r="E541" s="277"/>
    </row>
    <row r="542">
      <c r="A542" s="277"/>
      <c r="B542" s="277"/>
      <c r="C542" s="278" t="s">
        <v>3</v>
      </c>
      <c r="D542" s="277"/>
      <c r="E542" s="277"/>
    </row>
    <row r="543">
      <c r="A543" s="277"/>
      <c r="B543" s="277"/>
      <c r="C543" s="278" t="s">
        <v>3</v>
      </c>
      <c r="D543" s="277"/>
      <c r="E543" s="277"/>
    </row>
    <row r="544">
      <c r="A544" s="277"/>
      <c r="B544" s="277"/>
      <c r="C544" s="278" t="s">
        <v>3</v>
      </c>
      <c r="D544" s="277"/>
      <c r="E544" s="277"/>
    </row>
    <row r="545">
      <c r="A545" s="277"/>
      <c r="B545" s="277"/>
      <c r="C545" s="278" t="s">
        <v>3</v>
      </c>
      <c r="D545" s="277"/>
      <c r="E545" s="277"/>
    </row>
    <row r="546">
      <c r="A546" s="277"/>
      <c r="B546" s="277"/>
      <c r="C546" s="278" t="s">
        <v>3</v>
      </c>
      <c r="D546" s="277"/>
      <c r="E546" s="277"/>
    </row>
    <row r="547">
      <c r="A547" s="277"/>
      <c r="B547" s="277"/>
      <c r="C547" s="278" t="s">
        <v>3</v>
      </c>
      <c r="D547" s="277"/>
      <c r="E547" s="277"/>
    </row>
    <row r="548">
      <c r="A548" s="277"/>
      <c r="B548" s="277"/>
      <c r="C548" s="278" t="s">
        <v>3</v>
      </c>
      <c r="D548" s="277"/>
      <c r="E548" s="277"/>
    </row>
    <row r="549">
      <c r="A549" s="277"/>
      <c r="B549" s="277"/>
      <c r="C549" s="278" t="s">
        <v>3</v>
      </c>
      <c r="D549" s="277"/>
      <c r="E549" s="277"/>
    </row>
    <row r="550">
      <c r="A550" s="277"/>
      <c r="B550" s="277"/>
      <c r="C550" s="278" t="s">
        <v>3</v>
      </c>
      <c r="D550" s="277"/>
      <c r="E550" s="277"/>
    </row>
    <row r="551">
      <c r="A551" s="277"/>
      <c r="B551" s="277"/>
      <c r="C551" s="278" t="s">
        <v>3</v>
      </c>
      <c r="D551" s="277"/>
      <c r="E551" s="277"/>
    </row>
    <row r="552">
      <c r="A552" s="277"/>
      <c r="B552" s="277"/>
      <c r="C552" s="278" t="s">
        <v>3</v>
      </c>
      <c r="D552" s="277"/>
      <c r="E552" s="277"/>
    </row>
    <row r="553">
      <c r="A553" s="277"/>
      <c r="B553" s="277"/>
      <c r="C553" s="278" t="s">
        <v>3</v>
      </c>
      <c r="D553" s="277"/>
      <c r="E553" s="277"/>
    </row>
    <row r="554">
      <c r="A554" s="277"/>
      <c r="B554" s="277"/>
      <c r="C554" s="278" t="s">
        <v>3</v>
      </c>
      <c r="D554" s="277"/>
      <c r="E554" s="277"/>
    </row>
    <row r="555">
      <c r="A555" s="277"/>
      <c r="B555" s="277"/>
      <c r="C555" s="278" t="s">
        <v>3</v>
      </c>
      <c r="D555" s="277"/>
      <c r="E555" s="277"/>
    </row>
    <row r="556">
      <c r="A556" s="277"/>
      <c r="B556" s="277"/>
      <c r="C556" s="278" t="s">
        <v>3</v>
      </c>
      <c r="D556" s="277"/>
      <c r="E556" s="277"/>
    </row>
    <row r="557">
      <c r="A557" s="277"/>
      <c r="B557" s="277"/>
      <c r="C557" s="278" t="s">
        <v>3</v>
      </c>
      <c r="D557" s="277"/>
      <c r="E557" s="277"/>
    </row>
    <row r="558">
      <c r="A558" s="277"/>
      <c r="B558" s="277"/>
      <c r="C558" s="278" t="s">
        <v>3</v>
      </c>
      <c r="D558" s="277"/>
      <c r="E558" s="277"/>
    </row>
    <row r="559">
      <c r="A559" s="277"/>
      <c r="B559" s="277"/>
      <c r="C559" s="278" t="s">
        <v>3</v>
      </c>
      <c r="D559" s="277"/>
      <c r="E559" s="277"/>
    </row>
    <row r="560">
      <c r="A560" s="277"/>
      <c r="B560" s="277"/>
      <c r="C560" s="278" t="s">
        <v>3</v>
      </c>
      <c r="D560" s="277"/>
      <c r="E560" s="277"/>
    </row>
    <row r="561">
      <c r="A561" s="277"/>
      <c r="B561" s="277"/>
      <c r="C561" s="278" t="s">
        <v>3</v>
      </c>
      <c r="D561" s="277"/>
      <c r="E561" s="277"/>
    </row>
    <row r="562">
      <c r="A562" s="277"/>
      <c r="B562" s="277"/>
      <c r="C562" s="278" t="s">
        <v>3</v>
      </c>
      <c r="D562" s="277"/>
      <c r="E562" s="277"/>
    </row>
    <row r="563">
      <c r="A563" s="277"/>
      <c r="B563" s="277"/>
      <c r="C563" s="278" t="s">
        <v>3</v>
      </c>
      <c r="D563" s="277"/>
      <c r="E563" s="277"/>
    </row>
    <row r="564">
      <c r="A564" s="277"/>
      <c r="B564" s="277"/>
      <c r="C564" s="278" t="s">
        <v>3</v>
      </c>
      <c r="D564" s="277"/>
      <c r="E564" s="277"/>
    </row>
    <row r="565">
      <c r="A565" s="277"/>
      <c r="B565" s="277"/>
      <c r="C565" s="278" t="s">
        <v>3</v>
      </c>
      <c r="D565" s="277"/>
      <c r="E565" s="277"/>
    </row>
    <row r="566">
      <c r="A566" s="277"/>
      <c r="B566" s="277"/>
      <c r="C566" s="278" t="s">
        <v>3</v>
      </c>
      <c r="D566" s="277"/>
      <c r="E566" s="277"/>
    </row>
    <row r="567">
      <c r="A567" s="277"/>
      <c r="B567" s="277"/>
      <c r="C567" s="278" t="s">
        <v>3</v>
      </c>
      <c r="D567" s="277"/>
      <c r="E567" s="277"/>
    </row>
    <row r="568">
      <c r="A568" s="277"/>
      <c r="B568" s="277"/>
      <c r="C568" s="278" t="s">
        <v>3</v>
      </c>
      <c r="D568" s="277"/>
      <c r="E568" s="277"/>
    </row>
    <row r="569">
      <c r="A569" s="277"/>
      <c r="B569" s="277"/>
      <c r="C569" s="278" t="s">
        <v>3</v>
      </c>
      <c r="D569" s="277"/>
      <c r="E569" s="277"/>
    </row>
    <row r="570">
      <c r="A570" s="277"/>
      <c r="B570" s="277"/>
      <c r="C570" s="278" t="s">
        <v>3</v>
      </c>
      <c r="D570" s="277"/>
      <c r="E570" s="277"/>
    </row>
    <row r="571">
      <c r="A571" s="277"/>
      <c r="B571" s="277"/>
      <c r="C571" s="278" t="s">
        <v>3</v>
      </c>
      <c r="D571" s="277"/>
      <c r="E571" s="277"/>
    </row>
    <row r="572">
      <c r="A572" s="277"/>
      <c r="B572" s="277"/>
      <c r="C572" s="278" t="s">
        <v>3</v>
      </c>
      <c r="D572" s="277"/>
      <c r="E572" s="277"/>
    </row>
    <row r="573">
      <c r="A573" s="277"/>
      <c r="B573" s="277"/>
      <c r="C573" s="278" t="s">
        <v>3</v>
      </c>
      <c r="D573" s="277"/>
      <c r="E573" s="277"/>
    </row>
    <row r="574">
      <c r="A574" s="277"/>
      <c r="B574" s="277"/>
      <c r="C574" s="278" t="s">
        <v>3</v>
      </c>
      <c r="D574" s="277"/>
      <c r="E574" s="277"/>
    </row>
    <row r="575">
      <c r="A575" s="277"/>
      <c r="B575" s="277"/>
      <c r="C575" s="278" t="s">
        <v>3</v>
      </c>
      <c r="D575" s="277"/>
      <c r="E575" s="277"/>
    </row>
    <row r="576">
      <c r="A576" s="277"/>
      <c r="B576" s="277"/>
      <c r="C576" s="278" t="s">
        <v>3</v>
      </c>
      <c r="D576" s="277"/>
      <c r="E576" s="277"/>
    </row>
    <row r="577">
      <c r="A577" s="277"/>
      <c r="B577" s="277"/>
      <c r="C577" s="278" t="s">
        <v>3</v>
      </c>
      <c r="D577" s="277"/>
      <c r="E577" s="277"/>
    </row>
    <row r="578">
      <c r="A578" s="277"/>
      <c r="B578" s="277"/>
      <c r="C578" s="278" t="s">
        <v>3</v>
      </c>
      <c r="D578" s="277"/>
      <c r="E578" s="277"/>
    </row>
    <row r="579">
      <c r="A579" s="277"/>
      <c r="B579" s="277"/>
      <c r="C579" s="278" t="s">
        <v>3</v>
      </c>
      <c r="D579" s="277"/>
      <c r="E579" s="277"/>
    </row>
    <row r="580">
      <c r="A580" s="277"/>
      <c r="B580" s="277"/>
      <c r="C580" s="278" t="s">
        <v>3</v>
      </c>
      <c r="D580" s="277"/>
      <c r="E580" s="277"/>
    </row>
    <row r="581">
      <c r="A581" s="277"/>
      <c r="B581" s="277"/>
      <c r="C581" s="278" t="s">
        <v>3</v>
      </c>
      <c r="D581" s="277"/>
      <c r="E581" s="277"/>
    </row>
    <row r="582">
      <c r="A582" s="277"/>
      <c r="B582" s="277"/>
      <c r="C582" s="278" t="s">
        <v>3</v>
      </c>
      <c r="D582" s="277"/>
      <c r="E582" s="277"/>
    </row>
    <row r="583">
      <c r="A583" s="277"/>
      <c r="B583" s="277"/>
      <c r="C583" s="278" t="s">
        <v>3</v>
      </c>
      <c r="D583" s="277"/>
      <c r="E583" s="277"/>
    </row>
    <row r="584">
      <c r="A584" s="277"/>
      <c r="B584" s="277"/>
      <c r="C584" s="278" t="s">
        <v>3</v>
      </c>
      <c r="D584" s="277"/>
      <c r="E584" s="277"/>
    </row>
    <row r="585">
      <c r="A585" s="277"/>
      <c r="B585" s="277"/>
      <c r="C585" s="278" t="s">
        <v>3</v>
      </c>
      <c r="D585" s="277"/>
      <c r="E585" s="277"/>
    </row>
    <row r="586">
      <c r="A586" s="277"/>
      <c r="B586" s="277"/>
      <c r="C586" s="278" t="s">
        <v>3</v>
      </c>
      <c r="D586" s="277"/>
      <c r="E586" s="277"/>
    </row>
    <row r="587">
      <c r="A587" s="277"/>
      <c r="B587" s="277"/>
      <c r="C587" s="278" t="s">
        <v>3</v>
      </c>
      <c r="D587" s="277"/>
      <c r="E587" s="277"/>
    </row>
    <row r="588">
      <c r="A588" s="277"/>
      <c r="B588" s="277"/>
      <c r="C588" s="278" t="s">
        <v>3</v>
      </c>
      <c r="D588" s="277"/>
      <c r="E588" s="277"/>
    </row>
    <row r="589">
      <c r="A589" s="277"/>
      <c r="B589" s="277"/>
      <c r="C589" s="278" t="s">
        <v>3</v>
      </c>
      <c r="D589" s="277"/>
      <c r="E589" s="277"/>
    </row>
    <row r="590">
      <c r="A590" s="277"/>
      <c r="B590" s="277"/>
      <c r="C590" s="278" t="s">
        <v>3</v>
      </c>
      <c r="D590" s="277"/>
      <c r="E590" s="277"/>
    </row>
    <row r="591">
      <c r="A591" s="277"/>
      <c r="B591" s="277"/>
      <c r="C591" s="278" t="s">
        <v>3</v>
      </c>
      <c r="D591" s="277"/>
      <c r="E591" s="277"/>
    </row>
    <row r="592">
      <c r="A592" s="277"/>
      <c r="B592" s="277"/>
      <c r="C592" s="278" t="s">
        <v>3</v>
      </c>
      <c r="D592" s="277"/>
      <c r="E592" s="277"/>
    </row>
    <row r="593">
      <c r="A593" s="277"/>
      <c r="B593" s="277"/>
      <c r="C593" s="278" t="s">
        <v>3</v>
      </c>
      <c r="D593" s="277"/>
      <c r="E593" s="277"/>
    </row>
    <row r="594">
      <c r="A594" s="277"/>
      <c r="B594" s="277"/>
      <c r="C594" s="278" t="s">
        <v>3</v>
      </c>
      <c r="D594" s="277"/>
      <c r="E594" s="277"/>
    </row>
    <row r="595">
      <c r="A595" s="277"/>
      <c r="B595" s="277"/>
      <c r="C595" s="278" t="s">
        <v>3</v>
      </c>
      <c r="D595" s="277"/>
      <c r="E595" s="277"/>
    </row>
    <row r="596">
      <c r="A596" s="277"/>
      <c r="B596" s="277"/>
      <c r="C596" s="278" t="s">
        <v>3</v>
      </c>
      <c r="D596" s="277"/>
      <c r="E596" s="277"/>
    </row>
    <row r="597">
      <c r="A597" s="277"/>
      <c r="B597" s="277"/>
      <c r="C597" s="278" t="s">
        <v>3</v>
      </c>
      <c r="D597" s="277"/>
      <c r="E597" s="277"/>
    </row>
    <row r="598">
      <c r="A598" s="277"/>
      <c r="B598" s="277"/>
      <c r="C598" s="278" t="s">
        <v>3</v>
      </c>
      <c r="D598" s="277"/>
      <c r="E598" s="277"/>
    </row>
    <row r="599">
      <c r="A599" s="277"/>
      <c r="B599" s="277"/>
      <c r="C599" s="278" t="s">
        <v>3</v>
      </c>
      <c r="D599" s="277"/>
      <c r="E599" s="277"/>
    </row>
    <row r="600">
      <c r="A600" s="277"/>
      <c r="B600" s="277"/>
      <c r="C600" s="278" t="s">
        <v>3</v>
      </c>
      <c r="D600" s="277"/>
      <c r="E600" s="277"/>
    </row>
    <row r="601">
      <c r="A601" s="277"/>
      <c r="B601" s="277"/>
      <c r="C601" s="278" t="s">
        <v>3</v>
      </c>
      <c r="D601" s="277"/>
      <c r="E601" s="277"/>
    </row>
    <row r="602">
      <c r="A602" s="277"/>
      <c r="B602" s="277"/>
      <c r="C602" s="278" t="s">
        <v>3</v>
      </c>
      <c r="D602" s="277"/>
      <c r="E602" s="277"/>
    </row>
    <row r="603">
      <c r="A603" s="277"/>
      <c r="B603" s="277"/>
      <c r="C603" s="278" t="s">
        <v>3</v>
      </c>
      <c r="D603" s="277"/>
      <c r="E603" s="277"/>
    </row>
    <row r="604">
      <c r="A604" s="277"/>
      <c r="B604" s="277"/>
      <c r="C604" s="278" t="s">
        <v>3</v>
      </c>
      <c r="D604" s="277"/>
      <c r="E604" s="277"/>
    </row>
    <row r="605">
      <c r="A605" s="277"/>
      <c r="B605" s="277"/>
      <c r="C605" s="278" t="s">
        <v>3</v>
      </c>
      <c r="D605" s="277"/>
      <c r="E605" s="277"/>
    </row>
    <row r="606">
      <c r="A606" s="277"/>
      <c r="B606" s="277"/>
      <c r="C606" s="278" t="s">
        <v>3</v>
      </c>
      <c r="D606" s="277"/>
      <c r="E606" s="277"/>
    </row>
    <row r="607">
      <c r="A607" s="277"/>
      <c r="B607" s="277"/>
      <c r="C607" s="278" t="s">
        <v>3</v>
      </c>
      <c r="D607" s="277"/>
      <c r="E607" s="277"/>
    </row>
    <row r="608">
      <c r="A608" s="277"/>
      <c r="B608" s="277"/>
      <c r="C608" s="278" t="s">
        <v>3</v>
      </c>
      <c r="D608" s="277"/>
      <c r="E608" s="277"/>
    </row>
    <row r="609">
      <c r="A609" s="277"/>
      <c r="B609" s="277"/>
      <c r="C609" s="278" t="s">
        <v>3</v>
      </c>
      <c r="D609" s="277"/>
      <c r="E609" s="277"/>
    </row>
    <row r="610">
      <c r="A610" s="277"/>
      <c r="B610" s="277"/>
      <c r="C610" s="278" t="s">
        <v>3</v>
      </c>
      <c r="D610" s="277"/>
      <c r="E610" s="277"/>
    </row>
    <row r="611">
      <c r="A611" s="277"/>
      <c r="B611" s="277"/>
      <c r="C611" s="278" t="s">
        <v>3</v>
      </c>
      <c r="D611" s="277"/>
      <c r="E611" s="277"/>
    </row>
    <row r="612">
      <c r="A612" s="277"/>
      <c r="B612" s="277"/>
      <c r="C612" s="278" t="s">
        <v>3</v>
      </c>
      <c r="D612" s="277"/>
      <c r="E612" s="277"/>
    </row>
    <row r="613">
      <c r="A613" s="277"/>
      <c r="B613" s="277"/>
      <c r="C613" s="278" t="s">
        <v>3</v>
      </c>
      <c r="D613" s="277"/>
      <c r="E613" s="277"/>
    </row>
    <row r="614">
      <c r="A614" s="277"/>
      <c r="B614" s="277"/>
      <c r="C614" s="278" t="s">
        <v>3</v>
      </c>
      <c r="D614" s="277"/>
      <c r="E614" s="277"/>
    </row>
    <row r="615">
      <c r="A615" s="277"/>
      <c r="B615" s="277"/>
      <c r="C615" s="278" t="s">
        <v>3</v>
      </c>
      <c r="D615" s="277"/>
      <c r="E615" s="277"/>
    </row>
    <row r="616">
      <c r="A616" s="277"/>
      <c r="B616" s="277"/>
      <c r="C616" s="278" t="s">
        <v>3</v>
      </c>
      <c r="D616" s="277"/>
      <c r="E616" s="277"/>
    </row>
    <row r="617">
      <c r="A617" s="277"/>
      <c r="B617" s="277"/>
      <c r="C617" s="278" t="s">
        <v>3</v>
      </c>
      <c r="D617" s="277"/>
      <c r="E617" s="277"/>
    </row>
    <row r="618">
      <c r="A618" s="277"/>
      <c r="B618" s="277"/>
      <c r="C618" s="278" t="s">
        <v>3</v>
      </c>
      <c r="D618" s="277"/>
      <c r="E618" s="277"/>
    </row>
    <row r="619">
      <c r="A619" s="277"/>
      <c r="B619" s="277"/>
      <c r="C619" s="278" t="s">
        <v>3</v>
      </c>
      <c r="D619" s="277"/>
      <c r="E619" s="277"/>
    </row>
    <row r="620">
      <c r="A620" s="277"/>
      <c r="B620" s="277"/>
      <c r="C620" s="278" t="s">
        <v>3</v>
      </c>
      <c r="D620" s="277"/>
      <c r="E620" s="277"/>
    </row>
    <row r="621">
      <c r="A621" s="277"/>
      <c r="B621" s="277"/>
      <c r="C621" s="278" t="s">
        <v>3</v>
      </c>
      <c r="D621" s="277"/>
      <c r="E621" s="277"/>
    </row>
    <row r="622">
      <c r="A622" s="277"/>
      <c r="B622" s="277"/>
      <c r="C622" s="278" t="s">
        <v>3</v>
      </c>
      <c r="D622" s="277"/>
      <c r="E622" s="277"/>
    </row>
    <row r="623">
      <c r="A623" s="277"/>
      <c r="B623" s="277"/>
      <c r="C623" s="278" t="s">
        <v>3</v>
      </c>
      <c r="D623" s="277"/>
      <c r="E623" s="277"/>
    </row>
    <row r="624">
      <c r="A624" s="277"/>
      <c r="B624" s="277"/>
      <c r="C624" s="278" t="s">
        <v>3</v>
      </c>
      <c r="D624" s="277"/>
      <c r="E624" s="277"/>
    </row>
    <row r="625">
      <c r="A625" s="277"/>
      <c r="B625" s="277"/>
      <c r="C625" s="278" t="s">
        <v>3</v>
      </c>
      <c r="D625" s="277"/>
      <c r="E625" s="277"/>
    </row>
    <row r="626">
      <c r="A626" s="277"/>
      <c r="B626" s="277"/>
      <c r="C626" s="278" t="s">
        <v>3</v>
      </c>
      <c r="D626" s="277"/>
      <c r="E626" s="277"/>
    </row>
    <row r="627">
      <c r="A627" s="277"/>
      <c r="B627" s="277"/>
      <c r="C627" s="278" t="s">
        <v>3</v>
      </c>
      <c r="D627" s="277"/>
      <c r="E627" s="277"/>
    </row>
    <row r="628">
      <c r="A628" s="277"/>
      <c r="B628" s="277"/>
      <c r="C628" s="278" t="s">
        <v>3</v>
      </c>
      <c r="D628" s="277"/>
      <c r="E628" s="277"/>
    </row>
    <row r="629">
      <c r="A629" s="277"/>
      <c r="B629" s="277"/>
      <c r="C629" s="278" t="s">
        <v>3</v>
      </c>
      <c r="D629" s="277"/>
      <c r="E629" s="277"/>
    </row>
    <row r="630">
      <c r="A630" s="277"/>
      <c r="B630" s="277"/>
      <c r="C630" s="278" t="s">
        <v>3</v>
      </c>
      <c r="D630" s="277"/>
      <c r="E630" s="277"/>
    </row>
    <row r="631">
      <c r="A631" s="277"/>
      <c r="B631" s="277"/>
      <c r="C631" s="278" t="s">
        <v>3</v>
      </c>
      <c r="D631" s="277"/>
      <c r="E631" s="277"/>
    </row>
    <row r="632">
      <c r="A632" s="277"/>
      <c r="B632" s="277"/>
      <c r="C632" s="278" t="s">
        <v>3</v>
      </c>
      <c r="D632" s="277"/>
      <c r="E632" s="277"/>
    </row>
    <row r="633">
      <c r="A633" s="277"/>
      <c r="B633" s="277"/>
      <c r="C633" s="278" t="s">
        <v>3</v>
      </c>
      <c r="D633" s="277"/>
      <c r="E633" s="277"/>
    </row>
    <row r="634">
      <c r="A634" s="277"/>
      <c r="B634" s="277"/>
      <c r="C634" s="278" t="s">
        <v>3</v>
      </c>
      <c r="D634" s="277"/>
      <c r="E634" s="277"/>
    </row>
    <row r="635">
      <c r="A635" s="277"/>
      <c r="B635" s="277"/>
      <c r="C635" s="278" t="s">
        <v>3</v>
      </c>
      <c r="D635" s="277"/>
      <c r="E635" s="277"/>
    </row>
    <row r="636">
      <c r="A636" s="277"/>
      <c r="B636" s="277"/>
      <c r="C636" s="278" t="s">
        <v>3</v>
      </c>
      <c r="D636" s="277"/>
      <c r="E636" s="277"/>
    </row>
    <row r="637">
      <c r="A637" s="277"/>
      <c r="B637" s="277"/>
      <c r="C637" s="278" t="s">
        <v>3</v>
      </c>
      <c r="D637" s="277"/>
      <c r="E637" s="277"/>
    </row>
    <row r="638">
      <c r="A638" s="277"/>
      <c r="B638" s="277"/>
      <c r="C638" s="278" t="s">
        <v>3</v>
      </c>
      <c r="D638" s="277"/>
      <c r="E638" s="277"/>
    </row>
    <row r="639">
      <c r="A639" s="277"/>
      <c r="B639" s="277"/>
      <c r="C639" s="278" t="s">
        <v>3</v>
      </c>
      <c r="D639" s="277"/>
      <c r="E639" s="277"/>
    </row>
    <row r="640">
      <c r="A640" s="277"/>
      <c r="B640" s="277"/>
      <c r="C640" s="278" t="s">
        <v>3</v>
      </c>
      <c r="D640" s="277"/>
      <c r="E640" s="277"/>
    </row>
    <row r="641">
      <c r="A641" s="277"/>
      <c r="B641" s="277"/>
      <c r="C641" s="278" t="s">
        <v>3</v>
      </c>
      <c r="D641" s="277"/>
      <c r="E641" s="277"/>
    </row>
    <row r="642">
      <c r="A642" s="277"/>
      <c r="B642" s="277"/>
      <c r="C642" s="278" t="s">
        <v>3</v>
      </c>
      <c r="D642" s="277"/>
      <c r="E642" s="277"/>
    </row>
    <row r="643">
      <c r="A643" s="277"/>
      <c r="B643" s="277"/>
      <c r="C643" s="278" t="s">
        <v>3</v>
      </c>
      <c r="D643" s="277"/>
      <c r="E643" s="277"/>
    </row>
    <row r="644">
      <c r="A644" s="277"/>
      <c r="B644" s="277"/>
      <c r="C644" s="278" t="s">
        <v>3</v>
      </c>
      <c r="D644" s="277"/>
      <c r="E644" s="277"/>
    </row>
    <row r="645">
      <c r="A645" s="277"/>
      <c r="B645" s="277"/>
      <c r="C645" s="278" t="s">
        <v>3</v>
      </c>
      <c r="D645" s="277"/>
      <c r="E645" s="277"/>
    </row>
    <row r="646">
      <c r="A646" s="277"/>
      <c r="B646" s="277"/>
      <c r="C646" s="278" t="s">
        <v>3</v>
      </c>
      <c r="D646" s="277"/>
      <c r="E646" s="277"/>
    </row>
    <row r="647">
      <c r="A647" s="277"/>
      <c r="B647" s="277"/>
      <c r="C647" s="278" t="s">
        <v>3</v>
      </c>
      <c r="D647" s="277"/>
      <c r="E647" s="277"/>
    </row>
    <row r="648">
      <c r="A648" s="277"/>
      <c r="B648" s="277"/>
      <c r="C648" s="278" t="s">
        <v>3</v>
      </c>
      <c r="D648" s="277"/>
      <c r="E648" s="277"/>
    </row>
    <row r="649">
      <c r="A649" s="277"/>
      <c r="B649" s="277"/>
      <c r="C649" s="278" t="s">
        <v>3</v>
      </c>
      <c r="D649" s="277"/>
      <c r="E649" s="277"/>
    </row>
    <row r="650">
      <c r="A650" s="277"/>
      <c r="B650" s="277"/>
      <c r="C650" s="278" t="s">
        <v>3</v>
      </c>
      <c r="D650" s="277"/>
      <c r="E650" s="277"/>
    </row>
    <row r="651">
      <c r="A651" s="277"/>
      <c r="B651" s="277"/>
      <c r="C651" s="278" t="s">
        <v>3</v>
      </c>
      <c r="D651" s="277"/>
      <c r="E651" s="277"/>
    </row>
    <row r="652">
      <c r="A652" s="277"/>
      <c r="B652" s="277"/>
      <c r="C652" s="278" t="s">
        <v>3</v>
      </c>
      <c r="D652" s="277"/>
      <c r="E652" s="277"/>
    </row>
    <row r="653">
      <c r="A653" s="277"/>
      <c r="B653" s="277"/>
      <c r="C653" s="278" t="s">
        <v>3</v>
      </c>
      <c r="D653" s="277"/>
      <c r="E653" s="277"/>
    </row>
    <row r="654">
      <c r="A654" s="277"/>
      <c r="B654" s="277"/>
      <c r="C654" s="278" t="s">
        <v>3</v>
      </c>
      <c r="D654" s="277"/>
      <c r="E654" s="277"/>
    </row>
    <row r="655">
      <c r="A655" s="277"/>
      <c r="B655" s="277"/>
      <c r="C655" s="278" t="s">
        <v>3</v>
      </c>
      <c r="D655" s="277"/>
      <c r="E655" s="277"/>
    </row>
    <row r="656">
      <c r="A656" s="277"/>
      <c r="B656" s="277"/>
      <c r="C656" s="278" t="s">
        <v>3</v>
      </c>
      <c r="D656" s="277"/>
      <c r="E656" s="277"/>
    </row>
    <row r="657">
      <c r="A657" s="277"/>
      <c r="B657" s="277"/>
      <c r="C657" s="278" t="s">
        <v>3</v>
      </c>
      <c r="D657" s="277"/>
      <c r="E657" s="277"/>
    </row>
    <row r="658">
      <c r="A658" s="277"/>
      <c r="B658" s="277"/>
      <c r="C658" s="278" t="s">
        <v>3</v>
      </c>
      <c r="D658" s="277"/>
      <c r="E658" s="277"/>
    </row>
    <row r="659">
      <c r="A659" s="277"/>
      <c r="B659" s="277"/>
      <c r="C659" s="278" t="s">
        <v>3</v>
      </c>
      <c r="D659" s="277"/>
      <c r="E659" s="277"/>
    </row>
    <row r="660">
      <c r="A660" s="277"/>
      <c r="B660" s="277"/>
      <c r="C660" s="278" t="s">
        <v>3</v>
      </c>
      <c r="D660" s="277"/>
      <c r="E660" s="277"/>
    </row>
    <row r="661">
      <c r="A661" s="277"/>
      <c r="B661" s="277"/>
      <c r="C661" s="278" t="s">
        <v>3</v>
      </c>
      <c r="D661" s="277"/>
      <c r="E661" s="277"/>
    </row>
    <row r="662">
      <c r="A662" s="277"/>
      <c r="B662" s="277"/>
      <c r="C662" s="278" t="s">
        <v>3</v>
      </c>
      <c r="D662" s="277"/>
      <c r="E662" s="277"/>
    </row>
    <row r="663">
      <c r="A663" s="277"/>
      <c r="B663" s="277"/>
      <c r="C663" s="278" t="s">
        <v>3</v>
      </c>
      <c r="D663" s="277"/>
      <c r="E663" s="277"/>
    </row>
    <row r="664">
      <c r="A664" s="277"/>
      <c r="B664" s="277"/>
      <c r="C664" s="278" t="s">
        <v>3</v>
      </c>
      <c r="D664" s="277"/>
      <c r="E664" s="277"/>
    </row>
    <row r="665">
      <c r="A665" s="277"/>
      <c r="B665" s="277"/>
      <c r="C665" s="278" t="s">
        <v>3</v>
      </c>
      <c r="D665" s="277"/>
      <c r="E665" s="277"/>
    </row>
    <row r="666">
      <c r="A666" s="277"/>
      <c r="B666" s="277"/>
      <c r="C666" s="278" t="s">
        <v>3</v>
      </c>
      <c r="D666" s="277"/>
      <c r="E666" s="277"/>
    </row>
    <row r="667">
      <c r="A667" s="277"/>
      <c r="B667" s="277"/>
      <c r="C667" s="278" t="s">
        <v>3</v>
      </c>
      <c r="D667" s="277"/>
      <c r="E667" s="277"/>
    </row>
    <row r="668">
      <c r="A668" s="277"/>
      <c r="B668" s="277"/>
      <c r="C668" s="278" t="s">
        <v>3</v>
      </c>
      <c r="D668" s="277"/>
      <c r="E668" s="277"/>
    </row>
    <row r="669">
      <c r="A669" s="277"/>
      <c r="B669" s="277"/>
      <c r="C669" s="278" t="s">
        <v>3</v>
      </c>
      <c r="D669" s="277"/>
      <c r="E669" s="277"/>
    </row>
    <row r="670">
      <c r="A670" s="277"/>
      <c r="B670" s="277"/>
      <c r="C670" s="278" t="s">
        <v>3</v>
      </c>
      <c r="D670" s="277"/>
      <c r="E670" s="277"/>
    </row>
    <row r="671">
      <c r="A671" s="277"/>
      <c r="B671" s="277"/>
      <c r="C671" s="278" t="s">
        <v>3</v>
      </c>
      <c r="D671" s="277"/>
      <c r="E671" s="277"/>
    </row>
    <row r="672">
      <c r="A672" s="277"/>
      <c r="B672" s="277"/>
      <c r="C672" s="278" t="s">
        <v>3</v>
      </c>
      <c r="D672" s="277"/>
      <c r="E672" s="277"/>
    </row>
    <row r="673">
      <c r="A673" s="277"/>
      <c r="B673" s="277"/>
      <c r="C673" s="278" t="s">
        <v>3</v>
      </c>
      <c r="D673" s="277"/>
      <c r="E673" s="277"/>
    </row>
    <row r="674">
      <c r="A674" s="277"/>
      <c r="B674" s="277"/>
      <c r="C674" s="278" t="s">
        <v>3</v>
      </c>
      <c r="D674" s="277"/>
      <c r="E674" s="277"/>
    </row>
    <row r="675">
      <c r="A675" s="277"/>
      <c r="B675" s="277"/>
      <c r="C675" s="278" t="s">
        <v>3</v>
      </c>
      <c r="D675" s="277"/>
      <c r="E675" s="277"/>
    </row>
    <row r="676">
      <c r="A676" s="277"/>
      <c r="B676" s="277"/>
      <c r="C676" s="278" t="s">
        <v>3</v>
      </c>
      <c r="D676" s="277"/>
      <c r="E676" s="277"/>
    </row>
    <row r="677">
      <c r="A677" s="277"/>
      <c r="B677" s="277"/>
      <c r="C677" s="278" t="s">
        <v>3</v>
      </c>
      <c r="D677" s="277"/>
      <c r="E677" s="277"/>
    </row>
    <row r="678">
      <c r="A678" s="277"/>
      <c r="B678" s="277"/>
      <c r="C678" s="278" t="s">
        <v>3</v>
      </c>
      <c r="D678" s="277"/>
      <c r="E678" s="277"/>
    </row>
    <row r="679">
      <c r="A679" s="277"/>
      <c r="B679" s="277"/>
      <c r="C679" s="278" t="s">
        <v>3</v>
      </c>
      <c r="D679" s="277"/>
      <c r="E679" s="277"/>
    </row>
    <row r="680">
      <c r="A680" s="277"/>
      <c r="B680" s="277"/>
      <c r="C680" s="278" t="s">
        <v>3</v>
      </c>
      <c r="D680" s="277"/>
      <c r="E680" s="277"/>
    </row>
    <row r="681">
      <c r="A681" s="277"/>
      <c r="B681" s="277"/>
      <c r="C681" s="278" t="s">
        <v>3</v>
      </c>
      <c r="D681" s="277"/>
      <c r="E681" s="277"/>
    </row>
    <row r="682">
      <c r="A682" s="277"/>
      <c r="B682" s="277"/>
      <c r="C682" s="278" t="s">
        <v>3</v>
      </c>
      <c r="D682" s="277"/>
      <c r="E682" s="277"/>
    </row>
    <row r="683">
      <c r="A683" s="277"/>
      <c r="B683" s="277"/>
      <c r="C683" s="278" t="s">
        <v>3</v>
      </c>
      <c r="D683" s="277"/>
      <c r="E683" s="277"/>
    </row>
    <row r="684">
      <c r="A684" s="277"/>
      <c r="B684" s="277"/>
      <c r="C684" s="278" t="s">
        <v>3</v>
      </c>
      <c r="D684" s="277"/>
      <c r="E684" s="277"/>
    </row>
    <row r="685">
      <c r="A685" s="277"/>
      <c r="B685" s="277"/>
      <c r="C685" s="278" t="s">
        <v>3</v>
      </c>
      <c r="D685" s="277"/>
      <c r="E685" s="277"/>
    </row>
    <row r="686">
      <c r="A686" s="277"/>
      <c r="B686" s="277"/>
      <c r="C686" s="278" t="s">
        <v>3</v>
      </c>
      <c r="D686" s="277"/>
      <c r="E686" s="277"/>
    </row>
    <row r="687">
      <c r="A687" s="277"/>
      <c r="B687" s="277"/>
      <c r="C687" s="278" t="s">
        <v>3</v>
      </c>
      <c r="D687" s="277"/>
      <c r="E687" s="277"/>
    </row>
    <row r="688">
      <c r="A688" s="277"/>
      <c r="B688" s="277"/>
      <c r="C688" s="278" t="s">
        <v>3</v>
      </c>
      <c r="D688" s="277"/>
      <c r="E688" s="277"/>
    </row>
    <row r="689">
      <c r="A689" s="277"/>
      <c r="B689" s="277"/>
      <c r="C689" s="278" t="s">
        <v>3</v>
      </c>
      <c r="D689" s="277"/>
      <c r="E689" s="277"/>
    </row>
    <row r="690">
      <c r="A690" s="277"/>
      <c r="B690" s="277"/>
      <c r="C690" s="278" t="s">
        <v>3</v>
      </c>
      <c r="D690" s="277"/>
      <c r="E690" s="277"/>
    </row>
    <row r="691">
      <c r="A691" s="277"/>
      <c r="B691" s="277"/>
      <c r="C691" s="278" t="s">
        <v>3</v>
      </c>
      <c r="D691" s="277"/>
      <c r="E691" s="277"/>
    </row>
    <row r="692">
      <c r="A692" s="277"/>
      <c r="B692" s="277"/>
      <c r="C692" s="278" t="s">
        <v>3</v>
      </c>
      <c r="D692" s="277"/>
      <c r="E692" s="277"/>
    </row>
    <row r="693">
      <c r="A693" s="277"/>
      <c r="B693" s="277"/>
      <c r="C693" s="278" t="s">
        <v>3</v>
      </c>
      <c r="D693" s="277"/>
      <c r="E693" s="277"/>
    </row>
    <row r="694">
      <c r="A694" s="277"/>
      <c r="B694" s="277"/>
      <c r="C694" s="278" t="s">
        <v>3</v>
      </c>
      <c r="D694" s="277"/>
      <c r="E694" s="277"/>
    </row>
    <row r="695">
      <c r="A695" s="277"/>
      <c r="B695" s="277"/>
      <c r="C695" s="278" t="s">
        <v>3</v>
      </c>
      <c r="D695" s="277"/>
      <c r="E695" s="277"/>
    </row>
    <row r="696">
      <c r="A696" s="277"/>
      <c r="B696" s="277"/>
      <c r="C696" s="278" t="s">
        <v>3</v>
      </c>
      <c r="D696" s="277"/>
      <c r="E696" s="277"/>
    </row>
    <row r="697">
      <c r="A697" s="277"/>
      <c r="B697" s="277"/>
      <c r="C697" s="278" t="s">
        <v>3</v>
      </c>
      <c r="D697" s="277"/>
      <c r="E697" s="277"/>
    </row>
    <row r="698">
      <c r="A698" s="277"/>
      <c r="B698" s="277"/>
      <c r="C698" s="278" t="s">
        <v>3</v>
      </c>
      <c r="D698" s="277"/>
      <c r="E698" s="277"/>
    </row>
    <row r="699">
      <c r="A699" s="277"/>
      <c r="B699" s="277"/>
      <c r="C699" s="278" t="s">
        <v>3</v>
      </c>
      <c r="D699" s="277"/>
      <c r="E699" s="277"/>
    </row>
    <row r="700">
      <c r="A700" s="277"/>
      <c r="B700" s="277"/>
      <c r="C700" s="278" t="s">
        <v>3</v>
      </c>
      <c r="D700" s="277"/>
      <c r="E700" s="277"/>
    </row>
    <row r="701">
      <c r="A701" s="277"/>
      <c r="B701" s="277"/>
      <c r="C701" s="278" t="s">
        <v>3</v>
      </c>
      <c r="D701" s="277"/>
      <c r="E701" s="277"/>
    </row>
    <row r="702">
      <c r="A702" s="277"/>
      <c r="B702" s="277"/>
      <c r="C702" s="278" t="s">
        <v>3</v>
      </c>
      <c r="D702" s="277"/>
      <c r="E702" s="277"/>
    </row>
    <row r="703">
      <c r="A703" s="277"/>
      <c r="B703" s="277"/>
      <c r="C703" s="278" t="s">
        <v>3</v>
      </c>
      <c r="D703" s="277"/>
      <c r="E703" s="277"/>
    </row>
    <row r="704">
      <c r="A704" s="277"/>
      <c r="B704" s="277"/>
      <c r="C704" s="278" t="s">
        <v>3</v>
      </c>
      <c r="D704" s="277"/>
      <c r="E704" s="277"/>
    </row>
    <row r="705">
      <c r="A705" s="277"/>
      <c r="B705" s="277"/>
      <c r="C705" s="278" t="s">
        <v>3</v>
      </c>
      <c r="D705" s="277"/>
      <c r="E705" s="277"/>
    </row>
    <row r="706">
      <c r="A706" s="277"/>
      <c r="B706" s="277"/>
      <c r="C706" s="278" t="s">
        <v>3</v>
      </c>
      <c r="D706" s="277"/>
      <c r="E706" s="277"/>
    </row>
    <row r="707">
      <c r="A707" s="277"/>
      <c r="B707" s="277"/>
      <c r="C707" s="278" t="s">
        <v>3</v>
      </c>
      <c r="D707" s="277"/>
      <c r="E707" s="277"/>
    </row>
    <row r="708">
      <c r="A708" s="277"/>
      <c r="B708" s="277"/>
      <c r="C708" s="278" t="s">
        <v>3</v>
      </c>
      <c r="D708" s="277"/>
      <c r="E708" s="277"/>
    </row>
    <row r="709">
      <c r="A709" s="277"/>
      <c r="B709" s="277"/>
      <c r="C709" s="278" t="s">
        <v>3</v>
      </c>
      <c r="D709" s="277"/>
      <c r="E709" s="277"/>
    </row>
    <row r="710">
      <c r="A710" s="277"/>
      <c r="B710" s="277"/>
      <c r="C710" s="278" t="s">
        <v>3</v>
      </c>
      <c r="D710" s="277"/>
      <c r="E710" s="277"/>
    </row>
    <row r="711">
      <c r="A711" s="277"/>
      <c r="B711" s="277"/>
      <c r="C711" s="278" t="s">
        <v>3</v>
      </c>
      <c r="D711" s="277"/>
      <c r="E711" s="277"/>
    </row>
    <row r="712">
      <c r="A712" s="277"/>
      <c r="B712" s="277"/>
      <c r="C712" s="278" t="s">
        <v>3</v>
      </c>
      <c r="D712" s="277"/>
      <c r="E712" s="277"/>
    </row>
    <row r="713">
      <c r="A713" s="277"/>
      <c r="B713" s="277"/>
      <c r="C713" s="278" t="s">
        <v>3</v>
      </c>
      <c r="D713" s="277"/>
      <c r="E713" s="277"/>
    </row>
    <row r="714">
      <c r="A714" s="277"/>
      <c r="B714" s="277"/>
      <c r="C714" s="278" t="s">
        <v>3</v>
      </c>
      <c r="D714" s="277"/>
      <c r="E714" s="277"/>
    </row>
    <row r="715">
      <c r="A715" s="277"/>
      <c r="B715" s="277"/>
      <c r="C715" s="278" t="s">
        <v>3</v>
      </c>
      <c r="D715" s="277"/>
      <c r="E715" s="277"/>
    </row>
    <row r="716">
      <c r="A716" s="277"/>
      <c r="B716" s="277"/>
      <c r="C716" s="278" t="s">
        <v>3</v>
      </c>
      <c r="D716" s="277"/>
      <c r="E716" s="277"/>
    </row>
    <row r="717">
      <c r="A717" s="277"/>
      <c r="B717" s="277"/>
      <c r="C717" s="278" t="s">
        <v>3</v>
      </c>
      <c r="D717" s="277"/>
      <c r="E717" s="277"/>
    </row>
    <row r="718">
      <c r="A718" s="277"/>
      <c r="B718" s="277"/>
      <c r="C718" s="278" t="s">
        <v>3</v>
      </c>
      <c r="D718" s="277"/>
      <c r="E718" s="277"/>
    </row>
    <row r="719">
      <c r="A719" s="277"/>
      <c r="B719" s="277"/>
      <c r="C719" s="278" t="s">
        <v>3</v>
      </c>
      <c r="D719" s="277"/>
      <c r="E719" s="277"/>
    </row>
    <row r="720">
      <c r="A720" s="277"/>
      <c r="B720" s="277"/>
      <c r="C720" s="278" t="s">
        <v>3</v>
      </c>
      <c r="D720" s="277"/>
      <c r="E720" s="277"/>
    </row>
    <row r="721">
      <c r="A721" s="277"/>
      <c r="B721" s="277"/>
      <c r="C721" s="278" t="s">
        <v>3</v>
      </c>
      <c r="D721" s="277"/>
      <c r="E721" s="277"/>
    </row>
    <row r="722">
      <c r="A722" s="277"/>
      <c r="B722" s="277"/>
      <c r="C722" s="278" t="s">
        <v>3</v>
      </c>
      <c r="D722" s="277"/>
      <c r="E722" s="277"/>
    </row>
    <row r="723">
      <c r="A723" s="277"/>
      <c r="B723" s="277"/>
      <c r="C723" s="278" t="s">
        <v>3</v>
      </c>
      <c r="D723" s="277"/>
      <c r="E723" s="277"/>
    </row>
    <row r="724">
      <c r="A724" s="277"/>
      <c r="B724" s="277"/>
      <c r="C724" s="278" t="s">
        <v>3</v>
      </c>
      <c r="D724" s="277"/>
      <c r="E724" s="277"/>
    </row>
    <row r="725">
      <c r="A725" s="277"/>
      <c r="B725" s="277"/>
      <c r="C725" s="278" t="s">
        <v>3</v>
      </c>
      <c r="D725" s="277"/>
      <c r="E725" s="277"/>
    </row>
    <row r="726">
      <c r="A726" s="277"/>
      <c r="B726" s="277"/>
      <c r="C726" s="278" t="s">
        <v>3</v>
      </c>
      <c r="D726" s="277"/>
      <c r="E726" s="277"/>
    </row>
    <row r="727">
      <c r="A727" s="277"/>
      <c r="B727" s="277"/>
      <c r="C727" s="278" t="s">
        <v>3</v>
      </c>
      <c r="D727" s="277"/>
      <c r="E727" s="277"/>
    </row>
    <row r="728">
      <c r="A728" s="277"/>
      <c r="B728" s="277"/>
      <c r="C728" s="278" t="s">
        <v>3</v>
      </c>
      <c r="D728" s="277"/>
      <c r="E728" s="277"/>
    </row>
    <row r="729">
      <c r="A729" s="277"/>
      <c r="B729" s="277"/>
      <c r="C729" s="278" t="s">
        <v>3</v>
      </c>
      <c r="D729" s="277"/>
      <c r="E729" s="277"/>
    </row>
    <row r="730">
      <c r="A730" s="277"/>
      <c r="B730" s="277"/>
      <c r="C730" s="278" t="s">
        <v>3</v>
      </c>
      <c r="D730" s="277"/>
      <c r="E730" s="277"/>
    </row>
    <row r="731">
      <c r="A731" s="277"/>
      <c r="B731" s="277"/>
      <c r="C731" s="278" t="s">
        <v>3</v>
      </c>
      <c r="D731" s="277"/>
      <c r="E731" s="277"/>
    </row>
    <row r="732">
      <c r="A732" s="277"/>
      <c r="B732" s="277"/>
      <c r="C732" s="278" t="s">
        <v>3</v>
      </c>
      <c r="D732" s="277"/>
      <c r="E732" s="277"/>
    </row>
    <row r="733">
      <c r="A733" s="277"/>
      <c r="B733" s="277"/>
      <c r="C733" s="278" t="s">
        <v>3</v>
      </c>
      <c r="D733" s="277"/>
      <c r="E733" s="277"/>
    </row>
    <row r="734">
      <c r="A734" s="277"/>
      <c r="B734" s="277"/>
      <c r="C734" s="278" t="s">
        <v>3</v>
      </c>
      <c r="D734" s="277"/>
      <c r="E734" s="277"/>
    </row>
    <row r="735">
      <c r="A735" s="277"/>
      <c r="B735" s="277"/>
      <c r="C735" s="278" t="s">
        <v>3</v>
      </c>
      <c r="D735" s="277"/>
      <c r="E735" s="277"/>
    </row>
    <row r="736">
      <c r="A736" s="277"/>
      <c r="B736" s="277"/>
      <c r="C736" s="278" t="s">
        <v>3</v>
      </c>
      <c r="D736" s="277"/>
      <c r="E736" s="277"/>
    </row>
    <row r="737">
      <c r="A737" s="277"/>
      <c r="B737" s="277"/>
      <c r="C737" s="278" t="s">
        <v>3</v>
      </c>
      <c r="D737" s="277"/>
      <c r="E737" s="277"/>
    </row>
    <row r="738">
      <c r="A738" s="277"/>
      <c r="B738" s="277"/>
      <c r="C738" s="278" t="s">
        <v>3</v>
      </c>
      <c r="D738" s="277"/>
      <c r="E738" s="277"/>
    </row>
    <row r="739">
      <c r="A739" s="277"/>
      <c r="B739" s="277"/>
      <c r="C739" s="278" t="s">
        <v>3</v>
      </c>
      <c r="D739" s="277"/>
      <c r="E739" s="277"/>
    </row>
    <row r="740">
      <c r="A740" s="277"/>
      <c r="B740" s="277"/>
      <c r="C740" s="278" t="s">
        <v>3</v>
      </c>
      <c r="D740" s="277"/>
      <c r="E740" s="277"/>
    </row>
    <row r="741">
      <c r="A741" s="277"/>
      <c r="B741" s="277"/>
      <c r="C741" s="278" t="s">
        <v>3</v>
      </c>
      <c r="D741" s="277"/>
      <c r="E741" s="277"/>
    </row>
    <row r="742">
      <c r="A742" s="277"/>
      <c r="B742" s="277"/>
      <c r="C742" s="278" t="s">
        <v>3</v>
      </c>
      <c r="D742" s="277"/>
      <c r="E742" s="277"/>
    </row>
    <row r="743">
      <c r="A743" s="277"/>
      <c r="B743" s="277"/>
      <c r="C743" s="278" t="s">
        <v>3</v>
      </c>
      <c r="D743" s="277"/>
      <c r="E743" s="277"/>
    </row>
    <row r="744">
      <c r="A744" s="277"/>
      <c r="B744" s="277"/>
      <c r="C744" s="278" t="s">
        <v>3</v>
      </c>
      <c r="D744" s="277"/>
      <c r="E744" s="277"/>
    </row>
    <row r="745">
      <c r="A745" s="277"/>
      <c r="B745" s="277"/>
      <c r="C745" s="278" t="s">
        <v>3</v>
      </c>
      <c r="D745" s="277"/>
      <c r="E745" s="277"/>
    </row>
    <row r="746">
      <c r="A746" s="277"/>
      <c r="B746" s="277"/>
      <c r="C746" s="278" t="s">
        <v>3</v>
      </c>
      <c r="D746" s="277"/>
      <c r="E746" s="277"/>
    </row>
    <row r="747">
      <c r="A747" s="277"/>
      <c r="B747" s="277"/>
      <c r="C747" s="278" t="s">
        <v>3</v>
      </c>
      <c r="D747" s="277"/>
      <c r="E747" s="277"/>
    </row>
    <row r="748">
      <c r="A748" s="277"/>
      <c r="B748" s="277"/>
      <c r="C748" s="278" t="s">
        <v>3</v>
      </c>
      <c r="D748" s="277"/>
      <c r="E748" s="277"/>
    </row>
    <row r="749">
      <c r="A749" s="277"/>
      <c r="B749" s="277"/>
      <c r="C749" s="278" t="s">
        <v>3</v>
      </c>
      <c r="D749" s="277"/>
      <c r="E749" s="277"/>
    </row>
    <row r="750">
      <c r="A750" s="277"/>
      <c r="B750" s="277"/>
      <c r="C750" s="278" t="s">
        <v>3</v>
      </c>
      <c r="D750" s="277"/>
      <c r="E750" s="277"/>
    </row>
    <row r="751">
      <c r="A751" s="277"/>
      <c r="B751" s="277"/>
      <c r="C751" s="278" t="s">
        <v>3</v>
      </c>
      <c r="D751" s="277"/>
      <c r="E751" s="277"/>
    </row>
    <row r="752">
      <c r="A752" s="277"/>
      <c r="B752" s="277"/>
      <c r="C752" s="278" t="s">
        <v>3</v>
      </c>
      <c r="D752" s="277"/>
      <c r="E752" s="277"/>
    </row>
    <row r="753">
      <c r="A753" s="277"/>
      <c r="B753" s="277"/>
      <c r="C753" s="278" t="s">
        <v>3</v>
      </c>
      <c r="D753" s="277"/>
      <c r="E753" s="277"/>
    </row>
    <row r="754">
      <c r="A754" s="277"/>
      <c r="B754" s="277"/>
      <c r="C754" s="278" t="s">
        <v>3</v>
      </c>
      <c r="D754" s="277"/>
      <c r="E754" s="277"/>
    </row>
    <row r="755">
      <c r="A755" s="277"/>
      <c r="B755" s="277"/>
      <c r="C755" s="278" t="s">
        <v>3</v>
      </c>
      <c r="D755" s="277"/>
      <c r="E755" s="277"/>
    </row>
    <row r="756">
      <c r="A756" s="277"/>
      <c r="B756" s="277"/>
      <c r="C756" s="278" t="s">
        <v>3</v>
      </c>
      <c r="D756" s="277"/>
      <c r="E756" s="277"/>
    </row>
    <row r="757">
      <c r="A757" s="277"/>
      <c r="B757" s="277"/>
      <c r="C757" s="278" t="s">
        <v>3</v>
      </c>
      <c r="D757" s="277"/>
      <c r="E757" s="277"/>
    </row>
    <row r="758">
      <c r="A758" s="277"/>
      <c r="B758" s="277"/>
      <c r="C758" s="278" t="s">
        <v>3</v>
      </c>
      <c r="D758" s="277"/>
      <c r="E758" s="277"/>
    </row>
    <row r="759">
      <c r="A759" s="277"/>
      <c r="B759" s="277"/>
      <c r="C759" s="278" t="s">
        <v>3</v>
      </c>
      <c r="D759" s="277"/>
      <c r="E759" s="277"/>
    </row>
    <row r="760">
      <c r="A760" s="277"/>
      <c r="B760" s="277"/>
      <c r="C760" s="278" t="s">
        <v>3</v>
      </c>
      <c r="D760" s="277"/>
      <c r="E760" s="277"/>
    </row>
    <row r="761">
      <c r="A761" s="277"/>
      <c r="B761" s="277"/>
      <c r="C761" s="278" t="s">
        <v>3</v>
      </c>
      <c r="D761" s="277"/>
      <c r="E761" s="277"/>
    </row>
    <row r="762">
      <c r="A762" s="277"/>
      <c r="B762" s="277"/>
      <c r="C762" s="278" t="s">
        <v>3</v>
      </c>
      <c r="D762" s="277"/>
      <c r="E762" s="277"/>
    </row>
    <row r="763">
      <c r="A763" s="277"/>
      <c r="B763" s="277"/>
      <c r="C763" s="278" t="s">
        <v>3</v>
      </c>
      <c r="D763" s="277"/>
      <c r="E763" s="277"/>
    </row>
    <row r="764">
      <c r="A764" s="277"/>
      <c r="B764" s="277"/>
      <c r="C764" s="278" t="s">
        <v>3</v>
      </c>
      <c r="D764" s="277"/>
      <c r="E764" s="277"/>
    </row>
    <row r="765">
      <c r="A765" s="277"/>
      <c r="B765" s="277"/>
      <c r="C765" s="278" t="s">
        <v>3</v>
      </c>
      <c r="D765" s="277"/>
      <c r="E765" s="277"/>
    </row>
    <row r="766">
      <c r="A766" s="277"/>
      <c r="B766" s="277"/>
      <c r="C766" s="278" t="s">
        <v>3</v>
      </c>
      <c r="D766" s="277"/>
      <c r="E766" s="277"/>
    </row>
    <row r="767">
      <c r="A767" s="277"/>
      <c r="B767" s="277"/>
      <c r="C767" s="278" t="s">
        <v>3</v>
      </c>
      <c r="D767" s="277"/>
      <c r="E767" s="277"/>
    </row>
    <row r="768">
      <c r="A768" s="277"/>
      <c r="B768" s="277"/>
      <c r="C768" s="278" t="s">
        <v>3</v>
      </c>
      <c r="D768" s="277"/>
      <c r="E768" s="277"/>
    </row>
    <row r="769">
      <c r="A769" s="277"/>
      <c r="B769" s="277"/>
      <c r="C769" s="278" t="s">
        <v>3</v>
      </c>
      <c r="D769" s="277"/>
      <c r="E769" s="277"/>
    </row>
    <row r="770">
      <c r="A770" s="277"/>
      <c r="B770" s="277"/>
      <c r="C770" s="278" t="s">
        <v>3</v>
      </c>
      <c r="D770" s="277"/>
      <c r="E770" s="277"/>
    </row>
    <row r="771">
      <c r="A771" s="277"/>
      <c r="B771" s="277"/>
      <c r="C771" s="278" t="s">
        <v>3</v>
      </c>
      <c r="D771" s="277"/>
      <c r="E771" s="277"/>
    </row>
    <row r="772">
      <c r="A772" s="277"/>
      <c r="B772" s="277"/>
      <c r="C772" s="278" t="s">
        <v>3</v>
      </c>
      <c r="D772" s="277"/>
      <c r="E772" s="277"/>
    </row>
    <row r="773">
      <c r="A773" s="277"/>
      <c r="B773" s="277"/>
      <c r="C773" s="278" t="s">
        <v>3</v>
      </c>
      <c r="D773" s="277"/>
      <c r="E773" s="277"/>
    </row>
    <row r="774">
      <c r="A774" s="277"/>
      <c r="B774" s="277"/>
      <c r="C774" s="278" t="s">
        <v>3</v>
      </c>
      <c r="D774" s="277"/>
      <c r="E774" s="277"/>
    </row>
    <row r="775">
      <c r="A775" s="277"/>
      <c r="B775" s="277"/>
      <c r="C775" s="278" t="s">
        <v>3</v>
      </c>
      <c r="D775" s="277"/>
      <c r="E775" s="277"/>
    </row>
    <row r="776">
      <c r="A776" s="277"/>
      <c r="B776" s="277"/>
      <c r="C776" s="278" t="s">
        <v>3</v>
      </c>
      <c r="D776" s="277"/>
      <c r="E776" s="277"/>
    </row>
    <row r="777">
      <c r="A777" s="277"/>
      <c r="B777" s="277"/>
      <c r="C777" s="278" t="s">
        <v>3</v>
      </c>
      <c r="D777" s="277"/>
      <c r="E777" s="277"/>
    </row>
    <row r="778">
      <c r="A778" s="277"/>
      <c r="B778" s="277"/>
      <c r="C778" s="278" t="s">
        <v>3</v>
      </c>
      <c r="D778" s="277"/>
      <c r="E778" s="277"/>
    </row>
    <row r="779">
      <c r="A779" s="277"/>
      <c r="B779" s="277"/>
      <c r="C779" s="278" t="s">
        <v>3</v>
      </c>
      <c r="D779" s="277"/>
      <c r="E779" s="277"/>
    </row>
    <row r="780">
      <c r="A780" s="277"/>
      <c r="B780" s="277"/>
      <c r="C780" s="278" t="s">
        <v>3</v>
      </c>
      <c r="D780" s="277"/>
      <c r="E780" s="277"/>
    </row>
    <row r="781">
      <c r="A781" s="277"/>
      <c r="B781" s="277"/>
      <c r="C781" s="278" t="s">
        <v>3</v>
      </c>
      <c r="D781" s="277"/>
      <c r="E781" s="277"/>
    </row>
    <row r="782">
      <c r="A782" s="277"/>
      <c r="B782" s="277"/>
      <c r="C782" s="278" t="s">
        <v>3</v>
      </c>
      <c r="D782" s="277"/>
      <c r="E782" s="277"/>
    </row>
    <row r="783">
      <c r="A783" s="277"/>
      <c r="B783" s="277"/>
      <c r="C783" s="278" t="s">
        <v>3</v>
      </c>
      <c r="D783" s="277"/>
      <c r="E783" s="277"/>
    </row>
    <row r="784">
      <c r="A784" s="277"/>
      <c r="B784" s="277"/>
      <c r="C784" s="278" t="s">
        <v>3</v>
      </c>
      <c r="D784" s="277"/>
      <c r="E784" s="277"/>
    </row>
    <row r="785">
      <c r="A785" s="277"/>
      <c r="B785" s="277"/>
      <c r="C785" s="278" t="s">
        <v>3</v>
      </c>
      <c r="D785" s="277"/>
      <c r="E785" s="277"/>
    </row>
    <row r="786">
      <c r="A786" s="277"/>
      <c r="B786" s="277"/>
      <c r="C786" s="278" t="s">
        <v>3</v>
      </c>
      <c r="D786" s="277"/>
      <c r="E786" s="277"/>
    </row>
    <row r="787">
      <c r="A787" s="277"/>
      <c r="B787" s="277"/>
      <c r="C787" s="278" t="s">
        <v>3</v>
      </c>
      <c r="D787" s="277"/>
      <c r="E787" s="277"/>
    </row>
    <row r="788">
      <c r="A788" s="277"/>
      <c r="B788" s="277"/>
      <c r="C788" s="278" t="s">
        <v>3</v>
      </c>
      <c r="D788" s="277"/>
      <c r="E788" s="277"/>
    </row>
    <row r="789">
      <c r="A789" s="277"/>
      <c r="B789" s="277"/>
      <c r="C789" s="278" t="s">
        <v>3</v>
      </c>
      <c r="D789" s="277"/>
      <c r="E789" s="277"/>
    </row>
    <row r="790">
      <c r="A790" s="277"/>
      <c r="B790" s="277"/>
      <c r="C790" s="278" t="s">
        <v>3</v>
      </c>
      <c r="D790" s="277"/>
      <c r="E790" s="277"/>
    </row>
    <row r="791">
      <c r="A791" s="277"/>
      <c r="B791" s="277"/>
      <c r="C791" s="278" t="s">
        <v>3</v>
      </c>
      <c r="D791" s="277"/>
      <c r="E791" s="277"/>
    </row>
    <row r="792">
      <c r="A792" s="277"/>
      <c r="B792" s="277"/>
      <c r="C792" s="278" t="s">
        <v>3</v>
      </c>
      <c r="D792" s="277"/>
      <c r="E792" s="277"/>
    </row>
    <row r="793">
      <c r="A793" s="277"/>
      <c r="B793" s="277"/>
      <c r="C793" s="278" t="s">
        <v>3</v>
      </c>
      <c r="D793" s="277"/>
      <c r="E793" s="277"/>
    </row>
    <row r="794">
      <c r="A794" s="277"/>
      <c r="B794" s="277"/>
      <c r="C794" s="278" t="s">
        <v>3</v>
      </c>
      <c r="D794" s="277"/>
      <c r="E794" s="277"/>
    </row>
    <row r="795">
      <c r="A795" s="277"/>
      <c r="B795" s="277"/>
      <c r="C795" s="278" t="s">
        <v>3</v>
      </c>
      <c r="D795" s="277"/>
      <c r="E795" s="277"/>
    </row>
    <row r="796">
      <c r="A796" s="277"/>
      <c r="B796" s="277"/>
      <c r="C796" s="278" t="s">
        <v>3</v>
      </c>
      <c r="D796" s="277"/>
      <c r="E796" s="277"/>
    </row>
    <row r="797">
      <c r="A797" s="277"/>
      <c r="B797" s="277"/>
      <c r="C797" s="278" t="s">
        <v>3</v>
      </c>
      <c r="D797" s="277"/>
      <c r="E797" s="277"/>
    </row>
    <row r="798">
      <c r="A798" s="277"/>
      <c r="B798" s="277"/>
      <c r="C798" s="278" t="s">
        <v>3</v>
      </c>
      <c r="D798" s="277"/>
      <c r="E798" s="277"/>
    </row>
    <row r="799">
      <c r="A799" s="277"/>
      <c r="B799" s="277"/>
      <c r="C799" s="278" t="s">
        <v>3</v>
      </c>
      <c r="D799" s="277"/>
      <c r="E799" s="277"/>
    </row>
    <row r="800">
      <c r="A800" s="277"/>
      <c r="B800" s="277"/>
      <c r="C800" s="278" t="s">
        <v>3</v>
      </c>
      <c r="D800" s="277"/>
      <c r="E800" s="277"/>
    </row>
    <row r="801">
      <c r="A801" s="277"/>
      <c r="B801" s="277"/>
      <c r="C801" s="278" t="s">
        <v>3</v>
      </c>
      <c r="D801" s="277"/>
      <c r="E801" s="277"/>
    </row>
    <row r="802">
      <c r="A802" s="277"/>
      <c r="B802" s="277"/>
      <c r="C802" s="278" t="s">
        <v>3</v>
      </c>
      <c r="D802" s="277"/>
      <c r="E802" s="277"/>
    </row>
    <row r="803">
      <c r="A803" s="277"/>
      <c r="B803" s="277"/>
      <c r="C803" s="278" t="s">
        <v>3</v>
      </c>
      <c r="D803" s="277"/>
      <c r="E803" s="277"/>
    </row>
    <row r="804">
      <c r="A804" s="277"/>
      <c r="B804" s="277"/>
      <c r="C804" s="278" t="s">
        <v>3</v>
      </c>
      <c r="D804" s="277"/>
      <c r="E804" s="277"/>
    </row>
    <row r="805">
      <c r="A805" s="277"/>
      <c r="B805" s="277"/>
      <c r="C805" s="278" t="s">
        <v>3</v>
      </c>
      <c r="D805" s="277"/>
      <c r="E805" s="277"/>
    </row>
    <row r="806">
      <c r="A806" s="277"/>
      <c r="B806" s="277"/>
      <c r="C806" s="278" t="s">
        <v>3</v>
      </c>
      <c r="D806" s="277"/>
      <c r="E806" s="277"/>
    </row>
    <row r="807">
      <c r="A807" s="277"/>
      <c r="B807" s="277"/>
      <c r="C807" s="278" t="s">
        <v>3</v>
      </c>
      <c r="D807" s="277"/>
      <c r="E807" s="277"/>
    </row>
    <row r="808">
      <c r="A808" s="277"/>
      <c r="B808" s="277"/>
      <c r="C808" s="278" t="s">
        <v>3</v>
      </c>
      <c r="D808" s="277"/>
      <c r="E808" s="277"/>
    </row>
    <row r="809">
      <c r="A809" s="277"/>
      <c r="B809" s="277"/>
      <c r="C809" s="278" t="s">
        <v>3</v>
      </c>
      <c r="D809" s="277"/>
      <c r="E809" s="277"/>
    </row>
    <row r="810">
      <c r="A810" s="277"/>
      <c r="B810" s="277"/>
      <c r="C810" s="278" t="s">
        <v>3</v>
      </c>
      <c r="D810" s="277"/>
      <c r="E810" s="277"/>
    </row>
    <row r="811">
      <c r="A811" s="277"/>
      <c r="B811" s="277"/>
      <c r="C811" s="278" t="s">
        <v>3</v>
      </c>
      <c r="D811" s="277"/>
      <c r="E811" s="277"/>
    </row>
    <row r="812">
      <c r="A812" s="277"/>
      <c r="B812" s="277"/>
      <c r="C812" s="278" t="s">
        <v>3</v>
      </c>
      <c r="D812" s="277"/>
      <c r="E812" s="277"/>
    </row>
    <row r="813">
      <c r="A813" s="277"/>
      <c r="B813" s="277"/>
      <c r="C813" s="278" t="s">
        <v>3</v>
      </c>
      <c r="D813" s="277"/>
      <c r="E813" s="277"/>
    </row>
    <row r="814">
      <c r="A814" s="277"/>
      <c r="B814" s="277"/>
      <c r="C814" s="278" t="s">
        <v>3</v>
      </c>
      <c r="D814" s="277"/>
      <c r="E814" s="277"/>
    </row>
    <row r="815">
      <c r="A815" s="277"/>
      <c r="B815" s="277"/>
      <c r="C815" s="278" t="s">
        <v>3</v>
      </c>
      <c r="D815" s="277"/>
      <c r="E815" s="277"/>
    </row>
    <row r="816">
      <c r="A816" s="277"/>
      <c r="B816" s="277"/>
      <c r="C816" s="278" t="s">
        <v>3</v>
      </c>
      <c r="D816" s="277"/>
      <c r="E816" s="277"/>
    </row>
    <row r="817">
      <c r="A817" s="277"/>
      <c r="B817" s="277"/>
      <c r="C817" s="278" t="s">
        <v>3</v>
      </c>
      <c r="D817" s="277"/>
      <c r="E817" s="277"/>
    </row>
    <row r="818">
      <c r="A818" s="277"/>
      <c r="B818" s="277"/>
      <c r="C818" s="278" t="s">
        <v>3</v>
      </c>
      <c r="D818" s="277"/>
      <c r="E818" s="277"/>
    </row>
    <row r="819">
      <c r="A819" s="277"/>
      <c r="B819" s="277"/>
      <c r="C819" s="278" t="s">
        <v>3</v>
      </c>
      <c r="D819" s="277"/>
      <c r="E819" s="277"/>
    </row>
    <row r="820">
      <c r="A820" s="277"/>
      <c r="B820" s="277"/>
      <c r="C820" s="278" t="s">
        <v>3</v>
      </c>
      <c r="D820" s="277"/>
      <c r="E820" s="277"/>
    </row>
    <row r="821">
      <c r="A821" s="277"/>
      <c r="B821" s="277"/>
      <c r="C821" s="278" t="s">
        <v>3</v>
      </c>
      <c r="D821" s="277"/>
      <c r="E821" s="277"/>
    </row>
    <row r="822">
      <c r="A822" s="277"/>
      <c r="B822" s="277"/>
      <c r="C822" s="278" t="s">
        <v>3</v>
      </c>
      <c r="D822" s="277"/>
      <c r="E822" s="277"/>
    </row>
    <row r="823">
      <c r="A823" s="277"/>
      <c r="B823" s="277"/>
      <c r="C823" s="278" t="s">
        <v>3</v>
      </c>
      <c r="D823" s="277"/>
      <c r="E823" s="277"/>
    </row>
    <row r="824">
      <c r="A824" s="277"/>
      <c r="B824" s="277"/>
      <c r="C824" s="278" t="s">
        <v>3</v>
      </c>
      <c r="D824" s="277"/>
      <c r="E824" s="277"/>
    </row>
    <row r="825">
      <c r="A825" s="277"/>
      <c r="B825" s="277"/>
      <c r="C825" s="278" t="s">
        <v>3</v>
      </c>
      <c r="D825" s="277"/>
      <c r="E825" s="277"/>
    </row>
    <row r="826">
      <c r="A826" s="277"/>
      <c r="B826" s="277"/>
      <c r="C826" s="278" t="s">
        <v>3</v>
      </c>
      <c r="D826" s="277"/>
      <c r="E826" s="277"/>
    </row>
    <row r="827">
      <c r="A827" s="277"/>
      <c r="B827" s="277"/>
      <c r="C827" s="278" t="s">
        <v>3</v>
      </c>
      <c r="D827" s="277"/>
      <c r="E827" s="277"/>
    </row>
    <row r="828">
      <c r="A828" s="277"/>
      <c r="B828" s="277"/>
      <c r="C828" s="278" t="s">
        <v>3</v>
      </c>
      <c r="D828" s="277"/>
      <c r="E828" s="277"/>
    </row>
    <row r="829">
      <c r="A829" s="277"/>
      <c r="B829" s="277"/>
      <c r="C829" s="278" t="s">
        <v>3</v>
      </c>
      <c r="D829" s="277"/>
      <c r="E829" s="277"/>
    </row>
    <row r="830">
      <c r="A830" s="277"/>
      <c r="B830" s="277"/>
      <c r="C830" s="278" t="s">
        <v>3</v>
      </c>
      <c r="D830" s="277"/>
      <c r="E830" s="277"/>
    </row>
    <row r="831">
      <c r="A831" s="277"/>
      <c r="B831" s="277"/>
      <c r="C831" s="278" t="s">
        <v>3</v>
      </c>
      <c r="D831" s="277"/>
      <c r="E831" s="277"/>
    </row>
    <row r="832">
      <c r="A832" s="277"/>
      <c r="B832" s="277"/>
      <c r="C832" s="278" t="s">
        <v>3</v>
      </c>
      <c r="D832" s="277"/>
      <c r="E832" s="277"/>
    </row>
    <row r="833">
      <c r="A833" s="277"/>
      <c r="B833" s="277"/>
      <c r="C833" s="278" t="s">
        <v>3</v>
      </c>
      <c r="D833" s="277"/>
      <c r="E833" s="277"/>
    </row>
    <row r="834">
      <c r="A834" s="277"/>
      <c r="B834" s="277"/>
      <c r="C834" s="278" t="s">
        <v>3</v>
      </c>
      <c r="D834" s="277"/>
      <c r="E834" s="277"/>
    </row>
    <row r="835">
      <c r="A835" s="277"/>
      <c r="B835" s="277"/>
      <c r="C835" s="278" t="s">
        <v>3</v>
      </c>
      <c r="D835" s="277"/>
      <c r="E835" s="277"/>
    </row>
    <row r="836">
      <c r="A836" s="277"/>
      <c r="B836" s="277"/>
      <c r="C836" s="278" t="s">
        <v>3</v>
      </c>
      <c r="D836" s="277"/>
      <c r="E836" s="277"/>
    </row>
    <row r="837">
      <c r="A837" s="277"/>
      <c r="B837" s="277"/>
      <c r="C837" s="278" t="s">
        <v>3</v>
      </c>
      <c r="D837" s="277"/>
      <c r="E837" s="277"/>
    </row>
    <row r="838">
      <c r="A838" s="277"/>
      <c r="B838" s="277"/>
      <c r="C838" s="278" t="s">
        <v>3</v>
      </c>
      <c r="D838" s="277"/>
      <c r="E838" s="277"/>
    </row>
    <row r="839">
      <c r="A839" s="277"/>
      <c r="B839" s="277"/>
      <c r="C839" s="278" t="s">
        <v>3</v>
      </c>
      <c r="D839" s="277"/>
      <c r="E839" s="277"/>
    </row>
    <row r="840">
      <c r="A840" s="277"/>
      <c r="B840" s="277"/>
      <c r="C840" s="278" t="s">
        <v>3</v>
      </c>
      <c r="D840" s="277"/>
      <c r="E840" s="277"/>
    </row>
    <row r="841">
      <c r="A841" s="277"/>
      <c r="B841" s="277"/>
      <c r="C841" s="278" t="s">
        <v>3</v>
      </c>
      <c r="D841" s="277"/>
      <c r="E841" s="277"/>
    </row>
    <row r="842">
      <c r="A842" s="277"/>
      <c r="B842" s="277"/>
      <c r="C842" s="278" t="s">
        <v>3</v>
      </c>
      <c r="D842" s="277"/>
      <c r="E842" s="277"/>
    </row>
    <row r="843">
      <c r="A843" s="277"/>
      <c r="B843" s="277"/>
      <c r="C843" s="278" t="s">
        <v>3</v>
      </c>
      <c r="D843" s="277"/>
      <c r="E843" s="277"/>
    </row>
    <row r="844">
      <c r="A844" s="277"/>
      <c r="B844" s="277"/>
      <c r="C844" s="278" t="s">
        <v>3</v>
      </c>
      <c r="D844" s="277"/>
      <c r="E844" s="277"/>
    </row>
    <row r="845">
      <c r="A845" s="277"/>
      <c r="B845" s="277"/>
      <c r="C845" s="278" t="s">
        <v>3</v>
      </c>
      <c r="D845" s="277"/>
      <c r="E845" s="277"/>
    </row>
    <row r="846">
      <c r="A846" s="277"/>
      <c r="B846" s="277"/>
      <c r="C846" s="278" t="s">
        <v>3</v>
      </c>
      <c r="D846" s="277"/>
      <c r="E846" s="277"/>
    </row>
    <row r="847">
      <c r="A847" s="277"/>
      <c r="B847" s="277"/>
      <c r="C847" s="278" t="s">
        <v>3</v>
      </c>
      <c r="D847" s="277"/>
      <c r="E847" s="277"/>
    </row>
    <row r="848">
      <c r="A848" s="277"/>
      <c r="B848" s="277"/>
      <c r="C848" s="278" t="s">
        <v>3</v>
      </c>
      <c r="D848" s="277"/>
      <c r="E848" s="277"/>
    </row>
    <row r="849">
      <c r="A849" s="277"/>
      <c r="B849" s="277"/>
      <c r="C849" s="278" t="s">
        <v>3</v>
      </c>
      <c r="D849" s="277"/>
      <c r="E849" s="277"/>
    </row>
    <row r="850">
      <c r="A850" s="277"/>
      <c r="B850" s="277"/>
      <c r="C850" s="278" t="s">
        <v>3</v>
      </c>
      <c r="D850" s="277"/>
      <c r="E850" s="277"/>
    </row>
    <row r="851">
      <c r="A851" s="277"/>
      <c r="B851" s="277"/>
      <c r="C851" s="278" t="s">
        <v>3</v>
      </c>
      <c r="D851" s="277"/>
      <c r="E851" s="277"/>
    </row>
    <row r="852">
      <c r="A852" s="277"/>
      <c r="B852" s="277"/>
      <c r="C852" s="278" t="s">
        <v>3</v>
      </c>
      <c r="D852" s="277"/>
      <c r="E852" s="277"/>
    </row>
    <row r="853">
      <c r="A853" s="277"/>
      <c r="B853" s="277"/>
      <c r="C853" s="278" t="s">
        <v>3</v>
      </c>
      <c r="D853" s="277"/>
      <c r="E853" s="277"/>
    </row>
    <row r="854">
      <c r="A854" s="277"/>
      <c r="B854" s="277"/>
      <c r="C854" s="278" t="s">
        <v>3</v>
      </c>
      <c r="D854" s="277"/>
      <c r="E854" s="277"/>
    </row>
    <row r="855">
      <c r="A855" s="277"/>
      <c r="B855" s="277"/>
      <c r="C855" s="278" t="s">
        <v>3</v>
      </c>
      <c r="D855" s="277"/>
      <c r="E855" s="277"/>
    </row>
    <row r="856">
      <c r="A856" s="277"/>
      <c r="B856" s="277"/>
      <c r="C856" s="278" t="s">
        <v>3</v>
      </c>
      <c r="D856" s="277"/>
      <c r="E856" s="277"/>
    </row>
    <row r="857">
      <c r="A857" s="277"/>
      <c r="B857" s="277"/>
      <c r="C857" s="278" t="s">
        <v>3</v>
      </c>
      <c r="D857" s="277"/>
      <c r="E857" s="277"/>
    </row>
    <row r="858">
      <c r="A858" s="277"/>
      <c r="B858" s="277"/>
      <c r="C858" s="278" t="s">
        <v>3</v>
      </c>
      <c r="D858" s="277"/>
      <c r="E858" s="277"/>
    </row>
    <row r="859">
      <c r="A859" s="277"/>
      <c r="B859" s="277"/>
      <c r="C859" s="278" t="s">
        <v>3</v>
      </c>
      <c r="D859" s="277"/>
      <c r="E859" s="277"/>
    </row>
    <row r="860">
      <c r="A860" s="277"/>
      <c r="B860" s="277"/>
      <c r="C860" s="278" t="s">
        <v>3</v>
      </c>
      <c r="D860" s="277"/>
      <c r="E860" s="277"/>
    </row>
    <row r="861">
      <c r="A861" s="277"/>
      <c r="B861" s="277"/>
      <c r="C861" s="278" t="s">
        <v>3</v>
      </c>
      <c r="D861" s="277"/>
      <c r="E861" s="277"/>
    </row>
    <row r="862">
      <c r="A862" s="277"/>
      <c r="B862" s="277"/>
      <c r="C862" s="278" t="s">
        <v>3</v>
      </c>
      <c r="D862" s="277"/>
      <c r="E862" s="277"/>
    </row>
    <row r="863">
      <c r="A863" s="277"/>
      <c r="B863" s="277"/>
      <c r="C863" s="278" t="s">
        <v>3</v>
      </c>
      <c r="D863" s="277"/>
      <c r="E863" s="277"/>
    </row>
    <row r="864">
      <c r="A864" s="277"/>
      <c r="B864" s="277"/>
      <c r="C864" s="278" t="s">
        <v>3</v>
      </c>
      <c r="D864" s="277"/>
      <c r="E864" s="277"/>
    </row>
    <row r="865">
      <c r="A865" s="277"/>
      <c r="B865" s="277"/>
      <c r="C865" s="278" t="s">
        <v>3</v>
      </c>
      <c r="D865" s="277"/>
      <c r="E865" s="277"/>
    </row>
    <row r="866">
      <c r="A866" s="277"/>
      <c r="B866" s="277"/>
      <c r="C866" s="278" t="s">
        <v>3</v>
      </c>
      <c r="D866" s="277"/>
      <c r="E866" s="277"/>
    </row>
    <row r="867">
      <c r="A867" s="277"/>
      <c r="B867" s="277"/>
      <c r="C867" s="278" t="s">
        <v>3</v>
      </c>
      <c r="D867" s="277"/>
      <c r="E867" s="277"/>
    </row>
    <row r="868">
      <c r="A868" s="277"/>
      <c r="B868" s="277"/>
      <c r="C868" s="278" t="s">
        <v>3</v>
      </c>
      <c r="D868" s="277"/>
      <c r="E868" s="277"/>
    </row>
    <row r="869">
      <c r="A869" s="277"/>
      <c r="B869" s="277"/>
      <c r="C869" s="278" t="s">
        <v>3</v>
      </c>
      <c r="D869" s="277"/>
      <c r="E869" s="277"/>
    </row>
    <row r="870">
      <c r="A870" s="277"/>
      <c r="B870" s="277"/>
      <c r="C870" s="278" t="s">
        <v>3</v>
      </c>
      <c r="D870" s="277"/>
      <c r="E870" s="277"/>
    </row>
    <row r="871">
      <c r="A871" s="277"/>
      <c r="B871" s="277"/>
      <c r="C871" s="278" t="s">
        <v>3</v>
      </c>
      <c r="D871" s="277"/>
      <c r="E871" s="277"/>
    </row>
    <row r="872">
      <c r="A872" s="277"/>
      <c r="B872" s="277"/>
      <c r="C872" s="278" t="s">
        <v>3</v>
      </c>
      <c r="D872" s="277"/>
      <c r="E872" s="277"/>
    </row>
    <row r="873">
      <c r="A873" s="277"/>
      <c r="B873" s="277"/>
      <c r="C873" s="278" t="s">
        <v>3</v>
      </c>
      <c r="D873" s="277"/>
      <c r="E873" s="277"/>
    </row>
    <row r="874">
      <c r="A874" s="277"/>
      <c r="B874" s="277"/>
      <c r="C874" s="278" t="s">
        <v>3</v>
      </c>
      <c r="D874" s="277"/>
      <c r="E874" s="277"/>
    </row>
    <row r="875">
      <c r="A875" s="277"/>
      <c r="B875" s="277"/>
      <c r="C875" s="278" t="s">
        <v>3</v>
      </c>
      <c r="D875" s="277"/>
      <c r="E875" s="277"/>
    </row>
    <row r="876">
      <c r="A876" s="277"/>
      <c r="B876" s="277"/>
      <c r="C876" s="278" t="s">
        <v>3</v>
      </c>
      <c r="D876" s="277"/>
      <c r="E876" s="277"/>
    </row>
    <row r="877">
      <c r="A877" s="277"/>
      <c r="B877" s="277"/>
      <c r="C877" s="278" t="s">
        <v>3</v>
      </c>
      <c r="D877" s="277"/>
      <c r="E877" s="277"/>
    </row>
    <row r="878">
      <c r="A878" s="277"/>
      <c r="B878" s="277"/>
      <c r="C878" s="278" t="s">
        <v>3</v>
      </c>
      <c r="D878" s="277"/>
      <c r="E878" s="277"/>
    </row>
    <row r="879">
      <c r="A879" s="277"/>
      <c r="B879" s="277"/>
      <c r="C879" s="278" t="s">
        <v>3</v>
      </c>
      <c r="D879" s="277"/>
      <c r="E879" s="277"/>
    </row>
    <row r="880">
      <c r="A880" s="277"/>
      <c r="B880" s="277"/>
      <c r="C880" s="278" t="s">
        <v>3</v>
      </c>
      <c r="D880" s="277"/>
      <c r="E880" s="277"/>
    </row>
    <row r="881">
      <c r="A881" s="277"/>
      <c r="B881" s="277"/>
      <c r="C881" s="278" t="s">
        <v>3</v>
      </c>
      <c r="D881" s="277"/>
      <c r="E881" s="277"/>
    </row>
    <row r="882">
      <c r="A882" s="277"/>
      <c r="B882" s="277"/>
      <c r="C882" s="278" t="s">
        <v>3</v>
      </c>
      <c r="D882" s="277"/>
      <c r="E882" s="277"/>
    </row>
    <row r="883">
      <c r="A883" s="277"/>
      <c r="B883" s="277"/>
      <c r="C883" s="278" t="s">
        <v>3</v>
      </c>
      <c r="D883" s="277"/>
      <c r="E883" s="277"/>
    </row>
    <row r="884">
      <c r="A884" s="277"/>
      <c r="B884" s="277"/>
      <c r="C884" s="278" t="s">
        <v>3</v>
      </c>
      <c r="D884" s="277"/>
      <c r="E884" s="277"/>
    </row>
    <row r="885">
      <c r="A885" s="277"/>
      <c r="B885" s="277"/>
      <c r="C885" s="278" t="s">
        <v>3</v>
      </c>
      <c r="D885" s="277"/>
      <c r="E885" s="277"/>
    </row>
    <row r="886">
      <c r="A886" s="277"/>
      <c r="B886" s="277"/>
      <c r="C886" s="278" t="s">
        <v>3</v>
      </c>
      <c r="D886" s="277"/>
      <c r="E886" s="277"/>
    </row>
    <row r="887">
      <c r="A887" s="277"/>
      <c r="B887" s="277"/>
      <c r="C887" s="278" t="s">
        <v>3</v>
      </c>
      <c r="D887" s="277"/>
      <c r="E887" s="277"/>
    </row>
    <row r="888">
      <c r="A888" s="277"/>
      <c r="B888" s="277"/>
      <c r="C888" s="278" t="s">
        <v>3</v>
      </c>
      <c r="D888" s="277"/>
      <c r="E888" s="277"/>
    </row>
    <row r="889">
      <c r="A889" s="277"/>
      <c r="B889" s="277"/>
      <c r="C889" s="278" t="s">
        <v>3</v>
      </c>
      <c r="D889" s="277"/>
      <c r="E889" s="277"/>
    </row>
    <row r="890">
      <c r="A890" s="277"/>
      <c r="B890" s="277"/>
      <c r="C890" s="278" t="s">
        <v>3</v>
      </c>
      <c r="D890" s="277"/>
      <c r="E890" s="277"/>
    </row>
    <row r="891">
      <c r="A891" s="277"/>
      <c r="B891" s="277"/>
      <c r="C891" s="278" t="s">
        <v>3</v>
      </c>
      <c r="D891" s="277"/>
      <c r="E891" s="277"/>
    </row>
    <row r="892">
      <c r="A892" s="277"/>
      <c r="B892" s="277"/>
      <c r="C892" s="278" t="s">
        <v>3</v>
      </c>
      <c r="D892" s="277"/>
      <c r="E892" s="277"/>
    </row>
    <row r="893">
      <c r="A893" s="277"/>
      <c r="B893" s="277"/>
      <c r="C893" s="278" t="s">
        <v>3</v>
      </c>
      <c r="D893" s="277"/>
      <c r="E893" s="277"/>
    </row>
    <row r="894">
      <c r="A894" s="277"/>
      <c r="B894" s="277"/>
      <c r="C894" s="278" t="s">
        <v>3</v>
      </c>
      <c r="D894" s="277"/>
      <c r="E894" s="277"/>
    </row>
    <row r="895">
      <c r="A895" s="277"/>
      <c r="B895" s="277"/>
      <c r="C895" s="278" t="s">
        <v>3</v>
      </c>
      <c r="D895" s="277"/>
      <c r="E895" s="277"/>
    </row>
    <row r="896">
      <c r="A896" s="277"/>
      <c r="B896" s="277"/>
      <c r="C896" s="278" t="s">
        <v>3</v>
      </c>
      <c r="D896" s="277"/>
      <c r="E896" s="277"/>
    </row>
    <row r="897">
      <c r="A897" s="277"/>
      <c r="B897" s="277"/>
      <c r="C897" s="278" t="s">
        <v>3</v>
      </c>
      <c r="D897" s="277"/>
      <c r="E897" s="277"/>
    </row>
    <row r="898">
      <c r="A898" s="277"/>
      <c r="B898" s="277"/>
      <c r="C898" s="278" t="s">
        <v>3</v>
      </c>
      <c r="D898" s="277"/>
      <c r="E898" s="277"/>
    </row>
    <row r="899">
      <c r="A899" s="277"/>
      <c r="B899" s="277"/>
      <c r="C899" s="278" t="s">
        <v>3</v>
      </c>
      <c r="D899" s="277"/>
      <c r="E899" s="277"/>
    </row>
    <row r="900">
      <c r="A900" s="277"/>
      <c r="B900" s="277"/>
      <c r="C900" s="278" t="s">
        <v>3</v>
      </c>
      <c r="D900" s="277"/>
      <c r="E900" s="277"/>
    </row>
    <row r="901">
      <c r="A901" s="277"/>
      <c r="B901" s="277"/>
      <c r="C901" s="278" t="s">
        <v>3</v>
      </c>
      <c r="D901" s="277"/>
      <c r="E901" s="277"/>
    </row>
    <row r="902">
      <c r="A902" s="277"/>
      <c r="B902" s="277"/>
      <c r="C902" s="278" t="s">
        <v>3</v>
      </c>
      <c r="D902" s="277"/>
      <c r="E902" s="277"/>
    </row>
    <row r="903">
      <c r="A903" s="277"/>
      <c r="B903" s="277"/>
      <c r="C903" s="278" t="s">
        <v>3</v>
      </c>
      <c r="D903" s="277"/>
      <c r="E903" s="277"/>
    </row>
    <row r="904">
      <c r="A904" s="277"/>
      <c r="B904" s="277"/>
      <c r="C904" s="278" t="s">
        <v>3</v>
      </c>
      <c r="D904" s="277"/>
      <c r="E904" s="277"/>
    </row>
    <row r="905">
      <c r="A905" s="277"/>
      <c r="B905" s="277"/>
      <c r="C905" s="278" t="s">
        <v>3</v>
      </c>
      <c r="D905" s="277"/>
      <c r="E905" s="277"/>
    </row>
    <row r="906">
      <c r="A906" s="277"/>
      <c r="B906" s="277"/>
      <c r="C906" s="278" t="s">
        <v>3</v>
      </c>
      <c r="D906" s="277"/>
      <c r="E906" s="277"/>
    </row>
    <row r="907">
      <c r="A907" s="277"/>
      <c r="B907" s="277"/>
      <c r="C907" s="278" t="s">
        <v>3</v>
      </c>
      <c r="D907" s="277"/>
      <c r="E907" s="277"/>
    </row>
    <row r="908">
      <c r="A908" s="277"/>
      <c r="B908" s="277"/>
      <c r="C908" s="278" t="s">
        <v>3</v>
      </c>
      <c r="D908" s="277"/>
      <c r="E908" s="277"/>
    </row>
    <row r="909">
      <c r="A909" s="277"/>
      <c r="B909" s="277"/>
      <c r="C909" s="278" t="s">
        <v>3</v>
      </c>
      <c r="D909" s="277"/>
      <c r="E909" s="277"/>
    </row>
    <row r="910">
      <c r="A910" s="277"/>
      <c r="B910" s="277"/>
      <c r="C910" s="278" t="s">
        <v>3</v>
      </c>
      <c r="D910" s="277"/>
      <c r="E910" s="277"/>
    </row>
    <row r="911">
      <c r="A911" s="277"/>
      <c r="B911" s="277"/>
      <c r="C911" s="278" t="s">
        <v>3</v>
      </c>
      <c r="D911" s="277"/>
      <c r="E911" s="277"/>
    </row>
    <row r="912">
      <c r="A912" s="277"/>
      <c r="B912" s="277"/>
      <c r="C912" s="278" t="s">
        <v>3</v>
      </c>
      <c r="D912" s="277"/>
      <c r="E912" s="277"/>
    </row>
    <row r="913">
      <c r="A913" s="277"/>
      <c r="B913" s="277"/>
      <c r="C913" s="278" t="s">
        <v>3</v>
      </c>
      <c r="D913" s="277"/>
      <c r="E913" s="277"/>
    </row>
    <row r="914">
      <c r="A914" s="277"/>
      <c r="B914" s="277"/>
      <c r="C914" s="278" t="s">
        <v>3</v>
      </c>
      <c r="D914" s="277"/>
      <c r="E914" s="277"/>
    </row>
    <row r="915">
      <c r="A915" s="277"/>
      <c r="B915" s="277"/>
      <c r="C915" s="278" t="s">
        <v>3</v>
      </c>
      <c r="D915" s="277"/>
      <c r="E915" s="277"/>
    </row>
    <row r="916">
      <c r="A916" s="277"/>
      <c r="B916" s="277"/>
      <c r="C916" s="278" t="s">
        <v>3</v>
      </c>
      <c r="D916" s="277"/>
      <c r="E916" s="277"/>
    </row>
    <row r="917">
      <c r="A917" s="277"/>
      <c r="B917" s="277"/>
      <c r="C917" s="278" t="s">
        <v>3</v>
      </c>
      <c r="D917" s="277"/>
      <c r="E917" s="277"/>
    </row>
    <row r="918">
      <c r="A918" s="277"/>
      <c r="B918" s="277"/>
      <c r="C918" s="278" t="s">
        <v>3</v>
      </c>
      <c r="D918" s="277"/>
      <c r="E918" s="277"/>
    </row>
    <row r="919">
      <c r="A919" s="277"/>
      <c r="B919" s="277"/>
      <c r="C919" s="278" t="s">
        <v>3</v>
      </c>
      <c r="D919" s="277"/>
      <c r="E919" s="277"/>
    </row>
    <row r="920">
      <c r="A920" s="277"/>
      <c r="B920" s="277"/>
      <c r="C920" s="278" t="s">
        <v>3</v>
      </c>
      <c r="D920" s="277"/>
      <c r="E920" s="277"/>
    </row>
    <row r="921">
      <c r="A921" s="277"/>
      <c r="B921" s="277"/>
      <c r="C921" s="278" t="s">
        <v>3</v>
      </c>
      <c r="D921" s="277"/>
      <c r="E921" s="277"/>
    </row>
    <row r="922">
      <c r="A922" s="277"/>
      <c r="B922" s="277"/>
      <c r="C922" s="278" t="s">
        <v>3</v>
      </c>
      <c r="D922" s="277"/>
      <c r="E922" s="277"/>
    </row>
    <row r="923">
      <c r="A923" s="277"/>
      <c r="B923" s="277"/>
      <c r="C923" s="278" t="s">
        <v>3</v>
      </c>
      <c r="D923" s="277"/>
      <c r="E923" s="277"/>
    </row>
    <row r="924">
      <c r="A924" s="277"/>
      <c r="B924" s="277"/>
      <c r="C924" s="278" t="s">
        <v>3</v>
      </c>
      <c r="D924" s="277"/>
      <c r="E924" s="277"/>
    </row>
    <row r="925">
      <c r="A925" s="277"/>
      <c r="B925" s="277"/>
      <c r="C925" s="278" t="s">
        <v>3</v>
      </c>
      <c r="D925" s="277"/>
      <c r="E925" s="277"/>
    </row>
    <row r="926">
      <c r="A926" s="277"/>
      <c r="B926" s="277"/>
      <c r="C926" s="278" t="s">
        <v>3</v>
      </c>
      <c r="D926" s="277"/>
      <c r="E926" s="277"/>
    </row>
    <row r="927">
      <c r="A927" s="277"/>
      <c r="B927" s="277"/>
      <c r="C927" s="278" t="s">
        <v>3</v>
      </c>
      <c r="D927" s="277"/>
      <c r="E927" s="277"/>
    </row>
    <row r="928">
      <c r="A928" s="277"/>
      <c r="B928" s="277"/>
      <c r="C928" s="278" t="s">
        <v>3</v>
      </c>
      <c r="D928" s="277"/>
      <c r="E928" s="277"/>
    </row>
    <row r="929">
      <c r="A929" s="277"/>
      <c r="B929" s="277"/>
      <c r="C929" s="278" t="s">
        <v>3</v>
      </c>
      <c r="D929" s="277"/>
      <c r="E929" s="277"/>
    </row>
    <row r="930">
      <c r="A930" s="277"/>
      <c r="B930" s="277"/>
      <c r="C930" s="278" t="s">
        <v>3</v>
      </c>
      <c r="D930" s="277"/>
      <c r="E930" s="277"/>
    </row>
    <row r="931">
      <c r="A931" s="277"/>
      <c r="B931" s="277"/>
      <c r="C931" s="278" t="s">
        <v>3</v>
      </c>
      <c r="D931" s="277"/>
      <c r="E931" s="277"/>
    </row>
    <row r="932">
      <c r="A932" s="277"/>
      <c r="B932" s="277"/>
      <c r="C932" s="278" t="s">
        <v>3</v>
      </c>
      <c r="D932" s="277"/>
      <c r="E932" s="277"/>
    </row>
    <row r="933">
      <c r="A933" s="277"/>
      <c r="B933" s="277"/>
      <c r="C933" s="278" t="s">
        <v>3</v>
      </c>
      <c r="D933" s="277"/>
      <c r="E933" s="277"/>
    </row>
    <row r="934">
      <c r="A934" s="277"/>
      <c r="B934" s="277"/>
      <c r="C934" s="278" t="s">
        <v>3</v>
      </c>
      <c r="D934" s="277"/>
      <c r="E934" s="277"/>
    </row>
    <row r="935">
      <c r="A935" s="277"/>
      <c r="B935" s="277"/>
      <c r="C935" s="278" t="s">
        <v>3</v>
      </c>
      <c r="D935" s="277"/>
      <c r="E935" s="277"/>
    </row>
    <row r="936">
      <c r="A936" s="277"/>
      <c r="B936" s="277"/>
      <c r="C936" s="278" t="s">
        <v>3</v>
      </c>
      <c r="D936" s="277"/>
      <c r="E936" s="277"/>
    </row>
    <row r="937">
      <c r="A937" s="277"/>
      <c r="B937" s="277"/>
      <c r="C937" s="278" t="s">
        <v>3</v>
      </c>
      <c r="D937" s="277"/>
      <c r="E937" s="277"/>
    </row>
    <row r="938">
      <c r="A938" s="277"/>
      <c r="B938" s="277"/>
      <c r="C938" s="278" t="s">
        <v>3</v>
      </c>
      <c r="D938" s="277"/>
      <c r="E938" s="277"/>
    </row>
    <row r="939">
      <c r="A939" s="277"/>
      <c r="B939" s="277"/>
      <c r="C939" s="278" t="s">
        <v>3</v>
      </c>
      <c r="D939" s="277"/>
      <c r="E939" s="277"/>
    </row>
    <row r="940">
      <c r="A940" s="277"/>
      <c r="B940" s="277"/>
      <c r="C940" s="278" t="s">
        <v>3</v>
      </c>
      <c r="D940" s="277"/>
      <c r="E940" s="277"/>
    </row>
    <row r="941">
      <c r="A941" s="277"/>
      <c r="B941" s="277"/>
      <c r="C941" s="278" t="s">
        <v>3</v>
      </c>
      <c r="D941" s="277"/>
      <c r="E941" s="277"/>
    </row>
    <row r="942">
      <c r="A942" s="277"/>
      <c r="B942" s="277"/>
      <c r="C942" s="278" t="s">
        <v>3</v>
      </c>
      <c r="D942" s="277"/>
      <c r="E942" s="277"/>
    </row>
    <row r="943">
      <c r="A943" s="277"/>
      <c r="B943" s="277"/>
      <c r="C943" s="278" t="s">
        <v>3</v>
      </c>
      <c r="D943" s="277"/>
      <c r="E943" s="277"/>
    </row>
    <row r="944">
      <c r="A944" s="277"/>
      <c r="B944" s="277"/>
      <c r="C944" s="278" t="s">
        <v>3</v>
      </c>
      <c r="D944" s="277"/>
      <c r="E944" s="277"/>
    </row>
    <row r="945">
      <c r="A945" s="277"/>
      <c r="B945" s="277"/>
      <c r="C945" s="278" t="s">
        <v>3</v>
      </c>
      <c r="D945" s="277"/>
      <c r="E945" s="277"/>
    </row>
    <row r="946">
      <c r="A946" s="277"/>
      <c r="B946" s="277"/>
      <c r="C946" s="278" t="s">
        <v>3</v>
      </c>
      <c r="D946" s="277"/>
      <c r="E946" s="277"/>
    </row>
    <row r="947">
      <c r="A947" s="277"/>
      <c r="B947" s="277"/>
      <c r="C947" s="278" t="s">
        <v>3</v>
      </c>
      <c r="D947" s="277"/>
      <c r="E947" s="277"/>
    </row>
    <row r="948">
      <c r="A948" s="277"/>
      <c r="B948" s="277"/>
      <c r="C948" s="278" t="s">
        <v>3</v>
      </c>
      <c r="D948" s="277"/>
      <c r="E948" s="277"/>
    </row>
    <row r="949">
      <c r="A949" s="277"/>
      <c r="B949" s="277"/>
      <c r="C949" s="278" t="s">
        <v>3</v>
      </c>
      <c r="D949" s="277"/>
      <c r="E949" s="277"/>
    </row>
    <row r="950">
      <c r="A950" s="277"/>
      <c r="B950" s="277"/>
      <c r="C950" s="278" t="s">
        <v>3</v>
      </c>
      <c r="D950" s="277"/>
      <c r="E950" s="277"/>
    </row>
    <row r="951">
      <c r="A951" s="277"/>
      <c r="B951" s="277"/>
      <c r="C951" s="278" t="s">
        <v>3</v>
      </c>
      <c r="D951" s="277"/>
      <c r="E951" s="277"/>
    </row>
    <row r="952">
      <c r="A952" s="277"/>
      <c r="B952" s="277"/>
      <c r="C952" s="278" t="s">
        <v>3</v>
      </c>
      <c r="D952" s="277"/>
      <c r="E952" s="277"/>
    </row>
    <row r="953">
      <c r="A953" s="277"/>
      <c r="B953" s="277"/>
      <c r="C953" s="278" t="s">
        <v>3</v>
      </c>
      <c r="D953" s="277"/>
      <c r="E953" s="277"/>
    </row>
    <row r="954">
      <c r="A954" s="277"/>
      <c r="B954" s="277"/>
      <c r="C954" s="278" t="s">
        <v>3</v>
      </c>
      <c r="D954" s="277"/>
      <c r="E954" s="277"/>
    </row>
    <row r="955">
      <c r="A955" s="277"/>
      <c r="B955" s="277"/>
      <c r="C955" s="278" t="s">
        <v>3</v>
      </c>
      <c r="D955" s="277"/>
      <c r="E955" s="277"/>
    </row>
    <row r="956">
      <c r="A956" s="277"/>
      <c r="B956" s="277"/>
      <c r="C956" s="278" t="s">
        <v>3</v>
      </c>
      <c r="D956" s="277"/>
      <c r="E956" s="277"/>
    </row>
    <row r="957">
      <c r="A957" s="277"/>
      <c r="B957" s="277"/>
      <c r="C957" s="278" t="s">
        <v>3</v>
      </c>
      <c r="D957" s="277"/>
      <c r="E957" s="277"/>
    </row>
    <row r="958">
      <c r="A958" s="277"/>
      <c r="B958" s="277"/>
      <c r="C958" s="278" t="s">
        <v>3</v>
      </c>
      <c r="D958" s="277"/>
      <c r="E958" s="277"/>
    </row>
    <row r="959">
      <c r="A959" s="277"/>
      <c r="B959" s="277"/>
      <c r="C959" s="278" t="s">
        <v>3</v>
      </c>
      <c r="D959" s="277"/>
      <c r="E959" s="277"/>
    </row>
    <row r="960">
      <c r="A960" s="277"/>
      <c r="B960" s="277"/>
      <c r="C960" s="278" t="s">
        <v>3</v>
      </c>
      <c r="D960" s="277"/>
      <c r="E960" s="277"/>
    </row>
    <row r="961">
      <c r="A961" s="277"/>
      <c r="B961" s="277"/>
      <c r="C961" s="278" t="s">
        <v>3</v>
      </c>
      <c r="D961" s="277"/>
      <c r="E961" s="277"/>
    </row>
    <row r="962">
      <c r="A962" s="277"/>
      <c r="B962" s="277"/>
      <c r="C962" s="278" t="s">
        <v>3</v>
      </c>
      <c r="D962" s="277"/>
      <c r="E962" s="277"/>
    </row>
    <row r="963">
      <c r="A963" s="277"/>
      <c r="B963" s="277"/>
      <c r="C963" s="278" t="s">
        <v>3</v>
      </c>
      <c r="D963" s="277"/>
      <c r="E963" s="277"/>
    </row>
    <row r="964">
      <c r="A964" s="277"/>
      <c r="B964" s="277"/>
      <c r="C964" s="278" t="s">
        <v>3</v>
      </c>
      <c r="D964" s="277"/>
      <c r="E964" s="277"/>
    </row>
    <row r="965">
      <c r="A965" s="277"/>
      <c r="B965" s="277"/>
      <c r="C965" s="278" t="s">
        <v>3</v>
      </c>
      <c r="D965" s="277"/>
      <c r="E965" s="277"/>
    </row>
    <row r="966">
      <c r="A966" s="277"/>
      <c r="B966" s="277"/>
      <c r="C966" s="278" t="s">
        <v>3</v>
      </c>
      <c r="D966" s="277"/>
      <c r="E966" s="277"/>
    </row>
    <row r="967">
      <c r="A967" s="277"/>
      <c r="B967" s="277"/>
      <c r="C967" s="278" t="s">
        <v>3</v>
      </c>
      <c r="D967" s="277"/>
      <c r="E967" s="277"/>
    </row>
    <row r="968">
      <c r="A968" s="277"/>
      <c r="B968" s="277"/>
      <c r="C968" s="278" t="s">
        <v>3</v>
      </c>
      <c r="D968" s="277"/>
      <c r="E968" s="277"/>
    </row>
    <row r="969">
      <c r="A969" s="277"/>
      <c r="B969" s="277"/>
      <c r="C969" s="278" t="s">
        <v>3</v>
      </c>
      <c r="D969" s="277"/>
      <c r="E969" s="277"/>
    </row>
    <row r="970">
      <c r="A970" s="277"/>
      <c r="B970" s="277"/>
      <c r="C970" s="278" t="s">
        <v>3</v>
      </c>
      <c r="D970" s="277"/>
      <c r="E970" s="277"/>
    </row>
    <row r="971">
      <c r="A971" s="277"/>
      <c r="B971" s="277"/>
      <c r="C971" s="278" t="s">
        <v>3</v>
      </c>
      <c r="D971" s="277"/>
      <c r="E971" s="277"/>
    </row>
    <row r="972">
      <c r="A972" s="277"/>
      <c r="B972" s="277"/>
      <c r="C972" s="278" t="s">
        <v>3</v>
      </c>
      <c r="D972" s="277"/>
      <c r="E972" s="277"/>
    </row>
    <row r="973">
      <c r="A973" s="277"/>
      <c r="B973" s="277"/>
      <c r="C973" s="278" t="s">
        <v>3</v>
      </c>
      <c r="D973" s="277"/>
      <c r="E973" s="277"/>
    </row>
    <row r="974">
      <c r="A974" s="277"/>
      <c r="B974" s="277"/>
      <c r="C974" s="278" t="s">
        <v>3</v>
      </c>
      <c r="D974" s="277"/>
      <c r="E974" s="277"/>
    </row>
    <row r="975">
      <c r="A975" s="277"/>
      <c r="B975" s="277"/>
      <c r="C975" s="278" t="s">
        <v>3</v>
      </c>
      <c r="D975" s="277"/>
      <c r="E975" s="277"/>
    </row>
    <row r="976">
      <c r="A976" s="277"/>
      <c r="B976" s="277"/>
      <c r="C976" s="278" t="s">
        <v>3</v>
      </c>
      <c r="D976" s="277"/>
      <c r="E976" s="277"/>
    </row>
    <row r="977">
      <c r="A977" s="277"/>
      <c r="B977" s="277"/>
      <c r="C977" s="278" t="s">
        <v>3</v>
      </c>
      <c r="D977" s="277"/>
      <c r="E977" s="277"/>
    </row>
    <row r="978">
      <c r="A978" s="277"/>
      <c r="B978" s="277"/>
      <c r="C978" s="278" t="s">
        <v>3</v>
      </c>
      <c r="D978" s="277"/>
      <c r="E978" s="277"/>
    </row>
    <row r="979">
      <c r="A979" s="277"/>
      <c r="B979" s="277"/>
      <c r="C979" s="278" t="s">
        <v>3</v>
      </c>
      <c r="D979" s="277"/>
      <c r="E979" s="277"/>
    </row>
    <row r="980">
      <c r="A980" s="277"/>
      <c r="B980" s="277"/>
      <c r="C980" s="278" t="s">
        <v>3</v>
      </c>
      <c r="D980" s="277"/>
      <c r="E980" s="277"/>
    </row>
    <row r="981">
      <c r="A981" s="277"/>
      <c r="B981" s="277"/>
      <c r="C981" s="278" t="s">
        <v>3</v>
      </c>
      <c r="D981" s="277"/>
      <c r="E981" s="277"/>
    </row>
    <row r="982">
      <c r="A982" s="277"/>
      <c r="B982" s="277"/>
      <c r="C982" s="278" t="s">
        <v>3</v>
      </c>
      <c r="D982" s="277"/>
      <c r="E982" s="277"/>
    </row>
    <row r="983">
      <c r="A983" s="277"/>
      <c r="B983" s="277"/>
      <c r="C983" s="278" t="s">
        <v>3</v>
      </c>
      <c r="D983" s="277"/>
      <c r="E983" s="277"/>
    </row>
    <row r="984">
      <c r="A984" s="277"/>
      <c r="B984" s="277"/>
      <c r="C984" s="278" t="s">
        <v>3</v>
      </c>
      <c r="D984" s="277"/>
      <c r="E984" s="277"/>
    </row>
    <row r="985">
      <c r="A985" s="277"/>
      <c r="B985" s="277"/>
      <c r="C985" s="278" t="s">
        <v>3</v>
      </c>
      <c r="D985" s="277"/>
      <c r="E985" s="277"/>
    </row>
    <row r="986">
      <c r="A986" s="277"/>
      <c r="B986" s="277"/>
      <c r="C986" s="278" t="s">
        <v>3</v>
      </c>
      <c r="D986" s="277"/>
      <c r="E986" s="277"/>
    </row>
    <row r="987">
      <c r="A987" s="277"/>
      <c r="B987" s="277"/>
      <c r="C987" s="278" t="s">
        <v>3</v>
      </c>
      <c r="D987" s="277"/>
      <c r="E987" s="277"/>
    </row>
    <row r="988">
      <c r="A988" s="277"/>
      <c r="B988" s="277"/>
      <c r="C988" s="278" t="s">
        <v>3</v>
      </c>
      <c r="D988" s="277"/>
      <c r="E988" s="277"/>
    </row>
    <row r="989">
      <c r="A989" s="277"/>
      <c r="B989" s="277"/>
      <c r="C989" s="278" t="s">
        <v>3</v>
      </c>
      <c r="D989" s="277"/>
      <c r="E989" s="277"/>
    </row>
    <row r="990">
      <c r="A990" s="277"/>
      <c r="B990" s="277"/>
      <c r="C990" s="278" t="s">
        <v>3</v>
      </c>
      <c r="D990" s="277"/>
      <c r="E990" s="277"/>
    </row>
    <row r="991">
      <c r="A991" s="277"/>
      <c r="B991" s="277"/>
      <c r="C991" s="278" t="s">
        <v>3</v>
      </c>
      <c r="D991" s="277"/>
      <c r="E991" s="277"/>
    </row>
    <row r="992">
      <c r="A992" s="277"/>
      <c r="B992" s="277"/>
      <c r="C992" s="278" t="s">
        <v>3</v>
      </c>
      <c r="D992" s="277"/>
      <c r="E992" s="277"/>
    </row>
    <row r="993">
      <c r="A993" s="277"/>
      <c r="B993" s="277"/>
      <c r="C993" s="278" t="s">
        <v>3</v>
      </c>
      <c r="D993" s="277"/>
      <c r="E993" s="277"/>
    </row>
    <row r="994">
      <c r="A994" s="277"/>
      <c r="B994" s="277"/>
      <c r="C994" s="278" t="s">
        <v>3</v>
      </c>
      <c r="D994" s="277"/>
      <c r="E994" s="277"/>
    </row>
    <row r="995">
      <c r="A995" s="277"/>
      <c r="B995" s="277"/>
      <c r="C995" s="278" t="s">
        <v>3</v>
      </c>
      <c r="D995" s="277"/>
      <c r="E995" s="277"/>
    </row>
    <row r="996">
      <c r="A996" s="277"/>
      <c r="B996" s="277"/>
      <c r="C996" s="278" t="s">
        <v>3</v>
      </c>
      <c r="D996" s="277"/>
      <c r="E996" s="277"/>
    </row>
    <row r="997">
      <c r="A997" s="277"/>
      <c r="B997" s="277"/>
      <c r="C997" s="278" t="s">
        <v>3</v>
      </c>
      <c r="D997" s="277"/>
      <c r="E997" s="277"/>
    </row>
    <row r="998">
      <c r="A998" s="277"/>
      <c r="B998" s="277"/>
      <c r="C998" s="278" t="s">
        <v>3</v>
      </c>
      <c r="D998" s="277"/>
      <c r="E998" s="277"/>
    </row>
    <row r="999">
      <c r="A999" s="277"/>
      <c r="B999" s="277"/>
      <c r="C999" s="278" t="s">
        <v>3</v>
      </c>
      <c r="D999" s="277"/>
      <c r="E999" s="277"/>
    </row>
    <row r="1000">
      <c r="A1000" s="277"/>
      <c r="B1000" s="277"/>
      <c r="C1000" s="278" t="s">
        <v>3</v>
      </c>
      <c r="D1000" s="277"/>
      <c r="E1000" s="277"/>
    </row>
    <row r="1001">
      <c r="A1001" s="277"/>
      <c r="B1001" s="277"/>
      <c r="C1001" s="278" t="s">
        <v>3</v>
      </c>
      <c r="D1001" s="277"/>
      <c r="E1001" s="27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sheetData>
    <row r="1">
      <c r="A1" s="280" t="s">
        <v>2019</v>
      </c>
      <c r="B1" s="280" t="s">
        <v>2020</v>
      </c>
      <c r="C1" s="280" t="s">
        <v>2021</v>
      </c>
    </row>
    <row r="2">
      <c r="A2" s="281">
        <f t="shared" ref="A2:A15" si="1">A3-1</f>
        <v>44794</v>
      </c>
      <c r="B2" s="282">
        <f t="array" ref="B2">SUMIF(INDIRECT("'Check-in'!"&amp;Parameters!C$2&amp;":"&amp;Parameters!C$2&amp;""),A2,INDIRECT("'Check-in'!"&amp;Parameters!C$3&amp;":"&amp;Parameters!C$3&amp;""))</f>
        <v>0</v>
      </c>
      <c r="C2" s="282">
        <f t="array" ref="C2">SUMIF(INDIRECT("'Check-out'!"&amp;Parameters!C$4&amp;":"&amp;Parameters!C$4&amp;""),A2,INDIRECT("'Check-out'!"&amp;Parameters!C$5&amp;":"&amp;Parameters!C$5&amp;""))</f>
        <v>0</v>
      </c>
    </row>
    <row r="3">
      <c r="A3" s="281">
        <f t="shared" si="1"/>
        <v>44795</v>
      </c>
      <c r="B3" s="282">
        <f t="array" ref="B3">SUMIF(INDIRECT("'Check-in'!"&amp;Parameters!C$2&amp;":"&amp;Parameters!C$2&amp;""),A3,INDIRECT("'Check-in'!"&amp;Parameters!C$3&amp;":"&amp;Parameters!C$3&amp;""))</f>
        <v>0</v>
      </c>
      <c r="C3" s="282">
        <f t="array" ref="C3">SUMIF(INDIRECT("'Check-out'!"&amp;Parameters!C$4&amp;":"&amp;Parameters!C$4&amp;""),A3,INDIRECT("'Check-out'!"&amp;Parameters!C$5&amp;":"&amp;Parameters!C$5&amp;""))</f>
        <v>0</v>
      </c>
    </row>
    <row r="4">
      <c r="A4" s="281">
        <f t="shared" si="1"/>
        <v>44796</v>
      </c>
      <c r="B4" s="282">
        <f t="array" ref="B4">SUMIF(INDIRECT("'Check-in'!"&amp;Parameters!C$2&amp;":"&amp;Parameters!C$2&amp;""),A4,INDIRECT("'Check-in'!"&amp;Parameters!C$3&amp;":"&amp;Parameters!C$3&amp;""))</f>
        <v>0</v>
      </c>
      <c r="C4" s="282">
        <f t="array" ref="C4">SUMIF(INDIRECT("'Check-out'!"&amp;Parameters!C$4&amp;":"&amp;Parameters!C$4&amp;""),A4,INDIRECT("'Check-out'!"&amp;Parameters!C$5&amp;":"&amp;Parameters!C$5&amp;""))</f>
        <v>0</v>
      </c>
    </row>
    <row r="5">
      <c r="A5" s="281">
        <f t="shared" si="1"/>
        <v>44797</v>
      </c>
      <c r="B5" s="282">
        <f t="array" ref="B5">SUMIF(INDIRECT("'Check-in'!"&amp;Parameters!C$2&amp;":"&amp;Parameters!C$2&amp;""),A5,INDIRECT("'Check-in'!"&amp;Parameters!C$3&amp;":"&amp;Parameters!C$3&amp;""))</f>
        <v>0</v>
      </c>
      <c r="C5" s="282">
        <f t="array" ref="C5">SUMIF(INDIRECT("'Check-out'!"&amp;Parameters!C$4&amp;":"&amp;Parameters!C$4&amp;""),A5,INDIRECT("'Check-out'!"&amp;Parameters!C$5&amp;":"&amp;Parameters!C$5&amp;""))</f>
        <v>0</v>
      </c>
    </row>
    <row r="6">
      <c r="A6" s="281">
        <f t="shared" si="1"/>
        <v>44798</v>
      </c>
      <c r="B6" s="282">
        <f t="array" ref="B6">SUMIF(INDIRECT("'Check-in'!"&amp;Parameters!C$2&amp;":"&amp;Parameters!C$2&amp;""),A6,INDIRECT("'Check-in'!"&amp;Parameters!C$3&amp;":"&amp;Parameters!C$3&amp;""))</f>
        <v>0</v>
      </c>
      <c r="C6" s="282">
        <f t="array" ref="C6">SUMIF(INDIRECT("'Check-out'!"&amp;Parameters!C$4&amp;":"&amp;Parameters!C$4&amp;""),A6,INDIRECT("'Check-out'!"&amp;Parameters!C$5&amp;":"&amp;Parameters!C$5&amp;""))</f>
        <v>0</v>
      </c>
    </row>
    <row r="7">
      <c r="A7" s="281">
        <f t="shared" si="1"/>
        <v>44799</v>
      </c>
      <c r="B7" s="282">
        <f t="array" ref="B7">SUMIF(INDIRECT("'Check-in'!"&amp;Parameters!C$2&amp;":"&amp;Parameters!C$2&amp;""),A7,INDIRECT("'Check-in'!"&amp;Parameters!C$3&amp;":"&amp;Parameters!C$3&amp;""))</f>
        <v>0</v>
      </c>
      <c r="C7" s="282">
        <f t="array" ref="C7">SUMIF(INDIRECT("'Check-out'!"&amp;Parameters!C$4&amp;":"&amp;Parameters!C$4&amp;""),A7,INDIRECT("'Check-out'!"&amp;Parameters!C$5&amp;":"&amp;Parameters!C$5&amp;""))</f>
        <v>0</v>
      </c>
    </row>
    <row r="8">
      <c r="A8" s="281">
        <f t="shared" si="1"/>
        <v>44800</v>
      </c>
      <c r="B8" s="282">
        <f t="array" ref="B8">SUMIF(INDIRECT("'Check-in'!"&amp;Parameters!C$2&amp;":"&amp;Parameters!C$2&amp;""),A8,INDIRECT("'Check-in'!"&amp;Parameters!C$3&amp;":"&amp;Parameters!C$3&amp;""))</f>
        <v>0</v>
      </c>
      <c r="C8" s="282">
        <f t="array" ref="C8">SUMIF(INDIRECT("'Check-out'!"&amp;Parameters!C$4&amp;":"&amp;Parameters!C$4&amp;""),A8,INDIRECT("'Check-out'!"&amp;Parameters!C$5&amp;":"&amp;Parameters!C$5&amp;""))</f>
        <v>0</v>
      </c>
    </row>
    <row r="9">
      <c r="A9" s="281">
        <f t="shared" si="1"/>
        <v>44801</v>
      </c>
      <c r="B9" s="282">
        <f t="array" ref="B9">SUMIF(INDIRECT("'Check-in'!"&amp;Parameters!C$2&amp;":"&amp;Parameters!C$2&amp;""),A9,INDIRECT("'Check-in'!"&amp;Parameters!C$3&amp;":"&amp;Parameters!C$3&amp;""))</f>
        <v>0</v>
      </c>
      <c r="C9" s="282">
        <f t="array" ref="C9">SUMIF(INDIRECT("'Check-out'!"&amp;Parameters!C$4&amp;":"&amp;Parameters!C$4&amp;""),A9,INDIRECT("'Check-out'!"&amp;Parameters!C$5&amp;":"&amp;Parameters!C$5&amp;""))</f>
        <v>0</v>
      </c>
    </row>
    <row r="10">
      <c r="A10" s="281">
        <f t="shared" si="1"/>
        <v>44802</v>
      </c>
      <c r="B10" s="282">
        <f t="array" ref="B10">SUMIF(INDIRECT("'Check-in'!"&amp;Parameters!C$2&amp;":"&amp;Parameters!C$2&amp;""),A10,INDIRECT("'Check-in'!"&amp;Parameters!C$3&amp;":"&amp;Parameters!C$3&amp;""))</f>
        <v>0</v>
      </c>
      <c r="C10" s="282">
        <f t="array" ref="C10">SUMIF(INDIRECT("'Check-out'!"&amp;Parameters!C$4&amp;":"&amp;Parameters!C$4&amp;""),A10,INDIRECT("'Check-out'!"&amp;Parameters!C$5&amp;":"&amp;Parameters!C$5&amp;""))</f>
        <v>0</v>
      </c>
    </row>
    <row r="11">
      <c r="A11" s="281">
        <f t="shared" si="1"/>
        <v>44803</v>
      </c>
      <c r="B11" s="282">
        <f t="array" ref="B11">SUMIF(INDIRECT("'Check-in'!"&amp;Parameters!C$2&amp;":"&amp;Parameters!C$2&amp;""),A11,INDIRECT("'Check-in'!"&amp;Parameters!C$3&amp;":"&amp;Parameters!C$3&amp;""))</f>
        <v>0</v>
      </c>
      <c r="C11" s="282">
        <f t="array" ref="C11">SUMIF(INDIRECT("'Check-out'!"&amp;Parameters!C$4&amp;":"&amp;Parameters!C$4&amp;""),A11,INDIRECT("'Check-out'!"&amp;Parameters!C$5&amp;":"&amp;Parameters!C$5&amp;""))</f>
        <v>0</v>
      </c>
    </row>
    <row r="12">
      <c r="A12" s="281">
        <f t="shared" si="1"/>
        <v>44804</v>
      </c>
      <c r="B12" s="282">
        <f t="array" ref="B12">SUMIF(INDIRECT("'Check-in'!"&amp;Parameters!C$2&amp;":"&amp;Parameters!C$2&amp;""),A12,INDIRECT("'Check-in'!"&amp;Parameters!C$3&amp;":"&amp;Parameters!C$3&amp;""))</f>
        <v>0</v>
      </c>
      <c r="C12" s="282">
        <f t="array" ref="C12">SUMIF(INDIRECT("'Check-out'!"&amp;Parameters!C$4&amp;":"&amp;Parameters!C$4&amp;""),A12,INDIRECT("'Check-out'!"&amp;Parameters!C$5&amp;":"&amp;Parameters!C$5&amp;""))</f>
        <v>0</v>
      </c>
    </row>
    <row r="13">
      <c r="A13" s="281">
        <f t="shared" si="1"/>
        <v>44805</v>
      </c>
      <c r="B13" s="282">
        <f t="array" ref="B13">SUMIF(INDIRECT("'Check-in'!"&amp;Parameters!C$2&amp;":"&amp;Parameters!C$2&amp;""),A13,INDIRECT("'Check-in'!"&amp;Parameters!C$3&amp;":"&amp;Parameters!C$3&amp;""))</f>
        <v>0</v>
      </c>
      <c r="C13" s="282">
        <f t="array" ref="C13">SUMIF(INDIRECT("'Check-out'!"&amp;Parameters!C$4&amp;":"&amp;Parameters!C$4&amp;""),A13,INDIRECT("'Check-out'!"&amp;Parameters!C$5&amp;":"&amp;Parameters!C$5&amp;""))</f>
        <v>0</v>
      </c>
    </row>
    <row r="14">
      <c r="A14" s="281">
        <f t="shared" si="1"/>
        <v>44806</v>
      </c>
      <c r="B14" s="282">
        <f t="array" ref="B14">SUMIF(INDIRECT("'Check-in'!"&amp;Parameters!C$2&amp;":"&amp;Parameters!C$2&amp;""),A14,INDIRECT("'Check-in'!"&amp;Parameters!C$3&amp;":"&amp;Parameters!C$3&amp;""))</f>
        <v>0</v>
      </c>
      <c r="C14" s="282">
        <f t="array" ref="C14">SUMIF(INDIRECT("'Check-out'!"&amp;Parameters!C$4&amp;":"&amp;Parameters!C$4&amp;""),A14,INDIRECT("'Check-out'!"&amp;Parameters!C$5&amp;":"&amp;Parameters!C$5&amp;""))</f>
        <v>0</v>
      </c>
    </row>
    <row r="15">
      <c r="A15" s="281">
        <f t="shared" si="1"/>
        <v>44807</v>
      </c>
      <c r="B15" s="282">
        <f t="array" ref="B15">SUMIF(INDIRECT("'Check-in'!"&amp;Parameters!C$2&amp;":"&amp;Parameters!C$2&amp;""),A15,INDIRECT("'Check-in'!"&amp;Parameters!C$3&amp;":"&amp;Parameters!C$3&amp;""))</f>
        <v>0</v>
      </c>
      <c r="C15" s="282">
        <f t="array" ref="C15">SUMIF(INDIRECT("'Check-out'!"&amp;Parameters!C$4&amp;":"&amp;Parameters!C$4&amp;""),A15,INDIRECT("'Check-out'!"&amp;Parameters!C$5&amp;":"&amp;Parameters!C$5&amp;""))</f>
        <v>0</v>
      </c>
    </row>
    <row r="16">
      <c r="A16" s="281">
        <f>MAX('Check-out'!A2:A998)</f>
        <v>44808</v>
      </c>
      <c r="B16" s="282">
        <f t="array" ref="B16">SUMIF(INDIRECT("'Check-in'!"&amp;Parameters!C$2&amp;":"&amp;Parameters!C$2&amp;""),A16,INDIRECT("'Check-in'!"&amp;Parameters!C$3&amp;":"&amp;Parameters!C$3&amp;""))</f>
        <v>0</v>
      </c>
      <c r="C16" s="282">
        <f t="array" ref="C16">SUMIF(INDIRECT("'Check-out'!"&amp;Parameters!C$4&amp;":"&amp;Parameters!C$4&amp;""),A16,INDIRECT("'Check-out'!"&amp;Parameters!C$5&amp;":"&amp;Parameters!C$5&amp;""))</f>
        <v>0</v>
      </c>
    </row>
    <row r="17">
      <c r="A17" s="283"/>
      <c r="B17" s="283"/>
      <c r="C17" s="283"/>
    </row>
    <row r="18">
      <c r="A18" s="283"/>
      <c r="B18" s="283"/>
      <c r="C18" s="283"/>
    </row>
    <row r="19">
      <c r="A19" s="283"/>
      <c r="B19" s="283"/>
      <c r="C19" s="283"/>
    </row>
    <row r="20">
      <c r="A20" s="283"/>
      <c r="B20" s="283"/>
      <c r="C20" s="283"/>
    </row>
    <row r="21">
      <c r="A21" s="283"/>
      <c r="B21" s="283"/>
      <c r="C21" s="283"/>
    </row>
    <row r="22">
      <c r="A22" s="283"/>
      <c r="B22" s="283"/>
      <c r="C22" s="283"/>
    </row>
    <row r="23">
      <c r="A23" s="283"/>
      <c r="B23" s="283"/>
      <c r="C23" s="283"/>
    </row>
    <row r="24">
      <c r="A24" s="283"/>
      <c r="B24" s="283"/>
      <c r="C24" s="283"/>
    </row>
    <row r="25">
      <c r="A25" s="283"/>
      <c r="B25" s="283"/>
      <c r="C25" s="28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5C5C"/>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8.63"/>
  </cols>
  <sheetData>
    <row r="1">
      <c r="A1" s="284" t="s">
        <v>2022</v>
      </c>
      <c r="E1" s="280" t="s">
        <v>2023</v>
      </c>
    </row>
    <row r="2">
      <c r="A2" s="282" t="str">
        <f>IFERROR(__xludf.DUMMYFUNCTION("IFERROR(QUERY('Current inventory list'!A2:G15,""SELECT B WHERE F&lt;0 LIMIT 9"",0),""None"")"),"Party Games")</f>
        <v>Party Games</v>
      </c>
      <c r="B2" s="282"/>
      <c r="C2" s="282"/>
      <c r="D2" s="282"/>
      <c r="E2" s="282">
        <f>IFERROR(__xludf.DUMMYFUNCTION("IFERROR(QUERY('Current inventory list'!A2:G15,""SELECT F WHERE F&lt;0 LIMIT 9"",0),""None"")"),-1.0)</f>
        <v>-1</v>
      </c>
    </row>
    <row r="3">
      <c r="A3" s="282"/>
      <c r="B3" s="282"/>
      <c r="C3" s="282"/>
      <c r="D3" s="282"/>
      <c r="E3" s="282"/>
    </row>
    <row r="4">
      <c r="A4" s="282"/>
      <c r="B4" s="282"/>
      <c r="C4" s="282"/>
      <c r="D4" s="282"/>
      <c r="E4" s="282"/>
    </row>
    <row r="5">
      <c r="A5" s="282"/>
      <c r="B5" s="282"/>
      <c r="C5" s="282"/>
      <c r="D5" s="282"/>
      <c r="E5" s="282"/>
    </row>
    <row r="6">
      <c r="A6" s="282"/>
      <c r="B6" s="282"/>
      <c r="C6" s="282"/>
      <c r="D6" s="282"/>
      <c r="E6" s="282"/>
    </row>
    <row r="7">
      <c r="A7" s="283"/>
      <c r="B7" s="283"/>
      <c r="C7" s="283"/>
      <c r="D7" s="283"/>
      <c r="E7" s="283"/>
    </row>
    <row r="8">
      <c r="A8" s="283"/>
      <c r="B8" s="283"/>
      <c r="C8" s="283"/>
      <c r="D8" s="283"/>
      <c r="E8" s="283"/>
    </row>
    <row r="9">
      <c r="A9" s="283"/>
      <c r="B9" s="283"/>
      <c r="C9" s="283"/>
      <c r="D9" s="283"/>
      <c r="E9" s="283"/>
    </row>
    <row r="10">
      <c r="A10" s="283"/>
      <c r="B10" s="283"/>
      <c r="C10" s="283"/>
      <c r="D10" s="283"/>
      <c r="E10" s="283"/>
    </row>
    <row r="11">
      <c r="A11" s="283"/>
      <c r="B11" s="283"/>
      <c r="C11" s="283"/>
      <c r="D11" s="283"/>
      <c r="E11" s="283"/>
    </row>
    <row r="12">
      <c r="A12" s="283"/>
      <c r="B12" s="283"/>
      <c r="C12" s="283"/>
      <c r="D12" s="283"/>
      <c r="E12" s="283"/>
    </row>
    <row r="13">
      <c r="A13" s="283"/>
      <c r="B13" s="283"/>
      <c r="C13" s="283"/>
      <c r="D13" s="283"/>
      <c r="E13" s="283"/>
    </row>
    <row r="14">
      <c r="A14" s="283"/>
      <c r="B14" s="283"/>
      <c r="C14" s="283"/>
      <c r="D14" s="283"/>
      <c r="E14" s="283"/>
    </row>
    <row r="15">
      <c r="A15" s="283"/>
      <c r="B15" s="283"/>
      <c r="C15" s="283"/>
      <c r="D15" s="283"/>
      <c r="E15" s="283"/>
    </row>
  </sheetData>
  <mergeCells count="1">
    <mergeCell ref="A1:D1"/>
  </mergeCells>
  <drawing r:id="rId1"/>
</worksheet>
</file>