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eck-out" sheetId="1" r:id="rId5"/>
    <sheet state="hidden" name="Check-in" sheetId="2" r:id="rId6"/>
    <sheet state="hidden" name="Dashboard" sheetId="3" r:id="rId7"/>
    <sheet state="hidden" name="Current inventory list" sheetId="4" r:id="rId8"/>
    <sheet state="visible" name="Detailed Check-out" sheetId="5" r:id="rId9"/>
    <sheet state="visible" name="Waitlist" sheetId="6" r:id="rId10"/>
    <sheet state="hidden" name="Parameters" sheetId="7" r:id="rId11"/>
    <sheet state="hidden" name="Data preparation (Week analysis" sheetId="8" r:id="rId12"/>
    <sheet state="hidden" name="Data preparation (Last 15 days)" sheetId="9" r:id="rId13"/>
    <sheet state="hidden" name="Data preparation (Over sold ite" sheetId="10" r:id="rId14"/>
  </sheets>
  <definedNames>
    <definedName name="totalItemsInStock">Dashboard!$H$4</definedName>
  </definedNames>
  <calcPr/>
</workbook>
</file>

<file path=xl/sharedStrings.xml><?xml version="1.0" encoding="utf-8"?>
<sst xmlns="http://schemas.openxmlformats.org/spreadsheetml/2006/main" count="10026" uniqueCount="1951">
  <si>
    <t>Check-out date</t>
  </si>
  <si>
    <t>Stock keeping unit (SKU)</t>
  </si>
  <si>
    <t>Quantity</t>
  </si>
  <si>
    <t>KIBA</t>
  </si>
  <si>
    <t>Barware</t>
  </si>
  <si>
    <t>unit</t>
  </si>
  <si>
    <t/>
  </si>
  <si>
    <t>Date</t>
  </si>
  <si>
    <t>Item name</t>
  </si>
  <si>
    <t>Unit of measure</t>
  </si>
  <si>
    <t>BAAF</t>
  </si>
  <si>
    <t>Air Freshener</t>
  </si>
  <si>
    <t>ELAC</t>
  </si>
  <si>
    <t>Alarm Clocks</t>
  </si>
  <si>
    <t>BAAS</t>
  </si>
  <si>
    <t>Alcohol Swabs/Lens Wipes</t>
  </si>
  <si>
    <t>KIAF</t>
  </si>
  <si>
    <t>Aluminum Foil</t>
  </si>
  <si>
    <t>BAAN</t>
  </si>
  <si>
    <t>Antiseptic</t>
  </si>
  <si>
    <t>BABP</t>
  </si>
  <si>
    <t>Baby Powder</t>
  </si>
  <si>
    <t>KIBP</t>
  </si>
  <si>
    <t>Baking Pans</t>
  </si>
  <si>
    <t>BABA</t>
  </si>
  <si>
    <t>Band-Aids</t>
  </si>
  <si>
    <t>LABA</t>
  </si>
  <si>
    <t>Baskets</t>
  </si>
  <si>
    <t>ARBE</t>
  </si>
  <si>
    <t>Beads</t>
  </si>
  <si>
    <t>FUBR</t>
  </si>
  <si>
    <t>Bed Risers</t>
  </si>
  <si>
    <t>OFBC</t>
  </si>
  <si>
    <t>Binder Clips</t>
  </si>
  <si>
    <t>OFBI</t>
  </si>
  <si>
    <t>Binders</t>
  </si>
  <si>
    <t>STBI</t>
  </si>
  <si>
    <t>Bins</t>
  </si>
  <si>
    <t>APBL</t>
  </si>
  <si>
    <t>Blenders</t>
  </si>
  <si>
    <t>ENBG</t>
  </si>
  <si>
    <t>Board Games</t>
  </si>
  <si>
    <t>BABW</t>
  </si>
  <si>
    <t>Body Wash</t>
  </si>
  <si>
    <t>ENBO</t>
  </si>
  <si>
    <t>Books</t>
  </si>
  <si>
    <t>KIBO</t>
  </si>
  <si>
    <t>Bottles</t>
  </si>
  <si>
    <t>KIJA</t>
  </si>
  <si>
    <t>Bottles/Jars/Misc</t>
  </si>
  <si>
    <t>KIBW</t>
  </si>
  <si>
    <t>Bowls</t>
  </si>
  <si>
    <t>CPBR</t>
  </si>
  <si>
    <t>Brushes</t>
  </si>
  <si>
    <t>BABS</t>
  </si>
  <si>
    <t>Bug Spray</t>
  </si>
  <si>
    <t>OFCA</t>
  </si>
  <si>
    <t>Calculators</t>
  </si>
  <si>
    <t>KICA</t>
  </si>
  <si>
    <t>Can Openers</t>
  </si>
  <si>
    <t>ARCA</t>
  </si>
  <si>
    <t>Canvas</t>
  </si>
  <si>
    <t>ENCD</t>
  </si>
  <si>
    <t>CDs</t>
  </si>
  <si>
    <t>FUCH</t>
  </si>
  <si>
    <t>Chairs</t>
  </si>
  <si>
    <t>ARCK</t>
  </si>
  <si>
    <t>Chalk</t>
  </si>
  <si>
    <t>ELCC</t>
  </si>
  <si>
    <t>Chargers/Cords</t>
  </si>
  <si>
    <t>KICH</t>
  </si>
  <si>
    <t>Chopsticks</t>
  </si>
  <si>
    <t>KICS</t>
  </si>
  <si>
    <t>Coasters</t>
  </si>
  <si>
    <t>KICF</t>
  </si>
  <si>
    <t>Coffee</t>
  </si>
  <si>
    <t>APCM</t>
  </si>
  <si>
    <t>Coffee Machines</t>
  </si>
  <si>
    <t>KICO</t>
  </si>
  <si>
    <t>Colanders</t>
  </si>
  <si>
    <t>ARCP</t>
  </si>
  <si>
    <t>Colored Pencils</t>
  </si>
  <si>
    <t>HICS</t>
  </si>
  <si>
    <t>Command Strips</t>
  </si>
  <si>
    <t>BACO</t>
  </si>
  <si>
    <t>Conditioner</t>
  </si>
  <si>
    <t>OFCB</t>
  </si>
  <si>
    <t>Cork Boards</t>
  </si>
  <si>
    <t>KICB</t>
  </si>
  <si>
    <t>Corkscrews &amp; Bottle Openers</t>
  </si>
  <si>
    <t>CJCO</t>
  </si>
  <si>
    <t>Costumes</t>
  </si>
  <si>
    <t>BACB</t>
  </si>
  <si>
    <t>Cotton Balls</t>
  </si>
  <si>
    <t>BACR</t>
  </si>
  <si>
    <t>Cotton Rounds</t>
  </si>
  <si>
    <t>BACS</t>
  </si>
  <si>
    <t>Cotton Swabs</t>
  </si>
  <si>
    <t>BACD</t>
  </si>
  <si>
    <t>Cough Drops</t>
  </si>
  <si>
    <t>ARCH</t>
  </si>
  <si>
    <t>Craft Hardware</t>
  </si>
  <si>
    <t>ARCR</t>
  </si>
  <si>
    <t>Crayons</t>
  </si>
  <si>
    <t>KICU</t>
  </si>
  <si>
    <t>Cups</t>
  </si>
  <si>
    <t>BACU</t>
  </si>
  <si>
    <t>Curlers</t>
  </si>
  <si>
    <t>KICT</t>
  </si>
  <si>
    <t>Cutting Boards</t>
  </si>
  <si>
    <t>BADE</t>
  </si>
  <si>
    <t>Deodorant</t>
  </si>
  <si>
    <t>APFD</t>
  </si>
  <si>
    <t>Desk fan</t>
  </si>
  <si>
    <t>LIDL</t>
  </si>
  <si>
    <t>Desk Lamp</t>
  </si>
  <si>
    <t>STDS</t>
  </si>
  <si>
    <t>Desktop Storage</t>
  </si>
  <si>
    <t>LADE</t>
  </si>
  <si>
    <t>Detergent</t>
  </si>
  <si>
    <t>KIDD</t>
  </si>
  <si>
    <t>Dish Drain</t>
  </si>
  <si>
    <t>CPDS</t>
  </si>
  <si>
    <t>Dish Soap</t>
  </si>
  <si>
    <t>CPDI</t>
  </si>
  <si>
    <t>Disinfectant</t>
  </si>
  <si>
    <t>CPDO</t>
  </si>
  <si>
    <t>Drain Opener</t>
  </si>
  <si>
    <t>STDU</t>
  </si>
  <si>
    <t>Drawer Units</t>
  </si>
  <si>
    <t>CJDS</t>
  </si>
  <si>
    <t>Dress Shirt Collar Stays</t>
  </si>
  <si>
    <t>LADS</t>
  </si>
  <si>
    <t>Dryer Sheets</t>
  </si>
  <si>
    <t>LADR</t>
  </si>
  <si>
    <t>Drying Rack</t>
  </si>
  <si>
    <t>CPDU</t>
  </si>
  <si>
    <t>Dusters</t>
  </si>
  <si>
    <t>ENDV</t>
  </si>
  <si>
    <t>DVDs</t>
  </si>
  <si>
    <t>APEK</t>
  </si>
  <si>
    <t>Electric Kettles</t>
  </si>
  <si>
    <t>OFER</t>
  </si>
  <si>
    <t>Erasers</t>
  </si>
  <si>
    <t>SPEX</t>
  </si>
  <si>
    <t>Exercise</t>
  </si>
  <si>
    <t>OFEM</t>
  </si>
  <si>
    <t>Expo Markers</t>
  </si>
  <si>
    <t>ELEC</t>
  </si>
  <si>
    <t>Extension Cords</t>
  </si>
  <si>
    <t>ARFA</t>
  </si>
  <si>
    <t>Fabric</t>
  </si>
  <si>
    <t>BAFM</t>
  </si>
  <si>
    <t>Face Masks</t>
  </si>
  <si>
    <t>BATL</t>
  </si>
  <si>
    <t>Face Tools</t>
  </si>
  <si>
    <t>BAFW</t>
  </si>
  <si>
    <t>Face Wash</t>
  </si>
  <si>
    <t>LIFA</t>
  </si>
  <si>
    <t>Fairy Lights</t>
  </si>
  <si>
    <t>APFB</t>
  </si>
  <si>
    <t>Fans - Box</t>
  </si>
  <si>
    <t>Fans - Desk</t>
  </si>
  <si>
    <t>APFF</t>
  </si>
  <si>
    <t>Fans - Floor</t>
  </si>
  <si>
    <t>KIFI</t>
  </si>
  <si>
    <t>Filters</t>
  </si>
  <si>
    <t>LIFL</t>
  </si>
  <si>
    <t>Floor Lamp</t>
  </si>
  <si>
    <t>BAFL</t>
  </si>
  <si>
    <t>Floss</t>
  </si>
  <si>
    <t>OFFO</t>
  </si>
  <si>
    <t>Folders</t>
  </si>
  <si>
    <t>APFP</t>
  </si>
  <si>
    <t>Food Processors</t>
  </si>
  <si>
    <t>KIFO</t>
  </si>
  <si>
    <t>Forks</t>
  </si>
  <si>
    <t>APFR</t>
  </si>
  <si>
    <t>Fridge</t>
  </si>
  <si>
    <t>ARGP</t>
  </si>
  <si>
    <t>Gel Pens</t>
  </si>
  <si>
    <t>KIGL</t>
  </si>
  <si>
    <t>Glasses</t>
  </si>
  <si>
    <t>ARGL</t>
  </si>
  <si>
    <t>Glitter</t>
  </si>
  <si>
    <t>CPGL</t>
  </si>
  <si>
    <t>Gloves</t>
  </si>
  <si>
    <t>OFGL</t>
  </si>
  <si>
    <t>Glue</t>
  </si>
  <si>
    <t>KIGR</t>
  </si>
  <si>
    <t>Graters</t>
  </si>
  <si>
    <t>BAHA</t>
  </si>
  <si>
    <t>Hair Accessories</t>
  </si>
  <si>
    <t>BAHD</t>
  </si>
  <si>
    <t>Hair Dryers</t>
  </si>
  <si>
    <t>BAHG</t>
  </si>
  <si>
    <t>Hair Gel</t>
  </si>
  <si>
    <t>BAHS</t>
  </si>
  <si>
    <t>Hair Spray</t>
  </si>
  <si>
    <t>LAHA</t>
  </si>
  <si>
    <t>Hampers</t>
  </si>
  <si>
    <t>BAHZ</t>
  </si>
  <si>
    <t>Hand Sanitizer</t>
  </si>
  <si>
    <t>CPHS</t>
  </si>
  <si>
    <t>Hand Soap</t>
  </si>
  <si>
    <t>STHA</t>
  </si>
  <si>
    <t>Hangers</t>
  </si>
  <si>
    <t>OFHI</t>
  </si>
  <si>
    <t>Highlighters</t>
  </si>
  <si>
    <t>MIHO</t>
  </si>
  <si>
    <t>Holiday</t>
  </si>
  <si>
    <t>LIHL</t>
  </si>
  <si>
    <t>Holiday Lights</t>
  </si>
  <si>
    <t>STHO</t>
  </si>
  <si>
    <t>Hooks</t>
  </si>
  <si>
    <t>APHU</t>
  </si>
  <si>
    <t>Humidifiers</t>
  </si>
  <si>
    <t>KIIC</t>
  </si>
  <si>
    <t>Ice Cube Trays</t>
  </si>
  <si>
    <t>BAIP</t>
  </si>
  <si>
    <t>Ice Packs</t>
  </si>
  <si>
    <t>OFIC</t>
  </si>
  <si>
    <t>Index Cards</t>
  </si>
  <si>
    <t>LAIB</t>
  </si>
  <si>
    <t>Ironing Board</t>
  </si>
  <si>
    <t>APIR</t>
  </si>
  <si>
    <t>Irons</t>
  </si>
  <si>
    <t>CJJC</t>
  </si>
  <si>
    <t>Jewelry Cleaning</t>
  </si>
  <si>
    <t>KIKK</t>
  </si>
  <si>
    <t>Knives (Kitchen)</t>
  </si>
  <si>
    <t>KIKS</t>
  </si>
  <si>
    <t>Knives (Silverware)</t>
  </si>
  <si>
    <t>LILI</t>
  </si>
  <si>
    <t>Lightbulbs</t>
  </si>
  <si>
    <t>BALI</t>
  </si>
  <si>
    <t>Liners</t>
  </si>
  <si>
    <t>LALR</t>
  </si>
  <si>
    <t>Lint Roller</t>
  </si>
  <si>
    <t>BALO</t>
  </si>
  <si>
    <t>Lotion</t>
  </si>
  <si>
    <t>BAMA</t>
  </si>
  <si>
    <t>Makeup</t>
  </si>
  <si>
    <t>ARMA</t>
  </si>
  <si>
    <t>Markers</t>
  </si>
  <si>
    <t>KIME</t>
  </si>
  <si>
    <t>Measuring</t>
  </si>
  <si>
    <t>APMI</t>
  </si>
  <si>
    <t>Microwaves</t>
  </si>
  <si>
    <t>DEMI</t>
  </si>
  <si>
    <t>Mirrors</t>
  </si>
  <si>
    <t>KIMB</t>
  </si>
  <si>
    <t>Mixing Bowls</t>
  </si>
  <si>
    <t>BAMW</t>
  </si>
  <si>
    <t>Mouth Wash</t>
  </si>
  <si>
    <t>KIMU</t>
  </si>
  <si>
    <t>Mugs</t>
  </si>
  <si>
    <t>BANF</t>
  </si>
  <si>
    <t>Nail File</t>
  </si>
  <si>
    <t>BANK</t>
  </si>
  <si>
    <t>Nail Kit</t>
  </si>
  <si>
    <t>BANP</t>
  </si>
  <si>
    <t>Nail Polish</t>
  </si>
  <si>
    <t>MINA</t>
  </si>
  <si>
    <t>Napkins</t>
  </si>
  <si>
    <t>OFNO</t>
  </si>
  <si>
    <t>Notebooks</t>
  </si>
  <si>
    <t>BAOC</t>
  </si>
  <si>
    <t>Oral Care</t>
  </si>
  <si>
    <t>BAPA</t>
  </si>
  <si>
    <t>Pads</t>
  </si>
  <si>
    <t>ARPA</t>
  </si>
  <si>
    <t>Paint</t>
  </si>
  <si>
    <t>ARPB</t>
  </si>
  <si>
    <t>Paint Brushes</t>
  </si>
  <si>
    <t>ARPS</t>
  </si>
  <si>
    <t>Painting Supplies</t>
  </si>
  <si>
    <t>KIPA</t>
  </si>
  <si>
    <t>Pans</t>
  </si>
  <si>
    <t>ARPP</t>
  </si>
  <si>
    <t>Paper</t>
  </si>
  <si>
    <t>OFPA</t>
  </si>
  <si>
    <t>OFPC</t>
  </si>
  <si>
    <t>Paper Clips</t>
  </si>
  <si>
    <t>BAPC</t>
  </si>
  <si>
    <t>Paper Cups</t>
  </si>
  <si>
    <t>BAPT</t>
  </si>
  <si>
    <t>Paper Towels</t>
  </si>
  <si>
    <t>ENPG</t>
  </si>
  <si>
    <t>Party Games</t>
  </si>
  <si>
    <t>Pastels</t>
  </si>
  <si>
    <t>KIPE</t>
  </si>
  <si>
    <t>Peelers</t>
  </si>
  <si>
    <t>OFPE</t>
  </si>
  <si>
    <t>Pencils</t>
  </si>
  <si>
    <t>OFPN</t>
  </si>
  <si>
    <t>Pens</t>
  </si>
  <si>
    <t>BAPE</t>
  </si>
  <si>
    <t>Perfume</t>
  </si>
  <si>
    <t>DEPF</t>
  </si>
  <si>
    <t>Picture Frames</t>
  </si>
  <si>
    <t>BAPO</t>
  </si>
  <si>
    <t>Pill Organization</t>
  </si>
  <si>
    <t>CJPI</t>
  </si>
  <si>
    <t>Pins</t>
  </si>
  <si>
    <t>KIPI</t>
  </si>
  <si>
    <t>Pint</t>
  </si>
  <si>
    <t>KIPT</t>
  </si>
  <si>
    <t>Pitchers</t>
  </si>
  <si>
    <t>DEPL</t>
  </si>
  <si>
    <t>Planters</t>
  </si>
  <si>
    <t>KIPW</t>
  </si>
  <si>
    <t>Plastic Wrap</t>
  </si>
  <si>
    <t>KIPL</t>
  </si>
  <si>
    <t>Plates</t>
  </si>
  <si>
    <t>ARPO</t>
  </si>
  <si>
    <t>Pom-poms &amp; Pipe Cleaners</t>
  </si>
  <si>
    <t>KIPO</t>
  </si>
  <si>
    <t>Pots</t>
  </si>
  <si>
    <t>ELPS</t>
  </si>
  <si>
    <t>Power Strips</t>
  </si>
  <si>
    <t>APPC</t>
  </si>
  <si>
    <t>Pressure Cookers</t>
  </si>
  <si>
    <t>OFPP</t>
  </si>
  <si>
    <t>Push Pins</t>
  </si>
  <si>
    <t>KIPY</t>
  </si>
  <si>
    <t>Pyrex</t>
  </si>
  <si>
    <t>BARB</t>
  </si>
  <si>
    <t>Razor Blades</t>
  </si>
  <si>
    <t>BARA</t>
  </si>
  <si>
    <t>Razors</t>
  </si>
  <si>
    <t>ENRE</t>
  </si>
  <si>
    <t>Records</t>
  </si>
  <si>
    <t>ARRI</t>
  </si>
  <si>
    <t>Ribbon</t>
  </si>
  <si>
    <t>OFRB</t>
  </si>
  <si>
    <t>Rubber Bands</t>
  </si>
  <si>
    <t>OFRU</t>
  </si>
  <si>
    <t>Rulers</t>
  </si>
  <si>
    <t>BASC</t>
  </si>
  <si>
    <t>Scales</t>
  </si>
  <si>
    <t>OFSC</t>
  </si>
  <si>
    <t>Scissors</t>
  </si>
  <si>
    <t>CPSB</t>
  </si>
  <si>
    <t>Scrub Brushes</t>
  </si>
  <si>
    <t>ARSS</t>
  </si>
  <si>
    <t>Sewing Supplies</t>
  </si>
  <si>
    <t>BASH</t>
  </si>
  <si>
    <t>Shampoo</t>
  </si>
  <si>
    <t>OFSH</t>
  </si>
  <si>
    <t>Sharpies</t>
  </si>
  <si>
    <t>Shaving Cream</t>
  </si>
  <si>
    <t>FUSH</t>
  </si>
  <si>
    <t>Shelves</t>
  </si>
  <si>
    <t>BASV</t>
  </si>
  <si>
    <t>Shelving</t>
  </si>
  <si>
    <t>CJSH</t>
  </si>
  <si>
    <t>Shoe Horn</t>
  </si>
  <si>
    <t>CJSI</t>
  </si>
  <si>
    <t>Shoe Inserts</t>
  </si>
  <si>
    <t>FUSR</t>
  </si>
  <si>
    <t>Shoe Racks</t>
  </si>
  <si>
    <t>KISH</t>
  </si>
  <si>
    <t>Shot</t>
  </si>
  <si>
    <t>BASD</t>
  </si>
  <si>
    <t>Shower Caddy</t>
  </si>
  <si>
    <t>ARSP</t>
  </si>
  <si>
    <t>Sketch Pads</t>
  </si>
  <si>
    <t>APSC</t>
  </si>
  <si>
    <t>Slow Cookers</t>
  </si>
  <si>
    <t>BASO</t>
  </si>
  <si>
    <t>Soap</t>
  </si>
  <si>
    <t>BASP</t>
  </si>
  <si>
    <t>Soap Pump</t>
  </si>
  <si>
    <t>KISP</t>
  </si>
  <si>
    <t>Spatulas</t>
  </si>
  <si>
    <t>CPSP</t>
  </si>
  <si>
    <t>Sponges</t>
  </si>
  <si>
    <t>BASS</t>
  </si>
  <si>
    <t>Sponges/Scrubbing</t>
  </si>
  <si>
    <t>KISS</t>
  </si>
  <si>
    <t>Spoons (Serving)</t>
  </si>
  <si>
    <t>KISI</t>
  </si>
  <si>
    <t>Spoons (Silverware)</t>
  </si>
  <si>
    <t>Spray Bottles</t>
  </si>
  <si>
    <t>LASR</t>
  </si>
  <si>
    <t>Stain Remover</t>
  </si>
  <si>
    <t>OFST</t>
  </si>
  <si>
    <t>Stapler</t>
  </si>
  <si>
    <t>LASG</t>
  </si>
  <si>
    <t>Static Guard</t>
  </si>
  <si>
    <t>ARST</t>
  </si>
  <si>
    <t>Stationery</t>
  </si>
  <si>
    <t>APST</t>
  </si>
  <si>
    <t>Steamers</t>
  </si>
  <si>
    <t>ARSK</t>
  </si>
  <si>
    <t>Stickers</t>
  </si>
  <si>
    <t>OFSN</t>
  </si>
  <si>
    <t>Sticky Notes</t>
  </si>
  <si>
    <t>STSC</t>
  </si>
  <si>
    <t>Storage Containers (Tupperwares)</t>
  </si>
  <si>
    <t>BAST</t>
  </si>
  <si>
    <t>Straighteners</t>
  </si>
  <si>
    <t>KIST</t>
  </si>
  <si>
    <t>Strainers</t>
  </si>
  <si>
    <t>CJSG</t>
  </si>
  <si>
    <t>Sunglasses</t>
  </si>
  <si>
    <t>BASU</t>
  </si>
  <si>
    <t>Sunscreen</t>
  </si>
  <si>
    <t>CPSW</t>
  </si>
  <si>
    <t>Swiffers</t>
  </si>
  <si>
    <t>FUTA</t>
  </si>
  <si>
    <t>Table</t>
  </si>
  <si>
    <t>BATA</t>
  </si>
  <si>
    <t>Tampons</t>
  </si>
  <si>
    <t>OFTA</t>
  </si>
  <si>
    <t>Tape</t>
  </si>
  <si>
    <t>DETC</t>
  </si>
  <si>
    <t>Tchotchkes</t>
  </si>
  <si>
    <t>KITE</t>
  </si>
  <si>
    <t>Tea</t>
  </si>
  <si>
    <t>BATH</t>
  </si>
  <si>
    <t>Thermometer</t>
  </si>
  <si>
    <t>BATI</t>
  </si>
  <si>
    <t>Tissues</t>
  </si>
  <si>
    <t>APTO</t>
  </si>
  <si>
    <t>Toasters</t>
  </si>
  <si>
    <t>CPTC</t>
  </si>
  <si>
    <t>Toilet Cleaner</t>
  </si>
  <si>
    <t>BATP</t>
  </si>
  <si>
    <t>Toilet Paper</t>
  </si>
  <si>
    <t>KITO</t>
  </si>
  <si>
    <t>Tongs</t>
  </si>
  <si>
    <t>HITO</t>
  </si>
  <si>
    <t>Tools</t>
  </si>
  <si>
    <t>BATD</t>
  </si>
  <si>
    <t>Tooth Brush Holder</t>
  </si>
  <si>
    <t>BATB</t>
  </si>
  <si>
    <t>Tooth Brushes</t>
  </si>
  <si>
    <t>BATO</t>
  </si>
  <si>
    <t>Tooth Paste</t>
  </si>
  <si>
    <t>STTO</t>
  </si>
  <si>
    <t>Totes</t>
  </si>
  <si>
    <t>STTB</t>
  </si>
  <si>
    <t>Trash Bags</t>
  </si>
  <si>
    <t>STTC</t>
  </si>
  <si>
    <t>Trash Cans</t>
  </si>
  <si>
    <t>BATR</t>
  </si>
  <si>
    <t>Travel Accessories</t>
  </si>
  <si>
    <t>STTU</t>
  </si>
  <si>
    <t>Tubs</t>
  </si>
  <si>
    <t>ELTV</t>
  </si>
  <si>
    <t>TV/Monitor</t>
  </si>
  <si>
    <t>MIUM</t>
  </si>
  <si>
    <t>Umbrellas</t>
  </si>
  <si>
    <t>STUO</t>
  </si>
  <si>
    <t>Utensil Organizers</t>
  </si>
  <si>
    <t>KIUT</t>
  </si>
  <si>
    <t>Utensils</t>
  </si>
  <si>
    <t>DEVA</t>
  </si>
  <si>
    <t>Vases</t>
  </si>
  <si>
    <t>BAVS</t>
  </si>
  <si>
    <t>Vitamins and Support</t>
  </si>
  <si>
    <t>APWM</t>
  </si>
  <si>
    <t>Waffle Makers</t>
  </si>
  <si>
    <t>DEWA</t>
  </si>
  <si>
    <t>Wall Art</t>
  </si>
  <si>
    <t>KIWP</t>
  </si>
  <si>
    <t>Wax Paper</t>
  </si>
  <si>
    <t>BAWA</t>
  </si>
  <si>
    <t>Waxing</t>
  </si>
  <si>
    <t>KIWH</t>
  </si>
  <si>
    <t>Whisky</t>
  </si>
  <si>
    <t>White Bin</t>
  </si>
  <si>
    <t>OFWB</t>
  </si>
  <si>
    <t>White Board</t>
  </si>
  <si>
    <t>OFWO</t>
  </si>
  <si>
    <t>White Out</t>
  </si>
  <si>
    <t>KIWI</t>
  </si>
  <si>
    <t>Wine</t>
  </si>
  <si>
    <t>BAWI</t>
  </si>
  <si>
    <t>Wipes</t>
  </si>
  <si>
    <t>KIWS</t>
  </si>
  <si>
    <t>Wisks</t>
  </si>
  <si>
    <t>ARYA</t>
  </si>
  <si>
    <t>Yarn</t>
  </si>
  <si>
    <t>SPYO</t>
  </si>
  <si>
    <t>Yoga</t>
  </si>
  <si>
    <t>KIZI</t>
  </si>
  <si>
    <t>Ziplocs</t>
  </si>
  <si>
    <t>TOTAL ITEMS IN STOCK</t>
  </si>
  <si>
    <t>SOLD OUT ITEMS</t>
  </si>
  <si>
    <t>Inventory management</t>
  </si>
  <si>
    <t>TOP ITEMS</t>
  </si>
  <si>
    <t>by</t>
  </si>
  <si>
    <t>IN</t>
  </si>
  <si>
    <t>OUT</t>
  </si>
  <si>
    <t>Owner's Name</t>
  </si>
  <si>
    <t>Email</t>
  </si>
  <si>
    <t>Housing Assignment</t>
  </si>
  <si>
    <t>Graduation Year</t>
  </si>
  <si>
    <t>Items</t>
  </si>
  <si>
    <t># of Items Checked Out</t>
  </si>
  <si>
    <t>Notes</t>
  </si>
  <si>
    <t>Isabelle Szeto</t>
  </si>
  <si>
    <t>iszeto@haverford.edu</t>
  </si>
  <si>
    <t>HCA</t>
  </si>
  <si>
    <t>Trash can, extension cord, yoga mat, chargers, soap, bottle of cleaner</t>
  </si>
  <si>
    <t>Yuko Zhuo</t>
  </si>
  <si>
    <t>yzhuo1@haverford.edu</t>
  </si>
  <si>
    <t>Stool, yoga mat, mirror, swiffer, trash can, games (2), mirror hangers (2)</t>
  </si>
  <si>
    <t>Fabian Castro</t>
  </si>
  <si>
    <t>fcastro@haverford.edu</t>
  </si>
  <si>
    <t>Toaster, container, Pans (2), skillets (2), lid, measuring cup, dishrack, cleaner (2), spatula(2), wooden spoon, knife, baking pan</t>
  </si>
  <si>
    <t>Santos Diaz</t>
  </si>
  <si>
    <t>sdiaz@haverford.edu</t>
  </si>
  <si>
    <t>Toaster, broom, vase, trash can, lamp, baking tray, plates (7), pot with lid, mug (3), strainer, cups (3), trash bags, container, brita, febreeze, water bottle, spatula, spoon (6), forks (4), butterknives (2), sponges (3), plant, knife, art, games (2), umbrellas (2), condoms (6), books (6), string lights</t>
  </si>
  <si>
    <t>Anna Martinez</t>
  </si>
  <si>
    <t xml:space="preserve">amartinez2@haverford.edu </t>
  </si>
  <si>
    <t>Pans (2), Plate, Ice cube tray, Brush, dry erase (3), sharpies(3), Pads (3), cleaner, Mop cleaner, Spoons (3), forks (2), tongs, Knives (2), trash can, measuring cup, post-its, swiffer wet cloth, mirror</t>
  </si>
  <si>
    <t>Majdouline Benlahcen</t>
  </si>
  <si>
    <t>mbenlahcen@haverford.edu</t>
  </si>
  <si>
    <t>Game(2), scale, Shoe rack, HCI acid maker, File folder, mirror, trash can, shower organizer, lamp (2), fake plant, french press, planters (2), magnet, baking soda, storage containers (3), hardware kit, calculator, storage bin (2) carpet cleaner, toilet cleaner, power strips (2), soap, laundry basket</t>
  </si>
  <si>
    <t>Fatoumata Barry</t>
  </si>
  <si>
    <t>fbarry@haverford.edu</t>
  </si>
  <si>
    <t xml:space="preserve">Mirror, trash can, pan, tennis ball, forks (2), sponge, spoon, spatula, knives (2) trash bags, bathroom cleaner </t>
  </si>
  <si>
    <t>Max Negbaur</t>
  </si>
  <si>
    <t>mnegbaur@haverford.edu</t>
  </si>
  <si>
    <t>Tupperware (4), butterknives(2), paper, mirror, markers (3)</t>
  </si>
  <si>
    <t>Fatoumata Sow</t>
  </si>
  <si>
    <t>fsow@haverford.edu</t>
  </si>
  <si>
    <t>paper towel, sanitizer (2), wipes, air purifier, bleach, swiffer dust pads, cleaner, soap, mist, command hook</t>
  </si>
  <si>
    <t>David Punyataweekul</t>
  </si>
  <si>
    <t>dpunyatawe@haverford.edu</t>
  </si>
  <si>
    <t>Power Strip, Chalk, Robot Car Kit and Accessory</t>
  </si>
  <si>
    <t>Eustace Ubah</t>
  </si>
  <si>
    <t>eubah@haverford.edu</t>
  </si>
  <si>
    <t>Power Strip</t>
  </si>
  <si>
    <t>Lamp, Pan</t>
  </si>
  <si>
    <t>Alia Abulgazieva</t>
  </si>
  <si>
    <t>aabdulgazie@haverford.edu</t>
  </si>
  <si>
    <t xml:space="preserve">Cleaner </t>
  </si>
  <si>
    <t>Masa Hasegawa</t>
  </si>
  <si>
    <t>mhasegawa@haverford.edu</t>
  </si>
  <si>
    <t>Toilet paper (3), Colored pencils, Dish Soap, Hand Soap, Trash Can</t>
  </si>
  <si>
    <t>Alina Hasnani</t>
  </si>
  <si>
    <t>ahasnani@haverford.edu</t>
  </si>
  <si>
    <t>Swiffer Dust Clothes, Swiffer Wet Clothes, Water Bottle, mirror, Cheese Grater, Knife, Pot, Shower hanger</t>
  </si>
  <si>
    <t>Liya Zheng</t>
  </si>
  <si>
    <t>lzheng1@haverford.edu</t>
  </si>
  <si>
    <t xml:space="preserve">Trash can, fan, mirror </t>
  </si>
  <si>
    <t>Ashe Tanemura</t>
  </si>
  <si>
    <t>atanemura@haverford.edu</t>
  </si>
  <si>
    <t xml:space="preserve">light bulb, lamp, fan </t>
  </si>
  <si>
    <t>Star Mirtzman</t>
  </si>
  <si>
    <t>smirtzman@haverford.edu</t>
  </si>
  <si>
    <t>Lamp, light bulb</t>
  </si>
  <si>
    <t xml:space="preserve">Sol Dente </t>
  </si>
  <si>
    <t>sdente@haverford.edu</t>
  </si>
  <si>
    <t>Drawer divider, lightbulb, hand mixer, Organizers, spoons, Strainer, Container, measuring spoons, measuring cups (2)</t>
  </si>
  <si>
    <t>Bryson Garland</t>
  </si>
  <si>
    <t>bgarland@haverford.edu</t>
  </si>
  <si>
    <t xml:space="preserve">Lamp, Water Bottle, Drawer Liner, shower rod </t>
  </si>
  <si>
    <t xml:space="preserve">Olivia Davis </t>
  </si>
  <si>
    <t>omdavis@haverford.edu</t>
  </si>
  <si>
    <t>Fan, storage bin</t>
  </si>
  <si>
    <t>Joelle Phuah</t>
  </si>
  <si>
    <t>jphuah@haverford.edu</t>
  </si>
  <si>
    <t>trash cans (3), mug, knives (3), measuring spoon set, wooden spoon, spoon rest, cleaner, (2) hand soap(2), Storage (4)</t>
  </si>
  <si>
    <t>Esther Simkhayeva</t>
  </si>
  <si>
    <t>esimkhayeva@haverford.edu</t>
  </si>
  <si>
    <t>Trash cans (2), disinfectant wipes</t>
  </si>
  <si>
    <t>Arno Harden</t>
  </si>
  <si>
    <t>aharden@haverford.edu</t>
  </si>
  <si>
    <t>Fan, Electric Kettle, body wash</t>
  </si>
  <si>
    <t>Carter Rostron</t>
  </si>
  <si>
    <t>crostron@haverford.edu</t>
  </si>
  <si>
    <t>Fan, Extension cords(2), bag  (NOT PICTURED)</t>
  </si>
  <si>
    <t>Jory Lee</t>
  </si>
  <si>
    <t>jelee@haverford.edu</t>
  </si>
  <si>
    <t>lamp, tape, plates (3), mirror, toaster, brita, trash can, cork board, post its (2), divider knife, spoons (5) forks (5), knives (3), yoga mat</t>
  </si>
  <si>
    <t>Carter Weese</t>
  </si>
  <si>
    <t>cweese@haverford.edu</t>
  </si>
  <si>
    <t>Bug Traps, mini waffle maker, adapter, swiffer, Swiffer Duster Dry Pads</t>
  </si>
  <si>
    <t>Taran Roth</t>
  </si>
  <si>
    <t>troth@haverford.edu</t>
  </si>
  <si>
    <t xml:space="preserve">game, dart board, spoon, spatula, measuring spoons (4), glass, baseball bat </t>
  </si>
  <si>
    <t>Matt Feinstein</t>
  </si>
  <si>
    <t>mfeinstein@haverford.edu</t>
  </si>
  <si>
    <t xml:space="preserve">mirror, toaster </t>
  </si>
  <si>
    <t>Nadine Tang</t>
  </si>
  <si>
    <t>nktang@haverford.edu</t>
  </si>
  <si>
    <t>Lamp, spoon, lanyard, measuring cups, measuring Spoon, Trash Can</t>
  </si>
  <si>
    <t>Shae Mercer</t>
  </si>
  <si>
    <t>smercer@haverford.edu</t>
  </si>
  <si>
    <t xml:space="preserve">box of disposable utensils, desk lamp, broom, dust pan, caribeaner </t>
  </si>
  <si>
    <t>Audrey Jackway</t>
  </si>
  <si>
    <t>ajackway@haverford.edu</t>
  </si>
  <si>
    <t>Power Strip, Wine Glass</t>
  </si>
  <si>
    <t>Ethan Furman</t>
  </si>
  <si>
    <t>efurman@haverford.edu</t>
  </si>
  <si>
    <t>Reusable Bags (3)</t>
  </si>
  <si>
    <t>Sonia Nicholson</t>
  </si>
  <si>
    <t>ssnicholso@haverford.edu</t>
  </si>
  <si>
    <t xml:space="preserve">Mirror </t>
  </si>
  <si>
    <t>Adam Marcello</t>
  </si>
  <si>
    <t>amarcello@haverford.edu</t>
  </si>
  <si>
    <t>Dish Drain, Hand Soap</t>
  </si>
  <si>
    <t>Eden Raich</t>
  </si>
  <si>
    <t>eraich@brynmawr.edu</t>
  </si>
  <si>
    <t xml:space="preserve">Large trash can, mirror </t>
  </si>
  <si>
    <t xml:space="preserve">Coffee maker, Storage bin, Divider, Sponge, Pens (5), adapter, laundry bag, game, dryer sheets, tide pods </t>
  </si>
  <si>
    <t>Ben Fligelman</t>
  </si>
  <si>
    <t>bfilgelman@haverford.edu</t>
  </si>
  <si>
    <t>Hangers (12), Books (14)</t>
  </si>
  <si>
    <t>Ana Quezada</t>
  </si>
  <si>
    <t>aquezada@haverford.edu</t>
  </si>
  <si>
    <t>Storage bin, shot glass (2), command hook, strip</t>
  </si>
  <si>
    <t>Chris Maffucci-Fitanides</t>
  </si>
  <si>
    <t>cmaffuccif@haverford.edu</t>
  </si>
  <si>
    <t>cutting board, saran wrap, letter board w/ letters, cleaner, push pins, bike pump</t>
  </si>
  <si>
    <t>Aaron Gu</t>
  </si>
  <si>
    <t>agu@haverford.edu</t>
  </si>
  <si>
    <t>Chopstiks (3), Knife, Fork</t>
  </si>
  <si>
    <t>Zoe Liu</t>
  </si>
  <si>
    <t>zliu@haverford.edu</t>
  </si>
  <si>
    <t>mirror, paper cups, wipes, toilet paper (3)</t>
  </si>
  <si>
    <t>Claire Jones</t>
  </si>
  <si>
    <t>cejones@haverford.edu</t>
  </si>
  <si>
    <t>Max Worchell</t>
  </si>
  <si>
    <t>mworchell@haverford.edu</t>
  </si>
  <si>
    <t>String lights</t>
  </si>
  <si>
    <t>Rami Nasr</t>
  </si>
  <si>
    <t>rnasr@haverford.edu</t>
  </si>
  <si>
    <t xml:space="preserve">Mirror, Hdmi cable, power strip, lamp </t>
  </si>
  <si>
    <t>Grant Devies</t>
  </si>
  <si>
    <t>gdevies@haverford.edu</t>
  </si>
  <si>
    <t xml:space="preserve">Bowls (5), soccer cones (7), wooden spoon, spatula </t>
  </si>
  <si>
    <t>Hannah Mattison</t>
  </si>
  <si>
    <t>hmattison@haverford.edu</t>
  </si>
  <si>
    <t>Lamp, Crayons, Colored Pencils, Books (7), Puzzles (2), string Lights, shoe mat</t>
  </si>
  <si>
    <t>Carly Priest</t>
  </si>
  <si>
    <t>cpriest@haverford.edu</t>
  </si>
  <si>
    <t xml:space="preserve">Art (2), Plates (4), game, decor </t>
  </si>
  <si>
    <t>Nafis Raz</t>
  </si>
  <si>
    <t>nraz@haverford.edu</t>
  </si>
  <si>
    <t xml:space="preserve">Coffee machine, place mats (4), mirror, fan </t>
  </si>
  <si>
    <t>Idan Hussain</t>
  </si>
  <si>
    <t>ihussain@haverford.edu</t>
  </si>
  <si>
    <t xml:space="preserve">Paint, Cards (2), Pens (2),  mirror, adapter, fan </t>
  </si>
  <si>
    <t>Kriti Shahu</t>
  </si>
  <si>
    <t>kshahu@haverford.edu</t>
  </si>
  <si>
    <t>Box of Disposable Utensils, Paper plates (10), Knife, Swiffer Wet Clothes</t>
  </si>
  <si>
    <t>Andrea Prokate Castillo</t>
  </si>
  <si>
    <t>aprokateca@haverford.edu</t>
  </si>
  <si>
    <t xml:space="preserve">Kettle, mixing bowl, brita filter, cleaner, trash bags, forks (2), pins </t>
  </si>
  <si>
    <t>Haniyah Bilal</t>
  </si>
  <si>
    <t>hbilal@haverford.edu</t>
  </si>
  <si>
    <t xml:space="preserve">Eraser, Power Strip, Mirror Hangers (x2), Over the door Hook </t>
  </si>
  <si>
    <t xml:space="preserve">Abigail Pauls </t>
  </si>
  <si>
    <t>apauls@haverford.edu</t>
  </si>
  <si>
    <t>Mirror, Skillet, Spoons (2), forks (2), Expo markers (2)</t>
  </si>
  <si>
    <t>Kieran Doyle</t>
  </si>
  <si>
    <t>kadoyle@haverford.edu</t>
  </si>
  <si>
    <t xml:space="preserve">Heating pad, book, nipple cover, antibiotic ointment, suncsreen, hair mousse, hairclip </t>
  </si>
  <si>
    <t>Chyane Sims</t>
  </si>
  <si>
    <t>casims@haverford.edu</t>
  </si>
  <si>
    <t>Pots (2), pans(2), forks (4), spoons (4), knives(4), ziploc bags (6), measuring cup</t>
  </si>
  <si>
    <t>Max Negbauer</t>
  </si>
  <si>
    <t>Pots (2), lamp, storage tote, planter, trinket dish</t>
  </si>
  <si>
    <t xml:space="preserve">Delali Lyons </t>
  </si>
  <si>
    <t>dlyons@haverford.edu</t>
  </si>
  <si>
    <t>Mirror, large trash can</t>
  </si>
  <si>
    <t>Sol Dente</t>
  </si>
  <si>
    <t>Decorative mirrors (2), ice cream scoop, electric candles (3), art, planter, vase, plate</t>
  </si>
  <si>
    <t>Mishelley Low</t>
  </si>
  <si>
    <t>mlow@haveford.edu</t>
  </si>
  <si>
    <t xml:space="preserve">Vaccum cleaner, badminton, dish soap, floss, sponge, computer, shampoo, conditioner, soap, face cleanser, fan </t>
  </si>
  <si>
    <t>Ali Gulamhusein</t>
  </si>
  <si>
    <t>agulamhuse@haverford.edu</t>
  </si>
  <si>
    <t xml:space="preserve">Brita, Swiffer Clothes, Expo Marker, Command hooks (4), Command strips (4), small toy, whiteboard, plates (4), CD player </t>
  </si>
  <si>
    <t>Desmond Ward</t>
  </si>
  <si>
    <t>dsward@haverford.edu</t>
  </si>
  <si>
    <t>Computer Monitor</t>
  </si>
  <si>
    <t xml:space="preserve">Can Somer </t>
  </si>
  <si>
    <t>csomer@haverford.edu</t>
  </si>
  <si>
    <t>Laundry basket, Power Strip, Pot</t>
  </si>
  <si>
    <t xml:space="preserve">Nico Greene </t>
  </si>
  <si>
    <t>ngreene@haverford.edu</t>
  </si>
  <si>
    <t>Lamp, mirror, folder, small container, coaster</t>
  </si>
  <si>
    <t xml:space="preserve">Mohammed Fanous </t>
  </si>
  <si>
    <t>mfanous@haverford.edu</t>
  </si>
  <si>
    <t>TV, hangers (15), Fake Candelabras (2) String lights (3), fake leaves (2), Art (4), Trashcans (2), Bowl, Plates (2)</t>
  </si>
  <si>
    <t>Angie Merriken and Mitch Roberge</t>
  </si>
  <si>
    <t>amerriken@haverford.edu</t>
  </si>
  <si>
    <t>Staff/Faculty Office</t>
  </si>
  <si>
    <t>Staff</t>
  </si>
  <si>
    <t>Toaster, Pencil Sharpener, Wall File Folders (2), Fan, Desk lamp, Clipboard, Binder, Colored Pencils (x2), Highlighters (x2), Expo Markers (x4), Command Hooks (x4), Command Stickers (x10), Tape (x2)</t>
  </si>
  <si>
    <t>Maya Rodenbeck</t>
  </si>
  <si>
    <t>mrodenbeck@haverford.edu</t>
  </si>
  <si>
    <t>North Dorms</t>
  </si>
  <si>
    <t>Hangers (x25), Minifridge (#33), Tape</t>
  </si>
  <si>
    <t>Lazaro Villasana</t>
  </si>
  <si>
    <t>lvillasana@haverford.edu</t>
  </si>
  <si>
    <t>Barclay</t>
  </si>
  <si>
    <t>Minifridge (#228), Lamp, Vacuum, Scale, Power Strip, Yoga Mat, Jenga, Corkboard</t>
  </si>
  <si>
    <t>Felipe Christ</t>
  </si>
  <si>
    <t>fchrist@haverford.edu</t>
  </si>
  <si>
    <t>Minifridge (#203), Fan, Vacuum, Printer, Keyboard, Printer Ink, Trash Bags, Hangers (x15), Lamp, Power Strip, Extension Cord, Flashlight, Air Fryer, Ipad</t>
  </si>
  <si>
    <t>Ivan Paiewonsky</t>
  </si>
  <si>
    <t>ipaiewonsk@haverford.edu</t>
  </si>
  <si>
    <t>Kim/Tritton</t>
  </si>
  <si>
    <t>Shower Caddy, Pens (x3), Water Guns (x2)</t>
  </si>
  <si>
    <t>Jihoo Kim</t>
  </si>
  <si>
    <t>jkim17@haverford.edu</t>
  </si>
  <si>
    <t>Leeds</t>
  </si>
  <si>
    <t>Cleaner, Minifridge (#219)</t>
  </si>
  <si>
    <t>Garrett Miyagawa</t>
  </si>
  <si>
    <t>gmiyagawa@haverford.edu</t>
  </si>
  <si>
    <t>Minifridge (#205), Lamp, Storage Bins (x3), Tennis Balls (x3), Pedals, Shower Caddy, Tape (x2), Bed Risers, Jar, Shoe Mat, Storage</t>
  </si>
  <si>
    <t>Wayne Hsu</t>
  </si>
  <si>
    <t>whsu1@haverford.edu</t>
  </si>
  <si>
    <t>Gummere</t>
  </si>
  <si>
    <t>Shower Caddy, Lamp, Hangers (x3), Fan, Trash Can, Power Strips (x2), Shelf, Minifridge (#157)</t>
  </si>
  <si>
    <t>Ricardo Martinez</t>
  </si>
  <si>
    <t>rmartinez@haverford.edu</t>
  </si>
  <si>
    <t>Extension Cord, Minifridge (#225)</t>
  </si>
  <si>
    <t>Mariia Dmitrieva</t>
  </si>
  <si>
    <t>mdmitrieva@haverford.edu</t>
  </si>
  <si>
    <t>Lamp, Fan, Humidifier, Lights, Desktop Storage, Hangers (x10), Mirror, Cart, Lamp, Minifridge (#221), Storage Boxes (x4), Calculator</t>
  </si>
  <si>
    <t>José Wagner Paixão dos Santos</t>
  </si>
  <si>
    <t>jpaixaodos@haverford.edu</t>
  </si>
  <si>
    <t>Lamp, Desktop Storage, Humidifier, Minifridge (#127), Ice Cube Tray, Storage (x2), Shelf, Fan</t>
  </si>
  <si>
    <t>Marlen Becerril</t>
  </si>
  <si>
    <t>mbecerril@haverford.edu</t>
  </si>
  <si>
    <t>Minifridge (#102), Ice Cube Trays (x2)</t>
  </si>
  <si>
    <t>Rameel Rizwan</t>
  </si>
  <si>
    <t>rrizwan@haverford.edu</t>
  </si>
  <si>
    <t>Rolling Storage, Hangers (10), Power Strip, Trash Can, Charging Port, Minifridge (#211), Standing Lamp</t>
  </si>
  <si>
    <t>Zhazira Iskakova</t>
  </si>
  <si>
    <t>ziskakova@haverford.edu</t>
  </si>
  <si>
    <t>Knife Block, Wipes, Pyrex, Sive, Colindar, Pot, Cutting Board, Toilet Paper, Hangers (x10), Corkscrew, Mirror, Whisk (x2), Untensils (x20), Tongs, Ladle, Spatula (x8)</t>
  </si>
  <si>
    <t>Jose Andres Gavilanes Carranza</t>
  </si>
  <si>
    <t>jgavilanes@haverford.edu</t>
  </si>
  <si>
    <t xml:space="preserve">Fan, Minifridge (#10), Flag, Standing Lamp, Mirror, Tennis Ball, Rolling Storage, Fairy Lights, Hangers (x5), Shower Caddy, First Aid Kit, Coffee Maker, Water Bottle, Shaving Cream, Deodorant </t>
  </si>
  <si>
    <t>Zenas Boanah</t>
  </si>
  <si>
    <t>zbonanah@haverford.edu</t>
  </si>
  <si>
    <t>Minifridge (#76), Trash Can, Hangers (x10)</t>
  </si>
  <si>
    <t>Muhammad Bin Nauman</t>
  </si>
  <si>
    <t>mnauman@haverford.edu</t>
  </si>
  <si>
    <t xml:space="preserve">Fan, Tape, Lamp, Pencil Holder, Vase, Electric Kettle, Power Box, Mirror Hangers (x2), Humidifier, Trash Can, Command Hooks (x11), Phone Card Holder, Hangers (x10), Shelf (x2), Lamp, Minifridge (#111), </t>
  </si>
  <si>
    <t>Salvador Cervantes</t>
  </si>
  <si>
    <t>scervantes@haverford.edu</t>
  </si>
  <si>
    <t>Minifridge (#235), Vacuum, Trash Can, Hangers (x10), Paper Towels, Extension Cord, Pine Sol, Toilet Paper, Carpet Freshner, Lysol Wipes, Air Freshner</t>
  </si>
  <si>
    <t>Miles Flack</t>
  </si>
  <si>
    <t>mflack@haverford.edu</t>
  </si>
  <si>
    <t>Minifridge (#75), Power Strip</t>
  </si>
  <si>
    <t>Yasemin Altmisdort</t>
  </si>
  <si>
    <t>yaltmisdor@haverford.edu</t>
  </si>
  <si>
    <t>Trash Can, Bags, Bed Risers, Ziplocs, Stapler, Fan, Wipes (x2), Dish Towel, Paper Towels, Toilet Paper, Hangers (x15), Mirror, Minifridge (#129)</t>
  </si>
  <si>
    <t>Lavender Zhao</t>
  </si>
  <si>
    <t>lzhao@haverford.edu</t>
  </si>
  <si>
    <t>Trash Can, Toilet Paper (x2), Storage, Desk Lamp, Tape, Hangers (x6), Dish Clothes (x2), Pencil Storgae Cup (x2)</t>
  </si>
  <si>
    <t>Avallina Orfield</t>
  </si>
  <si>
    <t>aorfield@haverford.edu</t>
  </si>
  <si>
    <t>Vacuum, Steamer, Whiteboard, Jar, Ant Traps, Essential Oils (x2), Cotton Swabs, Pencil Sharpener, Expo Marker, Expo Eraser, Lamp, Trash Bag, Tisues, Bed Risers (x6), Cleaner, Disenfectant, Cup, Tennis Ball, Extension Cord, Book, Tape, Desktop Storage, Sleeping Mask, Ball, First Aid Kit, Posters (x3), Envelopes, Folder Organizer, Thermometer, Phone Case, Metal Photo Storage, Rolling Cart</t>
  </si>
  <si>
    <t>Isaac Kemokai</t>
  </si>
  <si>
    <t>ikemokai@haverford.edu</t>
  </si>
  <si>
    <t>Minifridge (#41)</t>
  </si>
  <si>
    <t>Jason Zhou</t>
  </si>
  <si>
    <t>jzhou1@haverford.edu</t>
  </si>
  <si>
    <t>Minifridge (#3), Mirror, Trash Can, Lamp, Fan</t>
  </si>
  <si>
    <t>Nikki Gao</t>
  </si>
  <si>
    <t>ngao@haverford.edu</t>
  </si>
  <si>
    <t>Toilet Paper (x4), Paper Towels, Mirror, Hangers (x8), Minifridge (#54), Stool</t>
  </si>
  <si>
    <t>Isabella Azumatan</t>
  </si>
  <si>
    <t>iazumatana@haverford.edu</t>
  </si>
  <si>
    <t>Railroad</t>
  </si>
  <si>
    <t>Monopoly, Muffin Pan, Dish Soap, Rubix Cube, Tape, Pastal Markers Set, Dish Cloth, Mirror</t>
  </si>
  <si>
    <t>Nikki Davidis</t>
  </si>
  <si>
    <t>ndavidis@haverford.edu</t>
  </si>
  <si>
    <t>Miror, Tap, Paper, Puzzle</t>
  </si>
  <si>
    <t>Jesse Lim</t>
  </si>
  <si>
    <t>jlim2@haverford.edu</t>
  </si>
  <si>
    <t>Lloyd</t>
  </si>
  <si>
    <t>Trash Can, Pack of Trash Cans, Desk Lamp, Desktop Storage, Minifridge (#30), Storage Container, Clip Board</t>
  </si>
  <si>
    <t>Erika Rosales</t>
  </si>
  <si>
    <t>erosales@haverford.edu</t>
  </si>
  <si>
    <t>Lamp, Mirror, Lysol Wipes, Hangers (x10), Paper Towels, Tissue Paper, Minifridge (#224), Vacuum, Fan, Pencil Storae, Stapler, Staples, Pens (x5) Lysol, Bug Spray, Colored Pencils</t>
  </si>
  <si>
    <t xml:space="preserve">Lann Wallace </t>
  </si>
  <si>
    <t>lwallace@haverford.edu</t>
  </si>
  <si>
    <t>Mirror, Broom w/Dust Pan, Lamp, Owl Vase, Plant, Extension Cord, Power Strip, Hangers (x10), Minifridge (#72), Desktop Storage</t>
  </si>
  <si>
    <t>Shervyne Yapcolin</t>
  </si>
  <si>
    <t>syapcolin@haverford.edu</t>
  </si>
  <si>
    <t xml:space="preserve">Minifridge (#128 - Midea Tall), Tennis Ball, Hangers (x3), </t>
  </si>
  <si>
    <t>Yerin Kim</t>
  </si>
  <si>
    <t>ykim@haverford.edu</t>
  </si>
  <si>
    <t>Storage Bins (x2), Envelopes, Dish Soap, Minifridge (#208)</t>
  </si>
  <si>
    <t>Sandy Xu</t>
  </si>
  <si>
    <t>swxu@haverford.edu</t>
  </si>
  <si>
    <t>Minifridge (#12), Trash Can, Fan, Mirror</t>
  </si>
  <si>
    <t>Elana Sewell-Grossman</t>
  </si>
  <si>
    <t>esewellgro@haverford.edu</t>
  </si>
  <si>
    <t>Toaster, Trash Can, Hangers (x10), Dish Rack Paper Towels, Hand Soap, Power Strip, Tissues, Trash Bags</t>
  </si>
  <si>
    <t>Pelagie Dusenge</t>
  </si>
  <si>
    <t>pdusenge@haverford.edu</t>
  </si>
  <si>
    <t>Laundry Basket, Broom, Dust Pan, Pencil Storage, Water Bottle, Lamp, Coffee Thermos, Plate, Bowl, Fan, Mug, Toilet Paper (x3), Spoons (x2), Fork, Knife, Umbrella, Minifridge (#204)</t>
  </si>
  <si>
    <t>Maria Victoria Lima</t>
  </si>
  <si>
    <t>vlima@haverford.edu</t>
  </si>
  <si>
    <t>Mirror, Minifridge (#200), Bed Risers, Lamp, Hangers (x7)</t>
  </si>
  <si>
    <t>Janna Castro</t>
  </si>
  <si>
    <t>jcastro1@haverford.edu</t>
  </si>
  <si>
    <t>Calculator, Water Filter, Tape, Shampoo, Sunscreen, Bug Spray, Deodorant, Curl Cream, Bed Risers, Minifridge (#73)</t>
  </si>
  <si>
    <t>Adrian Rodriguez</t>
  </si>
  <si>
    <t>amrodrigue@haverford.edu</t>
  </si>
  <si>
    <t>Minifridge (#124), Trash Can, Bed Risers, Mouse, Mixer, Vacuum</t>
  </si>
  <si>
    <t xml:space="preserve">Akramjon Abdurakhimov       </t>
  </si>
  <si>
    <t>aabdurakhi@haverford.edu</t>
  </si>
  <si>
    <t>Minifridge (#20), Mirror, Fan, Hangers (x10), Alarm Clock, Speaker, Charger, Lamp, Shower Caddy, Charging Cord, Calculator</t>
  </si>
  <si>
    <t>Teagan English</t>
  </si>
  <si>
    <t>tenglish@haverford.edu</t>
  </si>
  <si>
    <t>Minifridge (#213), Lamp, Extension Cord, Fairy Lights, Hangers (x15)</t>
  </si>
  <si>
    <t>Ada Blanco</t>
  </si>
  <si>
    <t>ablanco@haverford.edu</t>
  </si>
  <si>
    <t>Minifridge (#43), Storage (x2), Vacuum</t>
  </si>
  <si>
    <t>Grace Christerson</t>
  </si>
  <si>
    <t>gchristers@haverford.edu</t>
  </si>
  <si>
    <t>Minifridge (#153), Lamp, Ice Cube Tray, Frisbee, Phone Wallet, Snap Bracelet, Lanyard, Picture Frame, Moscow Mule Cup, Jewlery Hanger, Jewlery, Back of Door, sORRY</t>
  </si>
  <si>
    <t>Tay Kwon</t>
  </si>
  <si>
    <t>tkwon@haverford.edu</t>
  </si>
  <si>
    <t>Minifridge (#110),  Desk Lamp, Fan, Yoga Roller, Blender Ball, Lacrosse Ball, Ice Cube Tray</t>
  </si>
  <si>
    <t>Thomas Grundy</t>
  </si>
  <si>
    <t>tgrundy@haverford.edu</t>
  </si>
  <si>
    <t>Minifridge (#55), Lamp, Fan</t>
  </si>
  <si>
    <t>Brendan Revesz</t>
  </si>
  <si>
    <t>brevesz@haverford.edu</t>
  </si>
  <si>
    <t>Coffee Maker, White Board, Lamp, Fan, Hangers (x12), Vacuum, Laundry Basket, Scale, Over the Door Hangers (x3), Tape, Notebooks (x2)</t>
  </si>
  <si>
    <t xml:space="preserve">Advait Chandramouli </t>
  </si>
  <si>
    <t>achandramo@haverford.edu</t>
  </si>
  <si>
    <t>Minifridge (#139), Mirror, Standing Lamp, Fan</t>
  </si>
  <si>
    <t>Alexandra Mercado-Ruelas</t>
  </si>
  <si>
    <t>amercadoru@haverford.edu</t>
  </si>
  <si>
    <t>Laundry Basket, Broom and Dust Pan, Lamp, Vacuum, Laundry Bag, Minifridge (#212), Hangers (x6)</t>
  </si>
  <si>
    <t>Extension cords (x2), sponge, body wash, organizer, cutting board (2), pans (20), sunglasses, wooden spoons (2), pyrex, cooking sheet</t>
  </si>
  <si>
    <t>Ryaan Sharif</t>
  </si>
  <si>
    <t>rsharif@haverford.edu</t>
  </si>
  <si>
    <t>pan, roasting pan, cutting baord, mirror, trash can, pot, hand soap, shower caddy, strainer, vaccum, knife (2), sponge, spatula, skateboard</t>
  </si>
  <si>
    <t>Rosa Garcia</t>
  </si>
  <si>
    <t>rgarcia@haverford.edu</t>
  </si>
  <si>
    <t>Lamps (2), dryer sheets, extension cords (2), air frshener, mug</t>
  </si>
  <si>
    <t>Brinda Gupta</t>
  </si>
  <si>
    <t>bgupta@haverford.edu</t>
  </si>
  <si>
    <t>Trash can, Swiffer, Ziplock Bags, Hangers, Bed Risers, Fan, Minifridge (#215)</t>
  </si>
  <si>
    <t>Joao Victor Hasse</t>
  </si>
  <si>
    <t>jhasse@haverford.edu</t>
  </si>
  <si>
    <t>Lamp, Hangers, Clorox, Face Wash, Posters (x2), Ping Pong Paddle, Trash Can, Minifridge (#217), Peg Board, Fake Plant, Whiteboard, Posters (x5), Vacuum, Frisbee, Flower Pot, Water Phone Case, Expo Markers (x2), Laundry Bin, Storage Drawer, Shampoo, Toilet Paper (x3), Brita, Hand Sanitizer</t>
  </si>
  <si>
    <t>Manini Miskin</t>
  </si>
  <si>
    <t>myadavmisk@haverford.edu</t>
  </si>
  <si>
    <t>Minifridge (#227)</t>
  </si>
  <si>
    <t>Fatomata Bamba</t>
  </si>
  <si>
    <t>fbamba@haverford.edu</t>
  </si>
  <si>
    <t>Mirror, Dish Rack, Hangers (x20), Toilet Paper, Extension Cord, Folder (x2)</t>
  </si>
  <si>
    <t>Brianna Peloew</t>
  </si>
  <si>
    <t>bpeloew@haverford.edu</t>
  </si>
  <si>
    <t>BCC (Black Cultural Center)</t>
  </si>
  <si>
    <t>Extension Cords (x2)</t>
  </si>
  <si>
    <t>Hengwei Zhao</t>
  </si>
  <si>
    <t>hzhao1@haverford.edu</t>
  </si>
  <si>
    <t>Minifridge (#101), Trash Can, Lamp, Mirror, Hangers (x5)</t>
  </si>
  <si>
    <t>Yinuo Chen</t>
  </si>
  <si>
    <t>ychen5@haverford.edu</t>
  </si>
  <si>
    <t>Mirror, minifridge (#6), Fan</t>
  </si>
  <si>
    <t>Isabella Lopez</t>
  </si>
  <si>
    <t>ilopez@haverford.edu</t>
  </si>
  <si>
    <t>Minifridge (#214), Lamp, Fan</t>
  </si>
  <si>
    <t>Zabdi Torres</t>
  </si>
  <si>
    <t>ztorrestor@haverford.edu</t>
  </si>
  <si>
    <t>Minifridge (#94), Fan</t>
  </si>
  <si>
    <t>Pinyan Zhuo</t>
  </si>
  <si>
    <t>pzhuo@haverford.edu</t>
  </si>
  <si>
    <t>Minifridge (#145), Ironing Board, Hangers (x10), Tupperwares (x2), Mirror, Fan, Lamp, Binder</t>
  </si>
  <si>
    <t>Shane Lu</t>
  </si>
  <si>
    <t>slu1@haverford.edu</t>
  </si>
  <si>
    <t>Off Campus</t>
  </si>
  <si>
    <t>Water gun, Cards, History Flash Cards</t>
  </si>
  <si>
    <t>Woomin Jeon</t>
  </si>
  <si>
    <t>wjeon@haverford.edu</t>
  </si>
  <si>
    <t>Minifridge (#231)</t>
  </si>
  <si>
    <t>ji Hoo Kim</t>
  </si>
  <si>
    <t>Mirror</t>
  </si>
  <si>
    <t>Ellen Brutus</t>
  </si>
  <si>
    <t>ebrutus@haverford.edu</t>
  </si>
  <si>
    <t>Minifridge (#57), Toilet Paper, Power Strip, Extension Cord (x2), Hangers (x10)</t>
  </si>
  <si>
    <t>Julia Freer</t>
  </si>
  <si>
    <t>jfreer@haverford.edu</t>
  </si>
  <si>
    <t>Trash Can, Step Stool, Fan, Umbrella, Spoon, Knife, Fork</t>
  </si>
  <si>
    <t>Hijar Falah</t>
  </si>
  <si>
    <t>hfalah@haverford.edu</t>
  </si>
  <si>
    <t>Minifridge (#175), Tupperware, Cup, Extension Cord, Toilet Paper, Mirror</t>
  </si>
  <si>
    <t>Tiffany Yang</t>
  </si>
  <si>
    <t>tyang2@haverford.edu</t>
  </si>
  <si>
    <t>Dumbells (x2), Hangers (x10), Minifridge (#109), Lamp</t>
  </si>
  <si>
    <t>Yiwei Huang</t>
  </si>
  <si>
    <t>yhuang6@haverford.edu</t>
  </si>
  <si>
    <t>Minifridge (#174), Swiffer, Lamp, Hair Dryer, Power Strip</t>
  </si>
  <si>
    <t>Zoe Lin</t>
  </si>
  <si>
    <t>nfang@haverford.edu</t>
  </si>
  <si>
    <t>Mirror, Minifridge (#232), Hangers (x10), Standing Lamp, Plant, Laptop Stand, Trash Can</t>
  </si>
  <si>
    <t>Eliana Kim</t>
  </si>
  <si>
    <t>eykim@haverford.edu</t>
  </si>
  <si>
    <t>Minifridge (#201), Stationary, Fork, Spoon</t>
  </si>
  <si>
    <t>Tapleen Kaur</t>
  </si>
  <si>
    <t>tkaur@haverford.edu</t>
  </si>
  <si>
    <t>Minifridge (#126), Mirror, Laundry Basket, Hangers (x30), Contact Paper, Storage Bin</t>
  </si>
  <si>
    <t>Sunil Chaudary</t>
  </si>
  <si>
    <t>schaudary@haverford.edu</t>
  </si>
  <si>
    <t>Mouse, Pot w/ Lid (x2), Cutting Board, Bowls, Organizer, Pan, Hangers (x6), Knife, Spatula (x2), Blender, Utensils (x4), Detergent (x2), Plates (x4), Mug, Storage</t>
  </si>
  <si>
    <t>Ibon Cerezo-Mendoza</t>
  </si>
  <si>
    <t>icerezomen@haverford.edu</t>
  </si>
  <si>
    <t>Bed Risers, Hangers (x10), Mirror, Alkaseltzer</t>
  </si>
  <si>
    <t>Cicek Gures</t>
  </si>
  <si>
    <t>cgures@haverford.edu</t>
  </si>
  <si>
    <t>Minifridge (#182), Shelf, Jar, Light</t>
  </si>
  <si>
    <t>Sameeh Karakra</t>
  </si>
  <si>
    <t>skarakra@haverford.edu</t>
  </si>
  <si>
    <t>Minifridge (#45), Laundry Basket, Vacuum, Ironing Board, Power Strip, Binder, Band-aids, Notebooks (x3), Swiffer, Ruler, Uno, Tape, Stapler, Hangers (x20), Staples, Pens (x4), Swiffer, Lamp</t>
  </si>
  <si>
    <t>Alexander Chaudhry</t>
  </si>
  <si>
    <t>lchaudhry@haverford.edu</t>
  </si>
  <si>
    <t>Lamp, Fan, Board Games (x3), Minifridge (#125), Laundry Detergent</t>
  </si>
  <si>
    <t>Sofia Burgos</t>
  </si>
  <si>
    <t>sburgos@haverford.edu</t>
  </si>
  <si>
    <t>Plant, Ruler, Post-Its (x2), Calculator, Tape, Glue Sticks</t>
  </si>
  <si>
    <t>Junzhe Xu</t>
  </si>
  <si>
    <t>jxu5@haverford.edu</t>
  </si>
  <si>
    <t>Storage Bin (x2), Book, Toilet Paper, Lamp, Ping Pong Balls (x2), Ping Pong Paddle, Tape, Binder Clips (x2), Power Strip, Lamp</t>
  </si>
  <si>
    <t>Ruowei Yuan</t>
  </si>
  <si>
    <t>jyuan1@haverford.edu</t>
  </si>
  <si>
    <t>Photo Storage, Trash Can, Power Strip, Storage, Binder, Binder Clips (x2)</t>
  </si>
  <si>
    <t>Kripa Khatiwada</t>
  </si>
  <si>
    <t>kkhatiwada@haverford.edu</t>
  </si>
  <si>
    <t xml:space="preserve">Decor, Storage Bin, Jenga, Mirror, Darts, Sunscreen, Salt Lamp, Can Opener, Hangers (x5), Kitchen Utensil Divider, Lotion, Detergent, </t>
  </si>
  <si>
    <t xml:space="preserve">Hilary Serrato </t>
  </si>
  <si>
    <t>hserrato@haverford.edu</t>
  </si>
  <si>
    <t>White Board, Photo Holder, Desktop Storage, Hand Sanitizer, Toilet Paper, Air Freshener, Colored Pencils, Note Cards, Hair Clip, Flash Drive, Hair Pins (x3), Command Hook, Wall Screws, Binder, Minifridge (#162), Lamp, Cleaner, Post Its</t>
  </si>
  <si>
    <t>Muhammad Bashir</t>
  </si>
  <si>
    <t>mbashir@haverford.edu</t>
  </si>
  <si>
    <t>Pencils (x3), Pens (x3), Scissors, Pencil Sharpener, Tape, Minifridge (#192)</t>
  </si>
  <si>
    <t>Phiona Dong</t>
  </si>
  <si>
    <t>pdong@haverford.edu</t>
  </si>
  <si>
    <t>Minifridge (#91), Lamp, Placemat, Scale, Bowl, Power Strip, Hangers (x10)</t>
  </si>
  <si>
    <t>Alice Makarevitch</t>
  </si>
  <si>
    <t>amakarevit@haverford.edu</t>
  </si>
  <si>
    <t>Planter, Whtieboard, Desk Lamp, Fan, Hanger, Minifridge (#23), Laundry Bag, Drying Rack</t>
  </si>
  <si>
    <t>Rosina Tabiri</t>
  </si>
  <si>
    <t>rtabiri@haverford.edu</t>
  </si>
  <si>
    <t>Hole Punch, Scissors, Expo Marker, Spray, Colored Pencils, Expo Marker, Ziplocs (x5), Paper Plates, Air Freshener, Tape, Disposable Napkins, Binder, Sponge, Fork (x2), Knife, Spoon, Sand Art, Light, Dust Pan, Storage Unit, Waffle Maker, Desktop Storage (x2), Lamp, Fan, Whiteboard, Wall Decor, Minifridge (#223), Trash Can, Hangers (x20), Vacuum, Disenfectant (x2), Light Decor, Power Strip, Body Scrub, Pads (x20)</t>
  </si>
  <si>
    <t>Adam Freire</t>
  </si>
  <si>
    <t>aefreire@haverford.edu</t>
  </si>
  <si>
    <t>Dartboard w/ Darts, Hangers (x4), Paper Towels</t>
  </si>
  <si>
    <t>Aluminum Foil, Acrylic Paint Markers, Toilet Paper, Ant Traps (x2), Swiffer Pads, Paints (x20)</t>
  </si>
  <si>
    <t>Coco Liu</t>
  </si>
  <si>
    <t>cliu1@haverford.edu</t>
  </si>
  <si>
    <t>Kitchen Cleaner, Swiffer, Knive, Muffin Pan, Baking Sheet, Bowl, Tupperware, Measuring Cups, Fork, Spoon, Plate</t>
  </si>
  <si>
    <t>Lupita Delgado</t>
  </si>
  <si>
    <t>lsdelgado@haverford.edu</t>
  </si>
  <si>
    <t>Holepunch, Alarm Clock, Writing Guide, Textbook, Scar Removal Tape, Tape, Rolling Cart, Minifridge (#220)</t>
  </si>
  <si>
    <t>Luka Idiart Tous</t>
  </si>
  <si>
    <t>lidiarttou@haverford.edu</t>
  </si>
  <si>
    <t>Minifridge (#159), Planter, Trash Can, Standing Lamp, Cork Board, Mirror, String Lights, Steamer, Storage Box (x2), Calculator, Vase w/ Flowers, Laundry Detergent, Drawer Storage, Hangers (x5), Paper (x20)</t>
  </si>
  <si>
    <t>Amir Mohammad</t>
  </si>
  <si>
    <t>azmohammad@haverford.edu</t>
  </si>
  <si>
    <t>Laundry Basket, Mug, Straw, Spoons (x2), Forks (x2), Knives (x2), Scale</t>
  </si>
  <si>
    <t>Arnav Nemali</t>
  </si>
  <si>
    <t>anemali@haverford.edu</t>
  </si>
  <si>
    <t>Toilet Paper (x3), Bed Risers, Tape, Shower Caddy, Desk Lamp, Minifridge (#134)</t>
  </si>
  <si>
    <t>Sefae Ali</t>
  </si>
  <si>
    <t>sali@haverford.edu</t>
  </si>
  <si>
    <t>Hangers (x5), Light Ring, Calculator, Stapler, Index Cards (x3), Difusser, Chalk (x2), Color Refill Markers, Chalk Board, Light, Mirror, Ping Pong Paddle, Ping Pong, Magnets (x6), Tape (x2), Paddle Ball Packs</t>
  </si>
  <si>
    <t>Michaelina O'Rourke</t>
  </si>
  <si>
    <t>morourke@haverford.edu</t>
  </si>
  <si>
    <t>Baking Sheet x2. Squirrel Cookie Cutter, Piping Tips, Piping Bags, Brita, Vacuum</t>
  </si>
  <si>
    <t>Yadna Prasad</t>
  </si>
  <si>
    <t>yprasad@haverford.edu</t>
  </si>
  <si>
    <t>Minifridge (#218), Games (x2)</t>
  </si>
  <si>
    <t>Ela Kowardy</t>
  </si>
  <si>
    <t>ekowardy@haverford.edu</t>
  </si>
  <si>
    <t>Mug</t>
  </si>
  <si>
    <t>Julia Jung</t>
  </si>
  <si>
    <t>jjung@haverford.edu</t>
  </si>
  <si>
    <t>Bed Risers (x2), Planter, Expo Markers (x3), Sharpie, Scissors</t>
  </si>
  <si>
    <t>Daniela Kies</t>
  </si>
  <si>
    <t>dkies@haverford.edu</t>
  </si>
  <si>
    <t>Minifridge (#117)</t>
  </si>
  <si>
    <t>Raymond Monto</t>
  </si>
  <si>
    <t>rmonto@haverford.edu</t>
  </si>
  <si>
    <t>Shower Caddy, Crepe Paper (x2), Geode, Watch, Planter</t>
  </si>
  <si>
    <t>Ashley Peterson</t>
  </si>
  <si>
    <t>akpeterson@haverford.edu</t>
  </si>
  <si>
    <t>Yarn, Martini Glass, Cowboy Hat, Wine Glass, Just Dance (x2)</t>
  </si>
  <si>
    <t>Cana Berkey-Gerard</t>
  </si>
  <si>
    <t>cberkeyger@haverford.edu</t>
  </si>
  <si>
    <t>Hangers (x5), Ziplocs (x5), Cup, Lacrosse Ball</t>
  </si>
  <si>
    <t>Sonya Ravipati</t>
  </si>
  <si>
    <t>sravipati@haverford.edu</t>
  </si>
  <si>
    <t>Shelf, Hair Clips (x5)</t>
  </si>
  <si>
    <t>Qiran Zhang</t>
  </si>
  <si>
    <t>qzhang5@haverford.edu</t>
  </si>
  <si>
    <t>Minifridge (#19), Storage Basket, Bins (x3), Brillo Pad</t>
  </si>
  <si>
    <t>Echo Greenwood</t>
  </si>
  <si>
    <t>egreenwood@haverford.edu</t>
  </si>
  <si>
    <t xml:space="preserve">Minifridge (#209) </t>
  </si>
  <si>
    <t>Mercury Royer</t>
  </si>
  <si>
    <t>mroyer@haverford.edu</t>
  </si>
  <si>
    <t>Jewlery Stand (x2), Earrings (x6), Hot Plate, Storage (x3), Pens (x2)</t>
  </si>
  <si>
    <t>Tinashe Mutasa</t>
  </si>
  <si>
    <t>tmutasa@haverford.edu</t>
  </si>
  <si>
    <t>Toaster, Power Strip, Keyboard Cover, Laptop Stand, Ipad Case, Pot, Fork, Spoon, Lacrosse Balls (x3). Lamp, Trash Can, Tupperwares (x2), Trash Bags</t>
  </si>
  <si>
    <t>Yr Daniel Chol Wai</t>
  </si>
  <si>
    <t>ywai@haverford.edu</t>
  </si>
  <si>
    <t>Minifridge (#120), Desk Lamp, Keyboard, Standing Lamp, Desk Lamp, Trash Can, Vacuum</t>
  </si>
  <si>
    <t>Aurora Campbell</t>
  </si>
  <si>
    <t>adcampbell@haverford.edu</t>
  </si>
  <si>
    <t>Yoga Mat, Basket, Power Strip, Planter, Tea Steaper, Ziplocs (x5), Minifridge (#207)</t>
  </si>
  <si>
    <t>Selin Akialp</t>
  </si>
  <si>
    <t>sakialp@haverford.edu</t>
  </si>
  <si>
    <t>Minifridge (#222), Power Strip, Laundry Rack</t>
  </si>
  <si>
    <t>Pierinna Atoche</t>
  </si>
  <si>
    <t>patochevie@haverford.edu</t>
  </si>
  <si>
    <t>Dumbells (x2), Bedside Storage, Storage Bins (x2), Clothespins (x7), Wall Decor, Whiteboard</t>
  </si>
  <si>
    <t>Anya Bhargava</t>
  </si>
  <si>
    <t>abhargava@haverford.edu</t>
  </si>
  <si>
    <t>Keurig, Fan</t>
  </si>
  <si>
    <t>Nora Kaszuba</t>
  </si>
  <si>
    <t>nkasuba@haverford.edu</t>
  </si>
  <si>
    <t>Minifride (#5), Bleach, Hole Punch, Post Its, Paper, Stapler, Staples, Staple Remover, iPad Case, Keyboard Cover, Standing Lamp, Bowl, Forks (x2), Spoons (x2), Knives (x2), Plate (x3), Desk Lamp, Swiffer Drying Pads, Rolling Cart, Drying Rack, Hangers (x10)</t>
  </si>
  <si>
    <t>Hangers (x4), Pants Hanger, Cup, Mug, Over the Door Hangers (x5), Command Hook</t>
  </si>
  <si>
    <t>Nailpolish</t>
  </si>
  <si>
    <t>Minifridge (#234), Drying Rack</t>
  </si>
  <si>
    <t>Lu SonIn</t>
  </si>
  <si>
    <t>flu1@haverford.edu</t>
  </si>
  <si>
    <t>Minifridge (#34), Fan, Lamp, Uno, Knife, Cutting Board</t>
  </si>
  <si>
    <t>Drying Rack, Mirror, Board Games (x3), Sanitizing Case</t>
  </si>
  <si>
    <t xml:space="preserve">Micheline Benoit </t>
  </si>
  <si>
    <t>mmbenoit@haverford.edu</t>
  </si>
  <si>
    <t>Fan, Standing Lamp, Calculator, Bowl, Cup, Hangers (x20)</t>
  </si>
  <si>
    <t>Kenya Archibald</t>
  </si>
  <si>
    <t>karchibald@haverford.edu</t>
  </si>
  <si>
    <t>Minifridge (#188)</t>
  </si>
  <si>
    <t>Yiauo Chen</t>
  </si>
  <si>
    <t>Coffee Pot, Storage Bin, Hangers (x12)</t>
  </si>
  <si>
    <t>Monopoly, Ribbon (x3)</t>
  </si>
  <si>
    <t>Danylo Shudrenko</t>
  </si>
  <si>
    <t>dshudrenko@haverford.edu</t>
  </si>
  <si>
    <t xml:space="preserve">Minifridge (#88), Scalp Massager, Trash Cans (x2), Mirror Hangers (x2), Mirror, Sunscreen, Toothpaste, Soap, Chicken Vase, Difusser Oil, Blue Light Glasses, Lavender </t>
  </si>
  <si>
    <t>Storage Box, Desktop Storage, Plate, Bowl, Binder, Sewing Kit, Charging Cords (x2), Hand Sanitizer, Mirror Hanger, Tape, Calculator, Yarn, Pens (x5), Stickers (x20) Paintbrushes (x2), Charcoal, Hangers (x20), Paper (x30), Binder Clips (x4), Paper Clips (x10)</t>
  </si>
  <si>
    <t>Angela Um</t>
  </si>
  <si>
    <t>aum@haverford.edu</t>
  </si>
  <si>
    <t>Minifridge (#42), Standing Lamp, Hangers (x10), Toilet Paper</t>
  </si>
  <si>
    <t>June Lee</t>
  </si>
  <si>
    <t>jlee11@haverford.edu</t>
  </si>
  <si>
    <t>Trashcans (x2)</t>
  </si>
  <si>
    <t>Mel Batra</t>
  </si>
  <si>
    <t>mbatra@haverford.edu</t>
  </si>
  <si>
    <t>Artificial Leaves, Lights (x2)</t>
  </si>
  <si>
    <t>Shower Caddy, Hangers (x5), Bowl</t>
  </si>
  <si>
    <t>Thaiana Zandona</t>
  </si>
  <si>
    <t>tzandona@haverford.edu</t>
  </si>
  <si>
    <t>Mirror, Vacuum, Blender, Toaster, Cake Pans (x2), Trash Can, Baking Sheets (x2), Jar, Can Opener, Garlic Press, Zester, Pyrex,  Food Tupperwares (x4), Iron, Measuring Glass, Measuring Spons, Hangers (x4), Plates (x4), Screen Protector, Games (x2), Shoe Rack</t>
  </si>
  <si>
    <t>Sushmit Chakma</t>
  </si>
  <si>
    <t>schakma@haverford.edu</t>
  </si>
  <si>
    <t>Standing Lamp, Minifridge (#35), Fork, Knife</t>
  </si>
  <si>
    <t>AJ Abdurakhimov</t>
  </si>
  <si>
    <t>aavdurkahi@haverford.edu</t>
  </si>
  <si>
    <t>Detergent, Rolling Cart, Laundry Basket (NOT PICTURED)</t>
  </si>
  <si>
    <t>8/25/0225</t>
  </si>
  <si>
    <t>Mirror, Trash Can</t>
  </si>
  <si>
    <t xml:space="preserve">Rolling Cart, Desktop Storage, Whiteboard </t>
  </si>
  <si>
    <t>Jean Paulino</t>
  </si>
  <si>
    <t>jpaulino@haverford.edu</t>
  </si>
  <si>
    <t>Minifridge (#206)</t>
  </si>
  <si>
    <t>Standing Lamp, Trash Can, Vase</t>
  </si>
  <si>
    <t xml:space="preserve">Sho Nadata </t>
  </si>
  <si>
    <t>snadata@haverford.edu</t>
  </si>
  <si>
    <t>Bin, Umbrealla, Soccer Ball, Tape, Eraser, Sharpener, Pencils (x5), Pens (x2), Scissors, Pencil Case, Power Strip, Yoga Mat, Notebooks (x5), Folders (x3), Cleats, Trash Can</t>
  </si>
  <si>
    <t>Grace Leverton</t>
  </si>
  <si>
    <t>gleverton@haverford.edu</t>
  </si>
  <si>
    <t>Rolling Cart, Bowls (x2), Uno, Stickers (x5), Mini Clothespins (x10), Conditioner, Shampoo (NOT PICTURED)</t>
  </si>
  <si>
    <t>Minifridge (#83)</t>
  </si>
  <si>
    <t>Yassine Falah</t>
  </si>
  <si>
    <t>yfalah@haverford.edu</t>
  </si>
  <si>
    <t>Standing Lamp</t>
  </si>
  <si>
    <t>Conner Mcwhan</t>
  </si>
  <si>
    <t>cmcwhan@haverford.edu</t>
  </si>
  <si>
    <t>Jonathan Lee</t>
  </si>
  <si>
    <t>jlee8@haverford.edu</t>
  </si>
  <si>
    <t>Vivian Ross</t>
  </si>
  <si>
    <t>vkross@haverford.edu</t>
  </si>
  <si>
    <t>Notebook, Electric Kettle</t>
  </si>
  <si>
    <t>Owen Kennedy</t>
  </si>
  <si>
    <t>okennedy@haverford.edu</t>
  </si>
  <si>
    <t>Minifridge (#133), Mirror</t>
  </si>
  <si>
    <t>Alondra Campos</t>
  </si>
  <si>
    <t>acampos@haverford.edu</t>
  </si>
  <si>
    <t>Mirror, Extension Cord</t>
  </si>
  <si>
    <t>Raaneya-Zarah Dhlavi</t>
  </si>
  <si>
    <t>rdhlavi@haverford.edu</t>
  </si>
  <si>
    <t>Mirror, Fairy Lights</t>
  </si>
  <si>
    <t>Jonah Reznick</t>
  </si>
  <si>
    <t>jreznick@haverford.edu</t>
  </si>
  <si>
    <t>Desk Lamp, Nerf Football, Vase, Moscow Mule Cup, Squirt Guns, Forks (x2), Spoons (x2), Plates (x2), Bottle Opener</t>
  </si>
  <si>
    <t>Cameron Neville</t>
  </si>
  <si>
    <t>cneville@haverford.edu</t>
  </si>
  <si>
    <t>Chalk Board, Chalk (x2), Water Guns (x2), Nerf Bow w/ Darts, Textbook, Tupperware</t>
  </si>
  <si>
    <t>Marko Nagel</t>
  </si>
  <si>
    <t>mnagel1@haverford.edu</t>
  </si>
  <si>
    <t>Knife, Fork, Spoon, Water Guns (x2), Desk Lamp, Mirror, Bowl, Tupperwares (x2), Bottle Opener, Speaker</t>
  </si>
  <si>
    <t>Jasmin Goodwin</t>
  </si>
  <si>
    <t>jgoodwin@haverford.edu</t>
  </si>
  <si>
    <t>Mirror, Heat Protectant Spray, Minifridge (#28), Desk Lamp, Hair Dryer, Tape, Bug Repellent (x2), Pencil Case, Pens (x20)</t>
  </si>
  <si>
    <t>Abby Ryan</t>
  </si>
  <si>
    <t>aryan1@haverford.edu</t>
  </si>
  <si>
    <t>Tupperware (x2), Trash Can, Mug, Pot, Pan, Pasta Spoon, Cake Pan, Baking Dish, Lamp, Pitcher</t>
  </si>
  <si>
    <t>apeterson@haverford.edu</t>
  </si>
  <si>
    <t>Speakeasy Sign, Fairy Lights</t>
  </si>
  <si>
    <t>Double Sided Tape</t>
  </si>
  <si>
    <t>Lika Idiart Tous</t>
  </si>
  <si>
    <t>Bed Risers, Swiffer, Coffee Press, Mug, Plate, Hair Dryer, Fork, Knife, Spoon, Scissors, Tape</t>
  </si>
  <si>
    <t>Paper Holder, Swiffer, Spoons</t>
  </si>
  <si>
    <t>Phoebe Hawehorn</t>
  </si>
  <si>
    <t>phawehorn@haverford.edu</t>
  </si>
  <si>
    <t>Wall Art, Pencil Case, Standing Lamp, Mirror</t>
  </si>
  <si>
    <t>Euginia Dengah</t>
  </si>
  <si>
    <t>asiacaorti@haverford.edu</t>
  </si>
  <si>
    <t>Desktop Storage, Caribeaner, Ice Cube Tray, Pen</t>
  </si>
  <si>
    <t>Mouse</t>
  </si>
  <si>
    <t>Brita, Hangers (x2), Scissors, Rubix Cube</t>
  </si>
  <si>
    <t>Lunch Box, Brita, Disposable Cups (x10), Extension Cord, Forks (x2), Spoons (x2), Knives (x2), Napkins, Plates (x4), Scissors, Spray Bottle, Colored Pencils, Highlighters (x4), Paperclips (x10)</t>
  </si>
  <si>
    <t>Parker Brown</t>
  </si>
  <si>
    <t>prbrown@haverford.edu</t>
  </si>
  <si>
    <t>Folder, Trash Can, Highlighters (x4), Bowl, Plates (x2)</t>
  </si>
  <si>
    <t>Elizabeth Cella</t>
  </si>
  <si>
    <t>ecella@haverford.edu</t>
  </si>
  <si>
    <t>Mirror, Folder</t>
  </si>
  <si>
    <t>Ian Lihani</t>
  </si>
  <si>
    <t>ilihani@haverford.edu</t>
  </si>
  <si>
    <t>Minifridge (#1)</t>
  </si>
  <si>
    <t>Meredith Werelow</t>
  </si>
  <si>
    <t>mwerelow@haverford.edu</t>
  </si>
  <si>
    <t>Ping Pong Balls (x3), Disposable Cup</t>
  </si>
  <si>
    <t>Hannah Price</t>
  </si>
  <si>
    <t>hprice@haverford.edu</t>
  </si>
  <si>
    <t>Drying Rack, Trash Can, Brita Fiter, Hangers (x4), Pack of Masks, Kife, Fork, Spoon, Trash Bag</t>
  </si>
  <si>
    <t>Polly Rhie</t>
  </si>
  <si>
    <t>prhie@haverford.edu</t>
  </si>
  <si>
    <t>Minifridge (#121)</t>
  </si>
  <si>
    <t>Erin Liu</t>
  </si>
  <si>
    <t>esliu@haverford.edu</t>
  </si>
  <si>
    <t>Minifridge (#165)</t>
  </si>
  <si>
    <t>Zoe Friedman</t>
  </si>
  <si>
    <t>zfriendman@haverford.edu</t>
  </si>
  <si>
    <t>Disposable Red Cups, Disposable Bowls (x20), Tiny Clothespins (x10)</t>
  </si>
  <si>
    <t>Alex Urena</t>
  </si>
  <si>
    <t>aurena@haverford.edu</t>
  </si>
  <si>
    <t>Notebook, Scissors, Ruler, Colored Pencisl, Highlighter, Pencil Sharpener</t>
  </si>
  <si>
    <t>cweese@haveford.edu</t>
  </si>
  <si>
    <t>Q House</t>
  </si>
  <si>
    <t>Yarn (x2), Pencils (x6), Pens (x6), Chalk Markers (x2), Flash Drive, Vegetable Peeler, Glue Gun, Game</t>
  </si>
  <si>
    <t>Plate, Folder, Stickers (x2), Bracelet</t>
  </si>
  <si>
    <t>Pencil Holder, Origami Paper (x3), Sticker, Minifridge (#150)</t>
  </si>
  <si>
    <t>Harry Joelsson</t>
  </si>
  <si>
    <t>hjoelsson@haverford.edu</t>
  </si>
  <si>
    <t>Desk Lamp, Over the Door Hanger, Hangers (x13)</t>
  </si>
  <si>
    <t>Florence Hekmat</t>
  </si>
  <si>
    <t>fhekmat@haverford.edu</t>
  </si>
  <si>
    <t>Minifridge (#142), Trash Can, Binders (x2), Notebook (x2), Knives (x6), Spoons (x4), Forks (x4), Bowls (x2), Plates (x7), Hangers (x4), Disposable Plates (x10)</t>
  </si>
  <si>
    <t>Brianna Heafey</t>
  </si>
  <si>
    <t>bheafey@haverford.edu</t>
  </si>
  <si>
    <t>Minifridge (#202)</t>
  </si>
  <si>
    <t>Nadia Martinez</t>
  </si>
  <si>
    <t>nmartinez@haverford.edu</t>
  </si>
  <si>
    <t>Minifridge (#87), Bed Risers</t>
  </si>
  <si>
    <t>Tyler Chang</t>
  </si>
  <si>
    <t>tchang1@haverford.edu</t>
  </si>
  <si>
    <t>Electric Kettle, Hangers (x14)</t>
  </si>
  <si>
    <t>Elizabeth Poulin</t>
  </si>
  <si>
    <t>epoulin@haverford.edu</t>
  </si>
  <si>
    <t xml:space="preserve">Storage Bin </t>
  </si>
  <si>
    <t>Georgia Koff-Gilmore</t>
  </si>
  <si>
    <t>gkoffgilmo@haverford.edu</t>
  </si>
  <si>
    <t>Minifridge (#56), Extension Cord</t>
  </si>
  <si>
    <t>Aman Hamdard</t>
  </si>
  <si>
    <t>ahamdard@haverford.edu</t>
  </si>
  <si>
    <t>Tennis Balls (x2), Minifridge (#167)</t>
  </si>
  <si>
    <t>Emmanuel Cheung Hernandez</t>
  </si>
  <si>
    <t>echeungher@haverford.edu</t>
  </si>
  <si>
    <t>Minifridge (#46), Trash Can</t>
  </si>
  <si>
    <t>Emma Fauser</t>
  </si>
  <si>
    <t>efauser@haverford.edu</t>
  </si>
  <si>
    <t>Minifridge (#148), Trash Can, Desk Lamp</t>
  </si>
  <si>
    <t>Lila Rivera</t>
  </si>
  <si>
    <t>lrivera@haverford.edu</t>
  </si>
  <si>
    <t>Drawer Storage</t>
  </si>
  <si>
    <t>Hanna Abrahem</t>
  </si>
  <si>
    <t>habrahem@haverford.edu</t>
  </si>
  <si>
    <t>Extension Cord, Tape</t>
  </si>
  <si>
    <t>Dachka Alcindor</t>
  </si>
  <si>
    <t>dalcindor@haverford.edu</t>
  </si>
  <si>
    <t>Trash Can, Power Strip, Calculator</t>
  </si>
  <si>
    <t>Alberto Murillo</t>
  </si>
  <si>
    <t>amurillo@haverford.edu</t>
  </si>
  <si>
    <t>Minifridge (#233), Vacuum, Power Strip, Lamp</t>
  </si>
  <si>
    <t>Stella Proctor</t>
  </si>
  <si>
    <t>sproctor@haverford.edu</t>
  </si>
  <si>
    <t>Minifridge (#166), Desk Lamp, Mirror, Shower Caddy, Trash Can, Night Light, Power Strip, Desktop Storage, Drawer Storage, Plates (x2), Knife, Fork, Spoon, Door Hanger, Note Cards, Detergent, Mug, Bowl, Pens (x4), Hand Soap, Storage Unit</t>
  </si>
  <si>
    <t>Aaron Spetter-Goldstein</t>
  </si>
  <si>
    <t>aspettergo@haverford.edu</t>
  </si>
  <si>
    <t>Minifridge (#115), Mirror, Extension Cord, Light, Storage</t>
  </si>
  <si>
    <t>Oscar Telo</t>
  </si>
  <si>
    <t>otelo@haverford.edu</t>
  </si>
  <si>
    <t>Trashcan, Mirror, Shower Caddy, Desk Lamp, Bed Risers, Minifridge (#122), Scissors</t>
  </si>
  <si>
    <t>Jack Phiel</t>
  </si>
  <si>
    <t>jphiel@haverford.edu</t>
  </si>
  <si>
    <t>Storage Unit, Hamper, Hangers (x10)</t>
  </si>
  <si>
    <t>Jocelyn Leal</t>
  </si>
  <si>
    <t>jleal@haverford.edu</t>
  </si>
  <si>
    <t>Minifridge (#131), Mirror</t>
  </si>
  <si>
    <t>Erin Staugaard</t>
  </si>
  <si>
    <t>estaugaard@haverford.edu</t>
  </si>
  <si>
    <t>Standing Lamp, Binder, Charger, Dust Pan and Broom, Toilet Paper</t>
  </si>
  <si>
    <t>Leo Ni</t>
  </si>
  <si>
    <t>lni@haverford.edu</t>
  </si>
  <si>
    <t>Minifridge (#81)</t>
  </si>
  <si>
    <t>Emma Zee</t>
  </si>
  <si>
    <t>ezee@haverford.edu</t>
  </si>
  <si>
    <t>Hangers (x19), Minifridge (#4), Mirror</t>
  </si>
  <si>
    <t>Iain Chu</t>
  </si>
  <si>
    <t>ichu@haverford.edu</t>
  </si>
  <si>
    <t>Minifridge (#226)</t>
  </si>
  <si>
    <t>Lisa Lonie</t>
  </si>
  <si>
    <t>llonie@haverford.edu</t>
  </si>
  <si>
    <t>Tennis Balls (x3), Hangers (x12) (NOT PICTURED)</t>
  </si>
  <si>
    <t>Joan Wankmiller</t>
  </si>
  <si>
    <t>jwankmil@haverford.edu</t>
  </si>
  <si>
    <t>Drying Rack (NOT PICTURED)</t>
  </si>
  <si>
    <t>Kira Chaney</t>
  </si>
  <si>
    <t>kchaney@haverford.edu</t>
  </si>
  <si>
    <t xml:space="preserve">Trash Can  </t>
  </si>
  <si>
    <t>Robert Li</t>
  </si>
  <si>
    <t>rli4@haverford.edu</t>
  </si>
  <si>
    <t>Stress Ball</t>
  </si>
  <si>
    <t>Sophia Wong</t>
  </si>
  <si>
    <t>srwong@haverford.edu</t>
  </si>
  <si>
    <t>Minifridge (#74), Fan, Plate</t>
  </si>
  <si>
    <t>Kate Horton</t>
  </si>
  <si>
    <t>khorton1@haverford.edu</t>
  </si>
  <si>
    <t>Mirror, Storage Box, LaptopStand/Clipboard, Drying Rack, Assorted Office Supplies</t>
  </si>
  <si>
    <t>Arshia Seth</t>
  </si>
  <si>
    <t>aseth1@haverford.edu</t>
  </si>
  <si>
    <t>Makeup Storage, Water Bottle, Shot Glasses (x2), Blister Cushions, Minifridge (#181), Shot Jigger</t>
  </si>
  <si>
    <t>Adnakn Mohamud</t>
  </si>
  <si>
    <t>amohamud@haverford.edu</t>
  </si>
  <si>
    <t>Plates (x4), Hangers (x10), Measuring Cups, Mug, Cup, Pan, Strainer, Lids (x2), Pot, Blender, Trash Can, Storage Box</t>
  </si>
  <si>
    <t>Caroline Gerver</t>
  </si>
  <si>
    <t>cgerver@haverford.edu</t>
  </si>
  <si>
    <t>Minifridge (#84)</t>
  </si>
  <si>
    <t>Jack Richards</t>
  </si>
  <si>
    <t>jdrichards@haverford.edu</t>
  </si>
  <si>
    <t>Books (x5)</t>
  </si>
  <si>
    <t>Book, Expo Marker, Pins (x2), Face Wash</t>
  </si>
  <si>
    <t>Paper, Drawer Liner, Jewlery Holder, Hair Clips (x20), Bowls (x2)</t>
  </si>
  <si>
    <t>Genesis Woods</t>
  </si>
  <si>
    <t>gwoods@haverford.edu</t>
  </si>
  <si>
    <t>Pencils (x8), Sharpies (x3), Nail Polish, Nail Strips, Hair Dye, Keyboard Cover, Mouse, Hair Dryer, Mirror, Umbrella</t>
  </si>
  <si>
    <t>Sierra Lever</t>
  </si>
  <si>
    <t>slever@haverford.edu</t>
  </si>
  <si>
    <t>Umbrella, Folder, Calculator</t>
  </si>
  <si>
    <t>Jinfeng Chen</t>
  </si>
  <si>
    <t>jchen9@haverford.edu</t>
  </si>
  <si>
    <t>Minifridge (#22)</t>
  </si>
  <si>
    <t>Lolly Adair</t>
  </si>
  <si>
    <t>ladair@haverford.edu</t>
  </si>
  <si>
    <t>Carpet Cleaner, Hangers (x4), Essentail Oil</t>
  </si>
  <si>
    <t>Charlotte Dziki</t>
  </si>
  <si>
    <t>cdziki@haverford.edu</t>
  </si>
  <si>
    <t>Frame, Closet Organizer, Ghost Lights</t>
  </si>
  <si>
    <t>Hangers (x10), Knife</t>
  </si>
  <si>
    <t>Zoe Hartmann</t>
  </si>
  <si>
    <t>zhartmann@haverford.edu</t>
  </si>
  <si>
    <t>Books (x5), Chalkboard</t>
  </si>
  <si>
    <t>Candle maker, pads, red solo cups, blue hair dye, hair stracher, reusable bag</t>
  </si>
  <si>
    <t>Fairy lights, iron</t>
  </si>
  <si>
    <t>Hangers, vacuum, scotch tape, knife, grater, necklace</t>
  </si>
  <si>
    <t>Richard Zhao</t>
  </si>
  <si>
    <t>Hangers (x8)</t>
  </si>
  <si>
    <t>Mahek Jhaveri</t>
  </si>
  <si>
    <t>mzhaveri@haverford.edu</t>
  </si>
  <si>
    <t>Fridge (#216)</t>
  </si>
  <si>
    <t>Fatoumata Bamba</t>
  </si>
  <si>
    <t>Hangers, pot, pan, measuring cup, cups (2), bowls, plastic plates,plate, knife, disposable knives, spoons, baskets (2)</t>
  </si>
  <si>
    <t>Hangers (8), utensils plastic, paper plates, tin container</t>
  </si>
  <si>
    <t>Briana Pellew</t>
  </si>
  <si>
    <t>bpellew@haverford.edu</t>
  </si>
  <si>
    <t>Can opener, spoon rest, hangers (9)</t>
  </si>
  <si>
    <t>Diego Zuniga</t>
  </si>
  <si>
    <t>dzuniga@haverford.edu</t>
  </si>
  <si>
    <t>LCC (Latinx)</t>
  </si>
  <si>
    <t>Lamp, fridge (#40)</t>
  </si>
  <si>
    <t>Carlos Garcia Luna</t>
  </si>
  <si>
    <t>cgarcialun@haverford.edu</t>
  </si>
  <si>
    <t>Mini fridge (#49)</t>
  </si>
  <si>
    <t>Lamp, toilet paper, storage basket (2)</t>
  </si>
  <si>
    <t>Ellison King</t>
  </si>
  <si>
    <t>eoking@haverford.edu</t>
  </si>
  <si>
    <t>Fridge (#161), hangers (22)</t>
  </si>
  <si>
    <t>Book, hangers (10), power strip, lamp, yoga mat, binders (2)</t>
  </si>
  <si>
    <t xml:space="preserve">Stool </t>
  </si>
  <si>
    <t>Marah Quran</t>
  </si>
  <si>
    <t>mquran@haverford.edu</t>
  </si>
  <si>
    <t>Yoga mat, power bank, fridge (#17)</t>
  </si>
  <si>
    <t>Tape (2)</t>
  </si>
  <si>
    <t>Frances Heitkemper</t>
  </si>
  <si>
    <t>fheitkemp@haverford.edu</t>
  </si>
  <si>
    <t xml:space="preserve">Hangers (15), mug, ring, carabener, mason jar, glass bottles (2), tray </t>
  </si>
  <si>
    <t>Drinker</t>
  </si>
  <si>
    <t>Lamp</t>
  </si>
  <si>
    <t xml:space="preserve">hangers (10), book, binder, fan </t>
  </si>
  <si>
    <t xml:space="preserve">Mirror, Hangers (8), book, notebooks (4), detergent, calculator, pens (3), power block </t>
  </si>
  <si>
    <t>Whiteboard, Expo Markers (x3), Blender, Minifridge (#190)</t>
  </si>
  <si>
    <t>Natalia Hernandez</t>
  </si>
  <si>
    <t>nhernande1@haverford.edu</t>
  </si>
  <si>
    <t>Storage Unit</t>
  </si>
  <si>
    <t>Aylis Buestan</t>
  </si>
  <si>
    <t>abuestanyu@haverford.edu</t>
  </si>
  <si>
    <t>Storage Unit, Brita Filter, Razer, Dust Buster Filter, Mini Radio, Ziplocs (x5)</t>
  </si>
  <si>
    <t>Minifridge (#77)</t>
  </si>
  <si>
    <t>Theodore Rodriguez</t>
  </si>
  <si>
    <t>trodrigeuz@haverford.edu</t>
  </si>
  <si>
    <t>Books (x4), Trash Can, Minifridge (#170)</t>
  </si>
  <si>
    <t>Tergel Khuyag</t>
  </si>
  <si>
    <t>tkhuyag@haverford.edu</t>
  </si>
  <si>
    <t>Trash Can , Hangers (x8), Minifridge (#36)</t>
  </si>
  <si>
    <t>Viraj Singhania</t>
  </si>
  <si>
    <t>vsinghania@haverford.edu</t>
  </si>
  <si>
    <t>Minifridge (#141), Bed Risers, Brita Filter</t>
  </si>
  <si>
    <t>Tyleena Candillo</t>
  </si>
  <si>
    <t>tcandillo@haverford.edu</t>
  </si>
  <si>
    <t>Folders (x2), Air Freshener, Hair Straightener</t>
  </si>
  <si>
    <t>Lorena Veras</t>
  </si>
  <si>
    <t>lveras@haverford.edu</t>
  </si>
  <si>
    <t>Trash Can, Mirror Hangers (x2), Shower Caddy, Nail Clippers, Necklaces (x2), Minifridge (#105), Decor, Tape, Scissors, Paper, Notebook, Lotion</t>
  </si>
  <si>
    <t>Storage Bin, Folders (x3), Qtips, Bowls (x2), Bug Spray, Bug Wipes, Iphone Charger, Off Spray, Lavender Essential Oils, Calculator, Groot, Tylenol, Fork, Knife, Spoon</t>
  </si>
  <si>
    <t>Amelia Lovelace</t>
  </si>
  <si>
    <t>alovelace@haverford.edu</t>
  </si>
  <si>
    <t>Minifridge (#2), Textbook</t>
  </si>
  <si>
    <t>Sumita Lacey</t>
  </si>
  <si>
    <t>slacey@haverford.edu</t>
  </si>
  <si>
    <t>Desklamp, Hangers (x12), Minifrdige (#229), Camcorder, Hangers (x3), Folder, Bed Risers</t>
  </si>
  <si>
    <t>Lyla Saigal</t>
  </si>
  <si>
    <t>lsaigal@haverford.edu</t>
  </si>
  <si>
    <t>Trash Can, Storage, Blender, Mirror, Ice Cube Tray Octopus, Air Pods, Vaccum Charger, Wall Mirror, Fan, Solo Cups, Folder, Heat Wrap</t>
  </si>
  <si>
    <t>aabulgazie@haverford.edu</t>
  </si>
  <si>
    <t>Desklamp, Printer Ink (x2), Clothes Organizer, Foam Brushes (x3), Protractor Set, Puzzle, Hammer, Lab Goggles, S Hook, Assorted Pushpins/Clothes Pins, Wax Stamp Kit</t>
  </si>
  <si>
    <t>Misha Griffin</t>
  </si>
  <si>
    <t>mgriffin@haverford.edu</t>
  </si>
  <si>
    <t>Trash Can, Lamp, Bed Risers, Storage Bin</t>
  </si>
  <si>
    <t>Board Games (x2), Salt and Pepper Shakers, Shelf Liner, Cheese Grater, Extension Cord, Highlighters (x4), Pencils (x2)</t>
  </si>
  <si>
    <t>edengah@haverford.edu</t>
  </si>
  <si>
    <t>Humidifier, Hangers (x6), Jewlery Rack, Minifridge (#18), Hangers (x10)</t>
  </si>
  <si>
    <t>Kayona Campbell</t>
  </si>
  <si>
    <t>kncampbell@haverford.edu</t>
  </si>
  <si>
    <t>Humidifier, Pumpkin, Lotion, Christmas Tree, Ornament, Minifridge (#230)</t>
  </si>
  <si>
    <t>Mia Khuc</t>
  </si>
  <si>
    <t>mkhuc@haverford.edu</t>
  </si>
  <si>
    <t>Desk Lamp(x3), Shelf, Trash Can, Laundry Bag, Storage Bin, Face Masks (x2), Toilet Paper (x3), Hand Sanitizer, Melting Scent Wax, Foam Cleanser, Hair Clip, Hangers (x8), Face Wipes,(x2),  Mug, Detergent, Extension Cord, Soap Dispenser, Shampoo, Brita Filter</t>
  </si>
  <si>
    <t>Ben Zimmerman</t>
  </si>
  <si>
    <t>bmzimmerma@haverford.edu</t>
  </si>
  <si>
    <t>Minifridge (#26), Tape, Storage Container</t>
  </si>
  <si>
    <t>Calculator</t>
  </si>
  <si>
    <t>Calculator, HDMI Cord</t>
  </si>
  <si>
    <t>Hangers (x10), Post Its (x2), Storage Cup, Lined Paper</t>
  </si>
  <si>
    <t>Caitlyn Holland</t>
  </si>
  <si>
    <t>cpholland@haverford.edu</t>
  </si>
  <si>
    <t>Book</t>
  </si>
  <si>
    <t>Ylaine Huang</t>
  </si>
  <si>
    <t>yuang6@haverford.edu</t>
  </si>
  <si>
    <t>Binder Clips (x2) (NOT PICTURED)</t>
  </si>
  <si>
    <t>Aaryaman Jaising</t>
  </si>
  <si>
    <t>ajaising@haverford.edu</t>
  </si>
  <si>
    <t>Minifridge (#38), Fan, Bed Risers, Lights, Excercise Bands (x2), Tape (x2), Electric Kettle</t>
  </si>
  <si>
    <t>Alex Murray</t>
  </si>
  <si>
    <t>acmurray@haverford.edu</t>
  </si>
  <si>
    <t>Lamps (2), string lights (2), fabric spray, power strip, command hooks (4), AAA batteries (8), yellow paper (8), clothespins (10) (NOT PICTURED)</t>
  </si>
  <si>
    <t>Anne Martinec</t>
  </si>
  <si>
    <t>amartinec2@haverford.edu</t>
  </si>
  <si>
    <t>Power Strip, Peircing Cleaner, Mouth Wash, Oral Irrigator, Soap</t>
  </si>
  <si>
    <t>Kyra Bi</t>
  </si>
  <si>
    <t>kbi@haverford.edu</t>
  </si>
  <si>
    <t>Minifridge (#135)</t>
  </si>
  <si>
    <t>Michela Weiss</t>
  </si>
  <si>
    <t>mfweiss@haverford.edu</t>
  </si>
  <si>
    <t>Storage Cubes, Thermoeter, Tea Strainer, Sushi Mat, Brita Filter, Folder, Knife</t>
  </si>
  <si>
    <t>Storage Bin, Power Strips (x2)</t>
  </si>
  <si>
    <t>Power Block, Paper Holder, Dividers (x4), Notepad, Folder (x2)</t>
  </si>
  <si>
    <t>Lamps (x2), Hangers (x10), Hair Dryer, Keyboard, Power Bank, Charging Cord, Fairy Lights, Suitcase</t>
  </si>
  <si>
    <t>Sebastian Olivares</t>
  </si>
  <si>
    <t>solivares@haverford.edu</t>
  </si>
  <si>
    <t>Minifridge (#7)</t>
  </si>
  <si>
    <t>Fame Pisuttisarun</t>
  </si>
  <si>
    <t>fpisuttisa@haverford.edu</t>
  </si>
  <si>
    <t>Minifridge (#172)</t>
  </si>
  <si>
    <t>Kevin Kim</t>
  </si>
  <si>
    <t>kkim1@haverford.edu</t>
  </si>
  <si>
    <t xml:space="preserve">Trash Can </t>
  </si>
  <si>
    <t>Ethan Garrity</t>
  </si>
  <si>
    <t>egarrity@haverford.edu</t>
  </si>
  <si>
    <t>Quija Board, Squirt Gun, Post Its, Stapler, Desk Lamp, Candles</t>
  </si>
  <si>
    <t>Emely Polanco</t>
  </si>
  <si>
    <t>epolanco@haverford.edu</t>
  </si>
  <si>
    <t>Trash Can (x2), Strainer, Mixing Bowl (x3), Mugs (x3), Bowls (x4), Plates (x2), Tupperware (x5), Placemats (x3), Cereal Storage, Hangers (x15), Baking Sheets (x2), Plates (x3), Plastic Bowls (x2),  Spatula (x3), WaterGuns (x2), Water Filter, Spoon Holder, Utensils (x15)</t>
  </si>
  <si>
    <t>William Bledsoe</t>
  </si>
  <si>
    <t>wbledsoe@haverford.edu</t>
  </si>
  <si>
    <t>Minifridge (#114), Frisbee, Tennis Ball, Mini Basketball, Power Bank, Ice Cube Tray, Ladel</t>
  </si>
  <si>
    <t>Taniya Denson</t>
  </si>
  <si>
    <t>tdenson@haveford.edu</t>
  </si>
  <si>
    <t>Minifridge (#164), Pumpkin Decor, Weights (x2), Folder, Trash Can</t>
  </si>
  <si>
    <t>Priya Nwakanma</t>
  </si>
  <si>
    <t>pnwakanma@haverford.edu</t>
  </si>
  <si>
    <t>Shoe Rack, Ice Cube Tray (x2), Dish Rack</t>
  </si>
  <si>
    <t>Desk Lamp, Electric Kettle, Hangers (x5), Mirror, Pencils (x2), Highlighters (x3), Sharpies (x2), Binders (x3), Folders (x2), Notebook, Sunglasses, Stapler, Staples, Hole Punch</t>
  </si>
  <si>
    <t>esimkhayev@haverford.edu</t>
  </si>
  <si>
    <t xml:space="preserve">Minifridge (#179), Bed Risers, Trash Can </t>
  </si>
  <si>
    <t>Charlene Frimpong</t>
  </si>
  <si>
    <t>cfrimpong@haverford.edu</t>
  </si>
  <si>
    <t>Trash Can, Laundry Bag, Pot, Card, Hangers (x2), Toilet Paper (x2), Air Freshner, Scrub Brush, Detergent, Dish Rack</t>
  </si>
  <si>
    <t>Lamp, Tape, Pencils (x2), Pencil Case, Command Hook, Poster, Shot Glass</t>
  </si>
  <si>
    <t>Mark Hargy</t>
  </si>
  <si>
    <t>mhargy@haverford.edu</t>
  </si>
  <si>
    <t>Drawer Liner, Tape Measure, Key Chain</t>
  </si>
  <si>
    <t>Yoga Mat, Trash Can (x2), Mirror, Notebook</t>
  </si>
  <si>
    <t>Ghislaine Niyodusenga</t>
  </si>
  <si>
    <t>gniyodusen@haverford.edu</t>
  </si>
  <si>
    <t>Cheese Grater, Toilet Paper, Glue, Pencil Storage, Tupperwares (x2), Pan, Storage Basket, Tape, Hangers (x15), Post Its, Broom, Laundry Basket</t>
  </si>
  <si>
    <t>David Punwataweekul</t>
  </si>
  <si>
    <t>dpunwatawe@haverford.edu</t>
  </si>
  <si>
    <t>Minifridge (#29), Book, Blender</t>
  </si>
  <si>
    <t>Judy Sohn</t>
  </si>
  <si>
    <t>jsohn@haverford.edu</t>
  </si>
  <si>
    <t>Minifridge (#163), Hangers (x5)</t>
  </si>
  <si>
    <t>Joee Phuah</t>
  </si>
  <si>
    <t>Minifridge (#104), Shelf, Shower Caddy, Trash Can, Mirrored Scale, Paper Towels, Peg Board, Calculator, Pencils (x5), Hair Brush, Curlers (x3), Charger, USB Converter</t>
  </si>
  <si>
    <t>Abigail Trapp</t>
  </si>
  <si>
    <t>atrapp@haverford.edu</t>
  </si>
  <si>
    <t>Fan, Bowl, Pan, Pyrex, Candle Kit, Over the Door Hanger, Knife, Phone Case, Soap Dish, Book, Pencils (x2), Highlighters (x5), External CD Player</t>
  </si>
  <si>
    <t>Alicia Alvarado</t>
  </si>
  <si>
    <t>aalvarado@haverford.edu</t>
  </si>
  <si>
    <t>Detergent, Dividers, Christmas Lights, Clip, Glass Screen Protector, Cutting Board, Hair Dryer, Tongs, Trash Can</t>
  </si>
  <si>
    <t>Hongyi Zhang</t>
  </si>
  <si>
    <t>hzhang3@haverford.edu</t>
  </si>
  <si>
    <t>Dishrack, Ziplocs, Bed Riser, Trivet, Plates (x3), Bowls (x3), Pot, Pan, Spatula, Tongs, Toothpaste, Baking Pans</t>
  </si>
  <si>
    <t>Daniel Lee</t>
  </si>
  <si>
    <t>dlee1@haverford.edu</t>
  </si>
  <si>
    <t>Trash Can, Frisbee, Collinder, Dutch Oven, Plate</t>
  </si>
  <si>
    <t>Janet Hernandez</t>
  </si>
  <si>
    <t>jhernande2@haverford.edu</t>
  </si>
  <si>
    <t>Post Its (x5), Hangers (x10)</t>
  </si>
  <si>
    <t>Power Strip, Charger</t>
  </si>
  <si>
    <t>Veronica Kanachova</t>
  </si>
  <si>
    <t>vkanachova@haverford.edu</t>
  </si>
  <si>
    <t>Laundry Basket, Shelf, Cork Board, Storage Baskets (x2), Planter, Vase, Utensil Storage, Hangers (x10), Plates (x2), Wire Stand</t>
  </si>
  <si>
    <t>Flavia Cela</t>
  </si>
  <si>
    <t>fcela@haverford.edu</t>
  </si>
  <si>
    <t>Trash Can</t>
  </si>
  <si>
    <t>Eden Mendoza</t>
  </si>
  <si>
    <t>emendoza@haverford.edu</t>
  </si>
  <si>
    <t>Bed Risers, Book</t>
  </si>
  <si>
    <t>Uma Hubbard</t>
  </si>
  <si>
    <t>uhubbard@haverford.edu</t>
  </si>
  <si>
    <t>Camille Mackenzie</t>
  </si>
  <si>
    <t>cmackenzie@haverford.edu</t>
  </si>
  <si>
    <t>Pack of Green Paper</t>
  </si>
  <si>
    <t>Angelina Kent</t>
  </si>
  <si>
    <t>amkent@haverford.edu</t>
  </si>
  <si>
    <t>Nail Polish, Measuring Spoons, Markers(x2)</t>
  </si>
  <si>
    <t>Jessica Schott-rosenfield</t>
  </si>
  <si>
    <t>jschottros@haverford.edu</t>
  </si>
  <si>
    <t>Metal Bin, Collapsible Fabric Bin, Desk Lamp, Ladel, Shot Glass</t>
  </si>
  <si>
    <t>Desklamp, Flowers, Construction Paper (x20), LED Lightbulb</t>
  </si>
  <si>
    <t>Selin Ongoren</t>
  </si>
  <si>
    <t>songoren@haverford.edu</t>
  </si>
  <si>
    <t>Rose Appenzeller</t>
  </si>
  <si>
    <t>rappenzell@haverford.edu</t>
  </si>
  <si>
    <t>Bags (x2), Tupperwares (x5), Pan, Plate, Spatula, Slotted Spoon</t>
  </si>
  <si>
    <t>Laptop Stand, Charging Block, Paper Bin</t>
  </si>
  <si>
    <t>Sarah Weill-Jones</t>
  </si>
  <si>
    <t>sweilljone@haverford.edu</t>
  </si>
  <si>
    <t>Strainer, pot, Keurig, hairspray, sunscreen, body wash, shampoo</t>
  </si>
  <si>
    <t>Kelly Kane</t>
  </si>
  <si>
    <t>kkane1@haverford.edu</t>
  </si>
  <si>
    <t>Pencil case (2), scissors, alarm clock, clipboard</t>
  </si>
  <si>
    <t>Fridge #180</t>
  </si>
  <si>
    <t>Fridge #154</t>
  </si>
  <si>
    <t>Hangers (5), plate, kettle, knife, chip clips (5), zipties (7), large tupperware</t>
  </si>
  <si>
    <t>Jacqueline Fanburg</t>
  </si>
  <si>
    <t>jkfanburg@haverford.edu</t>
  </si>
  <si>
    <t>Fridge #137</t>
  </si>
  <si>
    <t>Pot, cutting board, baking sheet, mug, spoon, book, tupperware (NOT PICTURED)</t>
  </si>
  <si>
    <t>Erica Cooper</t>
  </si>
  <si>
    <t>eecooper@haverford.edu</t>
  </si>
  <si>
    <t>Mini fake plant</t>
  </si>
  <si>
    <t>Teodor Borton</t>
  </si>
  <si>
    <t>tborton@haverford.edu</t>
  </si>
  <si>
    <t>Binders (2), notebook</t>
  </si>
  <si>
    <t>Lauren Petrilla</t>
  </si>
  <si>
    <t>lpetrilla@haverford.edu</t>
  </si>
  <si>
    <t>Sticky notes, sharpie</t>
  </si>
  <si>
    <t>Tina Li</t>
  </si>
  <si>
    <t>tli2@haverford.edu</t>
  </si>
  <si>
    <t>Mirror, notebook</t>
  </si>
  <si>
    <t>zlin1@haverford.edu</t>
  </si>
  <si>
    <t>Notepad, folder, bike lock, yoga mat</t>
  </si>
  <si>
    <t>Richard Carrington</t>
  </si>
  <si>
    <t>rcarringto@haverford.edu</t>
  </si>
  <si>
    <t>Storage containers (2)</t>
  </si>
  <si>
    <t>Hangers (6)</t>
  </si>
  <si>
    <t>ankent@haverford.edu</t>
  </si>
  <si>
    <t>Fridge #118</t>
  </si>
  <si>
    <t>Stapler, staples, notebook, broom, dustpan</t>
  </si>
  <si>
    <t>Umme Orthy</t>
  </si>
  <si>
    <t>uorthy@haverford.edu</t>
  </si>
  <si>
    <t>Hangers (25), mini fan, fabric spray, body wash, plant pot (2), q-tip pack, cotton rounds, pack of pads, soap dispenser, juicer, straw cleaner, band-aids (10), perfume (2), essential oils (3), can opener, desk organizer, brillo pads, tupperware (5), mouthwash, shampoo</t>
  </si>
  <si>
    <t>Elena Vol</t>
  </si>
  <si>
    <t>evol@haverford.edu</t>
  </si>
  <si>
    <t>Colored pencils, Measuring Cup, Headband</t>
  </si>
  <si>
    <t>Matilda Fletcher</t>
  </si>
  <si>
    <t>mcfletcher@haverford.edu</t>
  </si>
  <si>
    <t>Drawer organizer, toothbrush holder, kitchen brush, desk organizer, cutting mat, fabric organizers (2)</t>
  </si>
  <si>
    <t>yyuan2@haverford.edu</t>
  </si>
  <si>
    <t>File holder, strainer, ziploc bags (5), lamp, paper towel holder, mugs (2), tape, hangers (4), cutting boards (2), bowl, masks</t>
  </si>
  <si>
    <t xml:space="preserve">Toilet paper, crochet kit, game, marker pack, tape, </t>
  </si>
  <si>
    <t>Oliver Wilson</t>
  </si>
  <si>
    <t>owilson@haverford.edu</t>
  </si>
  <si>
    <t>Hangers (15), bed risers (4), mousepad, book</t>
  </si>
  <si>
    <t>Ring Dish,  pitcher, weight, workout roller</t>
  </si>
  <si>
    <t>Adam Chen</t>
  </si>
  <si>
    <t>achen3@haverford.edu</t>
  </si>
  <si>
    <t>Baking sheet, wine opener, garlic crusher, usb cord</t>
  </si>
  <si>
    <t>Abby Celli</t>
  </si>
  <si>
    <t>acelli@haver</t>
  </si>
  <si>
    <t>Game</t>
  </si>
  <si>
    <t>Fairy lights, lamp, hangers (15), command hooks (2)</t>
  </si>
  <si>
    <t>Karem Vellicela</t>
  </si>
  <si>
    <t>kvellicela@haverford.edu</t>
  </si>
  <si>
    <t>Fridge #100, hangers (10), thread, mirror, basket, lamp, alarm clock, q-tips, sharpie, pencils/pens (5), post-it notes, staples, staple remover, eraser, folder, laundry basket</t>
  </si>
  <si>
    <t>Tolu Majekodunmi</t>
  </si>
  <si>
    <t>tmajekodun@ha</t>
  </si>
  <si>
    <t>Lamp, hairspray, sunscreen, organizer</t>
  </si>
  <si>
    <t>Ethel Greenwood</t>
  </si>
  <si>
    <t>egreenwood</t>
  </si>
  <si>
    <t>Binder clips (2), plastic utensils, carabiner, egg cup, lotion, wire basket, hooks (2), stickers (5)</t>
  </si>
  <si>
    <t>Pot, highlighter, stickers (5), hooks (3), wallet, colored pencils, phone case, fidgets (2), tripod, mug, lenses, wire holder, art (2), shower organizer</t>
  </si>
  <si>
    <t>keely milbourne</t>
  </si>
  <si>
    <t>kmilbourn@haverford.edu</t>
  </si>
  <si>
    <t>Binders (x7), Gold Puffy Paint, Notebooks (x3), Pencil Cases (x2), Folders (x4), Cardstock and Envelope set, Doll Wheelchair, Storage Bin (x2) Storage Tote</t>
  </si>
  <si>
    <t>Punching bag, folders (4)</t>
  </si>
  <si>
    <t>Lucia Cortes</t>
  </si>
  <si>
    <t>lxcortez@haverford.edu</t>
  </si>
  <si>
    <t xml:space="preserve">trash can, lights, hangers (15), chalkboard, hanging plant holder, plate, pencils (5), markers (3), </t>
  </si>
  <si>
    <t>Grace Li</t>
  </si>
  <si>
    <t>gli1@haverford.edu</t>
  </si>
  <si>
    <t>Trash can</t>
  </si>
  <si>
    <t>Andrea Brokate Castillo</t>
  </si>
  <si>
    <t>abrokateca@haverford.edu</t>
  </si>
  <si>
    <t>Gaming pad, ipad cover, sticker packs (3), sewing kit, knife, hand sanitizer, wii game, book, notepad</t>
  </si>
  <si>
    <t>Fridge #138</t>
  </si>
  <si>
    <t>mjhaveri@haverford.edu</t>
  </si>
  <si>
    <t>Construction paper (50), crayon packs (2)</t>
  </si>
  <si>
    <t>Oliver Po</t>
  </si>
  <si>
    <t>opo@haverford.edu</t>
  </si>
  <si>
    <t>Frisbee, mask, band aids, speaker</t>
  </si>
  <si>
    <t>Judy Xie</t>
  </si>
  <si>
    <t>jxie@haverford.edu</t>
  </si>
  <si>
    <t>Posters (2), bed risers (4), art, pads (3), pens (5), index cards (15)</t>
  </si>
  <si>
    <t>Joey Yuan</t>
  </si>
  <si>
    <t>Binder clips (5), fork, hangers (4), bowl</t>
  </si>
  <si>
    <t>notebook, calculator, masks, pencils (7), pens (6), erasers (2), whiteout (2), tape, hangers (2), sticky notes, pencil case</t>
  </si>
  <si>
    <t>Lindsay Evans</t>
  </si>
  <si>
    <t>levans@haverford.edu</t>
  </si>
  <si>
    <t>Fairy lights</t>
  </si>
  <si>
    <t>Akramjon Abdurakhimov</t>
  </si>
  <si>
    <t>Hair dryer, water bottle, mug, shaving cream, pencil case, folder</t>
  </si>
  <si>
    <t>Kent Chen</t>
  </si>
  <si>
    <t>kchen3@haverford.edu</t>
  </si>
  <si>
    <t>Folder, tape</t>
  </si>
  <si>
    <t>Emma Miller</t>
  </si>
  <si>
    <t>emiller6@haverford.edu</t>
  </si>
  <si>
    <t>Bed risers, organizer, cup, shower caddy</t>
  </si>
  <si>
    <t>Hangers (9)</t>
  </si>
  <si>
    <t xml:space="preserve">Hair dryer, folder, binder clips (2), pen, </t>
  </si>
  <si>
    <t>Lamp, mug, shotglass, book</t>
  </si>
  <si>
    <t>Folder</t>
  </si>
  <si>
    <t>Lamp, book, mouse, beads, hole punch</t>
  </si>
  <si>
    <t>Delali Lyons</t>
  </si>
  <si>
    <t>dmlyons@haverford.edu</t>
  </si>
  <si>
    <t>Game, books (4), plates (2)</t>
  </si>
  <si>
    <t>Dhrthi Ahuja</t>
  </si>
  <si>
    <t>dahuja@haverford.edu</t>
  </si>
  <si>
    <t>Mirror, basket, cards, keyboard cover, lamp, sharpies (3), books (2), game, umbrella, lightbulb, phone wallet, bookmark, pot, alarm clock</t>
  </si>
  <si>
    <t>Pitcher, toilet paper (2), glue</t>
  </si>
  <si>
    <t>Pitcher, binder clips (x2)</t>
  </si>
  <si>
    <t>Air freshener, markers (3), tape (4), calculator, card</t>
  </si>
  <si>
    <t>Jack Vice</t>
  </si>
  <si>
    <t>jvice@haverford.edu</t>
  </si>
  <si>
    <t>Tupperware, pot cover, cards (3), books (5), steamer</t>
  </si>
  <si>
    <t>Kayla Pereira</t>
  </si>
  <si>
    <t>kpereira@haverford.edu</t>
  </si>
  <si>
    <t>Ice cream scoop, strainer, sieve, wire organizer, mandolin, soap holder, bowl, fairy lights</t>
  </si>
  <si>
    <t>Angelina Xu</t>
  </si>
  <si>
    <t>axu2@haverford.edu</t>
  </si>
  <si>
    <t>Fridge #177</t>
  </si>
  <si>
    <t>Grace Elliott</t>
  </si>
  <si>
    <t>gelliott1@haverford.edu</t>
  </si>
  <si>
    <t>Game, markers (2), binder, mini fan, marker pack</t>
  </si>
  <si>
    <t>Zoe Arkin</t>
  </si>
  <si>
    <t>zarkin@haverford.edu</t>
  </si>
  <si>
    <t>Fridge #146, ribbon (4)</t>
  </si>
  <si>
    <t>Adrian Freire</t>
  </si>
  <si>
    <t>Fridge #136, charging cord, shotglass, bed risers (3)</t>
  </si>
  <si>
    <t>Fridge #156</t>
  </si>
  <si>
    <t>Wire organizers (4), lights, drawer organizer, bins (2), stackable organizer</t>
  </si>
  <si>
    <t>Timothy Nariamao</t>
  </si>
  <si>
    <t>nnariamao@haverford.edu</t>
  </si>
  <si>
    <t>Toaster, bowls (2), spatula, knife, spoon, napkins, water bottle, hangers (20)</t>
  </si>
  <si>
    <t>Pencils/pens (4), paintbrush, desk organizer, binder, folder, hangers (4)</t>
  </si>
  <si>
    <t>Hangers (10), lamp</t>
  </si>
  <si>
    <t>Fridge #82</t>
  </si>
  <si>
    <t xml:space="preserve">Folders (16), construction paper (15), costume ears (2), pipe cleaners (15), yarn (4), calendar, sharpies (7), play-doh (2), hangers (2), velcro, stickers, bag, beads, sunglasses, puzzle, </t>
  </si>
  <si>
    <t>Brooke Bailey</t>
  </si>
  <si>
    <t>bbbailey@haverford.edu</t>
  </si>
  <si>
    <t>Cadbury</t>
  </si>
  <si>
    <t>Textbooks (3), Fridge #119</t>
  </si>
  <si>
    <t>Kate Harrison</t>
  </si>
  <si>
    <t>krharrison@haverford.edu</t>
  </si>
  <si>
    <t>Wire shelf, drawer organizer, water bottles (2), bowls (2), plates (2)</t>
  </si>
  <si>
    <t xml:space="preserve">Margaret Wang </t>
  </si>
  <si>
    <t>ywang9@haverford.edu</t>
  </si>
  <si>
    <t>Yarnall</t>
  </si>
  <si>
    <t xml:space="preserve">Lamp, scale, coffee maker, keyboard, frame, paper, chopsticks (4), container, charger, </t>
  </si>
  <si>
    <t>Construction paper (5), utensils (3), plant pot (2), bowl, plate</t>
  </si>
  <si>
    <t>Annabella Chan</t>
  </si>
  <si>
    <t>achan1@haverford.edu</t>
  </si>
  <si>
    <t>Fridge #143</t>
  </si>
  <si>
    <t>Natalie Queenan</t>
  </si>
  <si>
    <t>nqueenan@haverford</t>
  </si>
  <si>
    <t>Tupperware</t>
  </si>
  <si>
    <t>Evan Hero</t>
  </si>
  <si>
    <t>ehero@haverford.edu</t>
  </si>
  <si>
    <t>Chopsticks, tape</t>
  </si>
  <si>
    <t>Maya Rodie</t>
  </si>
  <si>
    <t>mrodie@haverford.edu</t>
  </si>
  <si>
    <t>Fridge #112, poster, whiteboard, calculator, thumbtacks, whiteboard markers (4)</t>
  </si>
  <si>
    <t>Gift bag (2), shampoo, hairspray, essential oil paper, card</t>
  </si>
  <si>
    <t>Lamp, cutting board, window stickers, ribbon, pumpkin, tape, chalk markers (3), stocking, garland</t>
  </si>
  <si>
    <t>Alarm clock, lamp, belt, christmas lights (4)</t>
  </si>
  <si>
    <t>Hangers (10)</t>
  </si>
  <si>
    <t>Abigail Ryan</t>
  </si>
  <si>
    <t>Container, ball, bowls (3), hangers (9), ponchos (2), sticky notes (2), highlighters (4), paintbrushes (4), sharpies (5), stapler</t>
  </si>
  <si>
    <t>Lamp, hangers (10)</t>
  </si>
  <si>
    <t>Nicole Fang</t>
  </si>
  <si>
    <t>Folders (10), highlighters (3), calculator</t>
  </si>
  <si>
    <t>Sketchbook, paper cutter, markers (4), eraser</t>
  </si>
  <si>
    <t>Dish soap</t>
  </si>
  <si>
    <t>Stapler, organizers (3), hangers (20), calculator, ruler, notebook, binder, highlighterrs (3), pens (2)</t>
  </si>
  <si>
    <t>Fridge #31, mug, ornaments, box, notebooks (3), paper plates (4), pens (5), sticky notes</t>
  </si>
  <si>
    <t>Folder organizer, clipboard, highlighters (2), pen</t>
  </si>
  <si>
    <t>Notebook, yarn (3), sewing needle</t>
  </si>
  <si>
    <t>Anika Venezia</t>
  </si>
  <si>
    <t>avenezia@haverford.edu</t>
  </si>
  <si>
    <t>Lamp, suitcase, shoe rack, snowman decor</t>
  </si>
  <si>
    <t>Suitcase, pens (6), postcard</t>
  </si>
  <si>
    <t>Stickers (20)</t>
  </si>
  <si>
    <t>Rollerskates, wire organizer, cone, plant pot, stickers (15)</t>
  </si>
  <si>
    <t>glue bottles (2), crayons, string, colored pencils, tape, paper (10)</t>
  </si>
  <si>
    <t>Hangers (4), water bottle, ziploc bags (5), binder clips (7), cough drops (10), essential oil diffuser, tupperware</t>
  </si>
  <si>
    <t>Hangers (15)</t>
  </si>
  <si>
    <t>Shampoo, conditioner, dry shampoo, toothpaste, hair catcher, fan</t>
  </si>
  <si>
    <t>Organizer, highlighters (2), pens (3)</t>
  </si>
  <si>
    <t>Esha Acharya</t>
  </si>
  <si>
    <t>eacharya@haverford.edu</t>
  </si>
  <si>
    <t>Stickers (7), highlighter, colored pencil</t>
  </si>
  <si>
    <t>Alex Aronson</t>
  </si>
  <si>
    <t>aaronson@haverford.edu</t>
  </si>
  <si>
    <t>Stickers (4), earrings (2)</t>
  </si>
  <si>
    <t>Trash can, paper towels, trays (2), thumbtacks</t>
  </si>
  <si>
    <t>Toilet paper (2), room spray</t>
  </si>
  <si>
    <t>Miriam Stodolsky</t>
  </si>
  <si>
    <t>mstodolsky@haverford.edu</t>
  </si>
  <si>
    <t>Binder, folder, whiteboard kit, pads (7), band aids (3), pens (2), face tool, hangers (15), water bottle</t>
  </si>
  <si>
    <t>Kailin Bateson</t>
  </si>
  <si>
    <t>kbateson@haverford.edu</t>
  </si>
  <si>
    <t>Hangers (5)</t>
  </si>
  <si>
    <t>lxcortes@haverford.edu</t>
  </si>
  <si>
    <t>Hangers (20), mocha pot, espresso maker</t>
  </si>
  <si>
    <t>Lights, pens (4)</t>
  </si>
  <si>
    <t>Uno</t>
  </si>
  <si>
    <t>Trashcan</t>
  </si>
  <si>
    <t>Angelina Chen</t>
  </si>
  <si>
    <t>achen2@haverford.edu</t>
  </si>
  <si>
    <t>Paper (x20), Projector, HDMI Cord</t>
  </si>
  <si>
    <t>Ghost Vase, Camera, Music Tuner, Hair Clips (x5)</t>
  </si>
  <si>
    <t>Christa Badoo</t>
  </si>
  <si>
    <t>cbadoo@haverford.edu</t>
  </si>
  <si>
    <t>Ant Spray</t>
  </si>
  <si>
    <t>Luis Zavala</t>
  </si>
  <si>
    <t>lzavala@haverford.edu</t>
  </si>
  <si>
    <t>Dinosaur Lamp, Charger, Rings (x2)</t>
  </si>
  <si>
    <t>Ariana Huffman</t>
  </si>
  <si>
    <t>ahuffman@haverford.edu</t>
  </si>
  <si>
    <t>Polaroid Camera, Film, Photo Album</t>
  </si>
  <si>
    <t>Brita Filter, Desktop Storage Organizer, Lego Pieces</t>
  </si>
  <si>
    <t>Gingerbred Coffee Mug</t>
  </si>
  <si>
    <t>Command Hooks</t>
  </si>
  <si>
    <t>Athletics</t>
  </si>
  <si>
    <t>smccabe1@haverford.edu</t>
  </si>
  <si>
    <t>Yoga Mats (x4) (NOT PICTURED)</t>
  </si>
  <si>
    <t>Fridge #44</t>
  </si>
  <si>
    <t>Perla Villegas</t>
  </si>
  <si>
    <t>pvillegasm@haverford.edu</t>
  </si>
  <si>
    <t>Air fryer, kettle, hot pot, ice packs (2), straw cleaner, cups (3)</t>
  </si>
  <si>
    <t>Artwork, fake flowers (2), vase, command strip velcro, letter decor</t>
  </si>
  <si>
    <t>George Tran</t>
  </si>
  <si>
    <t>utran@haverford.edu</t>
  </si>
  <si>
    <t>Magic Bullet Blender</t>
  </si>
  <si>
    <t>Totoro figure, dish, shot glass</t>
  </si>
  <si>
    <t>Air fryer, keurig</t>
  </si>
  <si>
    <t>Yijin Yuan</t>
  </si>
  <si>
    <t xml:space="preserve">Paper towels, lamp, hangers (8), bowls (4), cutting board, pot, disposable forks, trash can, ziploc bags, cups (3), </t>
  </si>
  <si>
    <t>Luke Yoshida</t>
  </si>
  <si>
    <t>lyoshida@haverford.edu</t>
  </si>
  <si>
    <t>Bubbles</t>
  </si>
  <si>
    <t>Storage, bed risers (2 sets), hangers (6)</t>
  </si>
  <si>
    <t>Axel Kapoor</t>
  </si>
  <si>
    <t>akapoor1@haverford.edu</t>
  </si>
  <si>
    <t>Paper cups (9), kettle, plastic forks, egg strainer</t>
  </si>
  <si>
    <t>Print, keychain, tin container, mug, dish, lego bear, post its, mini lamps (3), vase (NOT PICTURED)</t>
  </si>
  <si>
    <t>jewerly organizer, toilet paper, mug, command strips, 3 sun glasses, makeup remover (x2), cotton pads, Lotion (x2), Ring</t>
  </si>
  <si>
    <t>3 hangers, tape, 2 organizing bins,1 wall lights decor</t>
  </si>
  <si>
    <t xml:space="preserve">Chrislove Lamour </t>
  </si>
  <si>
    <t>clamour@haverford.edu</t>
  </si>
  <si>
    <t xml:space="preserve">2 containers, handheld frother, magic bullet, knife </t>
  </si>
  <si>
    <t xml:space="preserve">12 hangers </t>
  </si>
  <si>
    <t>Nadav Gilad-Muth</t>
  </si>
  <si>
    <t>ngiladmuth@haverford.edu</t>
  </si>
  <si>
    <t>hair spray, 4 hangers</t>
  </si>
  <si>
    <t>nhernandez1@haverford.edu</t>
  </si>
  <si>
    <t>confetti popper, towel, 2 bowls, mini ornaments, 1 plate, ice cube tray, command strips, LED tree (NOT PICTURED)</t>
  </si>
  <si>
    <t>Carlos Garcia-Luna</t>
  </si>
  <si>
    <t>Fridge #132 (returned fridge #49 - does not work)</t>
  </si>
  <si>
    <t>Aylis Buestan Yumbla</t>
  </si>
  <si>
    <t>2 sponges, 2 tissue boxes, 1 box of small trash bags, oil apsorbing strips</t>
  </si>
  <si>
    <t>storage bin, 4 toilet paper rolls, baking pan, 2 paintings, 10 hangers, 1 kinfe, 4 spoons, 1 tiarra, 2 machanical pencils, command hooks</t>
  </si>
  <si>
    <t xml:space="preserve">4 rings, 10 hangers, 2 notebooks, 5 pencils, pack of lead,eraser, 2 sunglasses </t>
  </si>
  <si>
    <t>gpwoods@haverford.edu</t>
  </si>
  <si>
    <t>4 pencils, 2 pens, 4 sharpies, tape, glue, scissors, wii game mat, 4 wii games, 2 sunglasses, cat headband, 6 rings, 2 ping pong rackets, ping pong balls, organizer, press on nails, deorderant, telescope</t>
  </si>
  <si>
    <t>2 mugs, 2 paintings, brita filter, mini globe, 5 zip ties, 3 necklaces (NOT PICTURED)</t>
  </si>
  <si>
    <t>Vest, keychains (2), streamers (2), plastic cups, birthday hats (4), sunglasses (3)</t>
  </si>
  <si>
    <t>Humidifer, coat hanger, animal headbands (3)</t>
  </si>
  <si>
    <t>Water bottle, shampoo, body wash, conditioner</t>
  </si>
  <si>
    <t>Ibon Cerezo</t>
  </si>
  <si>
    <t>Hangers (8), charcoal, paintbrushes (3), storage bin</t>
  </si>
  <si>
    <t>Angel Huitzil Huitzil</t>
  </si>
  <si>
    <t>ahuitzilhu@haverford.edu</t>
  </si>
  <si>
    <t>Pots (2), cutting board, wooden utensils (2)</t>
  </si>
  <si>
    <t>Humidifier</t>
  </si>
  <si>
    <t>Halloween mask</t>
  </si>
  <si>
    <t>Tape, markers (2), face makeup stick, charging port, hand sanitizer, whisk, measuring cups, fake knife</t>
  </si>
  <si>
    <t>Bucket, painting knives (2), vase, dish, paper cutter, letter board</t>
  </si>
  <si>
    <t>Notebook, paper (4), gift bag, thank you card, book</t>
  </si>
  <si>
    <t>Aysha Syeda</t>
  </si>
  <si>
    <t>asyeda@haverford.edu</t>
  </si>
  <si>
    <t>Sketchpad, fixative, paint, charcoal, erasers (2), paintbrushes (5), pencils (2), pencil case, palette, blending tool</t>
  </si>
  <si>
    <t>measuring cups, shot glass</t>
  </si>
  <si>
    <t>Rosiz Tabiri</t>
  </si>
  <si>
    <t>~10 pads, a mug, bowl, desk lamp, yarn, couple of paper plates, uno cards, snow globe, plant decor, 2 containers, a bag, mini drum</t>
  </si>
  <si>
    <t xml:space="preserve">2 water guns, laundry bin, 6 yarns, 2 neckalaces, fairy lights, bunch of posters ,umbrella, nail polish </t>
  </si>
  <si>
    <t>Selin akialp</t>
  </si>
  <si>
    <t xml:space="preserve">pitcher, 2 wine glass, 3 organizers, shot glass, cocktail shaker, set of paint brushes, solo party cups </t>
  </si>
  <si>
    <t>Marianna Melendez</t>
  </si>
  <si>
    <t>mmelendez@haverford.edu</t>
  </si>
  <si>
    <t>desk lamp, desk mirror</t>
  </si>
  <si>
    <t>Finn Nicolois</t>
  </si>
  <si>
    <t>fnicolois@haverford.edu</t>
  </si>
  <si>
    <t xml:space="preserve">keychain, umbrella, cord, CDs (2), brita </t>
  </si>
  <si>
    <t xml:space="preserve">Sumita Lacey </t>
  </si>
  <si>
    <t>uno card, hanger, fake plant, highligther</t>
  </si>
  <si>
    <t>organizer, origami paper</t>
  </si>
  <si>
    <t>lemon juice squeezer, white out, puppy stamps, tupperware (2), pins, ice cube tray, 4 books, flower pot</t>
  </si>
  <si>
    <t>Storage bin, spoon</t>
  </si>
  <si>
    <t>Vase, sunglasses, hairclips (4), rings (3), pipecleaners (4), headband, paper (6), index cards (30)</t>
  </si>
  <si>
    <t>Sofia Marxuach</t>
  </si>
  <si>
    <t>smarxuachc@haverford.edu</t>
  </si>
  <si>
    <t>Minifridge (#93)</t>
  </si>
  <si>
    <t>Mateo Taylor</t>
  </si>
  <si>
    <t>mtaylor3@haverford.edu</t>
  </si>
  <si>
    <t>Ornaments, christmas lights (4), power strip</t>
  </si>
  <si>
    <t>Alarm clock, shampoo</t>
  </si>
  <si>
    <t>4 bookmarks</t>
  </si>
  <si>
    <t>8 folders, lamp, usb adaptor</t>
  </si>
  <si>
    <t>2 window AC, umbrella, plastic pitcher, microwave steamer, 2 pyrex containers, 2 organiation bins, 1 tumbler, 1 can cooler, 7 spoons, 1 blender, laundry basket</t>
  </si>
  <si>
    <t>Shampoo, conditioner</t>
  </si>
  <si>
    <t>Alice Sappenfield</t>
  </si>
  <si>
    <t>asappenfie@haverford.edu</t>
  </si>
  <si>
    <t>Book, masks (2), storage baskets (2)</t>
  </si>
  <si>
    <t>Molly Rabb-Jaros</t>
  </si>
  <si>
    <t>mrabbjaros@haverford.edu</t>
  </si>
  <si>
    <t>Cardboard (15), canvases (3), paint (3), paint set, plastic cups (10), paintbrushes (15)</t>
  </si>
  <si>
    <t>Mini christmas tree, soap (2), highlighter, tissues</t>
  </si>
  <si>
    <t>Oscar Tello</t>
  </si>
  <si>
    <t>otello@haverford.edu</t>
  </si>
  <si>
    <t>Laundry basket, calculators (2), pencil case, bowls (2), plate</t>
  </si>
  <si>
    <t>Paper plates (3), sunglasses, spoons (2), dry erase markers (2)</t>
  </si>
  <si>
    <t>Paper towels, notebooks (2), pencils, index cards, sticky notes (3), lined paper (4), printer paper (1)</t>
  </si>
  <si>
    <t>Disco ball</t>
  </si>
  <si>
    <t>Margaux Roca</t>
  </si>
  <si>
    <t>miroca@haverford.edu</t>
  </si>
  <si>
    <t>mini fridge (#79), 3 hangers, knife</t>
  </si>
  <si>
    <t>8 hangers, baking pan</t>
  </si>
  <si>
    <t>storage, 3 lined paper, 2 notebooks, 1 index card</t>
  </si>
  <si>
    <t>ishita jain</t>
  </si>
  <si>
    <t>ijain@haverford.edu</t>
  </si>
  <si>
    <t>christmas lights, hand vacuum, fan</t>
  </si>
  <si>
    <t>sumita lacey</t>
  </si>
  <si>
    <t xml:space="preserve">christmas decor, 3 fake plants, window decor, desk organizer, room decor, light bulb </t>
  </si>
  <si>
    <t xml:space="preserve">aaryaman Jaising </t>
  </si>
  <si>
    <t>~20 hangers, 2 fake plants, wall decor, puzzle, glue, desk lamp,1 container</t>
  </si>
  <si>
    <t>mia khuc</t>
  </si>
  <si>
    <t>3 desk lamps, bottle of detergent, sleeping mask, mirror</t>
  </si>
  <si>
    <t>rainbow strachoff paper, book, disk soap, paper towels, candle making kit</t>
  </si>
  <si>
    <t>laptop desk rester, notebook, storage, detergent scent beads</t>
  </si>
  <si>
    <t xml:space="preserve">extention outled, electronic, aquaphor </t>
  </si>
  <si>
    <t>Hangers (22), easels (3), goggles, binder clips (7), magnets (5)</t>
  </si>
  <si>
    <t>Blow dryer, hair accessories bag, phone case, L decor, phone wallet, phone chargers (2)</t>
  </si>
  <si>
    <t>Amelia Spielman</t>
  </si>
  <si>
    <t>aspielman@haverford.edu</t>
  </si>
  <si>
    <t>Paintbrushes (6), safety pins (6), pens (2), paint, gouache set</t>
  </si>
  <si>
    <t>Post-it notes, scissors, highlighter, sticky tabs</t>
  </si>
  <si>
    <t>Bowl, chopsticks, hangers (5)</t>
  </si>
  <si>
    <t>Christmas lights (2), knife, plastic straws</t>
  </si>
  <si>
    <t>Christmas lights (2), blender, cups (4), knife, fake plant</t>
  </si>
  <si>
    <t>Mouthguard, shot glass, mini mug</t>
  </si>
  <si>
    <t>Isabelle Seeto</t>
  </si>
  <si>
    <t>iseeto@haverford.edu</t>
  </si>
  <si>
    <t>Trash can, artwork, fairy lights</t>
  </si>
  <si>
    <t>Sharpies (2), marker, glue stick</t>
  </si>
  <si>
    <t>Back of Door Hanger, hangers (5)</t>
  </si>
  <si>
    <t>Wire organizer, books (2)</t>
  </si>
  <si>
    <t xml:space="preserve">Hair curler, notebooks (2), pencil case, </t>
  </si>
  <si>
    <t>Kettle, notebooks (3), pens (4), folder, travel mug, sponge</t>
  </si>
  <si>
    <t>Paper towels, command strips (5), command hooks (2)</t>
  </si>
  <si>
    <t>Sophia Brown</t>
  </si>
  <si>
    <t>sbrown3@haverford.edu</t>
  </si>
  <si>
    <t>Hair dryer</t>
  </si>
  <si>
    <t>Mini vase, tape</t>
  </si>
  <si>
    <t>christmas lights, thermoitor, water color pallete, color pencils, air purifier, uno cards, brushes (3)</t>
  </si>
  <si>
    <t>Storage, toothbrush case, glassware</t>
  </si>
  <si>
    <t>3 plates, 1 bowl, bread pan, pyrex</t>
  </si>
  <si>
    <t>2 playing cards, 3 hangers, 2 stickers, washi tape, christmas lights, headband, camera stick, wine opened, express chop machine, jar, chaligraphy set, white board set, embroidery set</t>
  </si>
  <si>
    <t>String lights (2), blender, party backdrops (2)</t>
  </si>
  <si>
    <t>Cough drops, vitamins, hair rollers, masks (2), pencils (4), hair clips (2), nail polish, art, earrings</t>
  </si>
  <si>
    <t>Gift bags (2), ribbon (2), thumbtacks, sewing pins, fidget, stationary, beads</t>
  </si>
  <si>
    <t>Fake vines, string lights</t>
  </si>
  <si>
    <t>Brita, yarn (4), knives (2), shave gel</t>
  </si>
  <si>
    <t>larivera@haverford.edu</t>
  </si>
  <si>
    <t>Wrapping paper, christmas lights (4)</t>
  </si>
  <si>
    <t>Pens (4), binder clips, takeout containers (2), mirror, frame, ziploc bag, art supply</t>
  </si>
  <si>
    <t>Trash can, string lights, chargers (2), pencils (2), frame, laundry hamper, small box</t>
  </si>
  <si>
    <t>Iywren Fenrir</t>
  </si>
  <si>
    <t>ifenrir@haverford.edu</t>
  </si>
  <si>
    <t>Shower caddy, brush, mirror, toilet paper, bath mat, laundry hamper, vacuum, vitamins, bag</t>
  </si>
  <si>
    <t>Thank you card, pencil</t>
  </si>
  <si>
    <t>Christmas lights, snowflakes (5)</t>
  </si>
  <si>
    <t>Frames (2), duck, pouch, streamers (2), travel mug</t>
  </si>
  <si>
    <t>Lyali Pereda Figueroa</t>
  </si>
  <si>
    <t>lperedafig@haverford.edu</t>
  </si>
  <si>
    <t>bag, balls of yarn (6)</t>
  </si>
  <si>
    <t>Alexandra Mercado Ruelas</t>
  </si>
  <si>
    <t>game, knife, 2 cup</t>
  </si>
  <si>
    <t>2 paper towels, 4 little plates</t>
  </si>
  <si>
    <t>Seth Anderson</t>
  </si>
  <si>
    <t>scanderson@haverford.edu</t>
  </si>
  <si>
    <t>Christmas lights (4), cutting board</t>
  </si>
  <si>
    <t>3 frames, 1 geode, 3 books, 3 boards games, 2 card games, 1 puzzle, 10 stickers, pliers, glitter, 3 pens, 2 figureines, postcard, letter, pastels</t>
  </si>
  <si>
    <t>Ishita Jain</t>
  </si>
  <si>
    <t>string lights, 2 markers, toothbrush</t>
  </si>
  <si>
    <t>fake plant, bowl, alarm clock</t>
  </si>
  <si>
    <t>ornament</t>
  </si>
  <si>
    <t>cup</t>
  </si>
  <si>
    <t>skrunchies (3), sticky notes (2), face masks (4)</t>
  </si>
  <si>
    <t>5 plates, measuring cups, 3 bowls, 1 whisk tyhing, 20 hangers, trash can, 5 pairs of chopsticks</t>
  </si>
  <si>
    <t>Brigid Ohl</t>
  </si>
  <si>
    <t>bohl@haverford.edu</t>
  </si>
  <si>
    <t>bowl, mixing spoon, stapler, 10 staple refills, stack of construction paper, stack of origami paper, sketchbook</t>
  </si>
  <si>
    <t>3 hangers</t>
  </si>
  <si>
    <t>2 books, lamp, decortive flowers in vase, LOVE sign</t>
  </si>
  <si>
    <t>Refillable Soap Container</t>
  </si>
  <si>
    <t>Scour pads, jade roller, essential oil, pimple patch, curling iron, face masks (3), face cream</t>
  </si>
  <si>
    <t>Meghan Galban</t>
  </si>
  <si>
    <t>mgalban@haverford.edu</t>
  </si>
  <si>
    <t xml:space="preserve">Glass Beads, sponge </t>
  </si>
  <si>
    <t>Faculty</t>
  </si>
  <si>
    <t>Bed risers (8)</t>
  </si>
  <si>
    <t>Game, microscope, books (6), xmas lights, soap papers (2), scrubber, hand sanitizer, badmintion birdies, stickers (5), keychain</t>
  </si>
  <si>
    <t>Umbrella, earbuds (3), cord</t>
  </si>
  <si>
    <t>Art, wire basket, paper towels, soap, plastic utensils</t>
  </si>
  <si>
    <t>Magnet, tile</t>
  </si>
  <si>
    <t>spoon, fork, electric water kettle, hanger rack, minifridge (#236)</t>
  </si>
  <si>
    <t>galban@haverford.edu</t>
  </si>
  <si>
    <t xml:space="preserve">roll of paper, standing lamp, taboo, extension cord, notebook </t>
  </si>
  <si>
    <t>Anna Kim</t>
  </si>
  <si>
    <t>akim3</t>
  </si>
  <si>
    <t>legos (2), notebooks (3), pens(2), decor (2), pin, customs notebook (3), hanging lights, small drawing board</t>
  </si>
  <si>
    <t>Camille Roberts</t>
  </si>
  <si>
    <t>caroberts@haverford.edu</t>
  </si>
  <si>
    <t>puzzles(2), book, sketch books(2), knife, bowl, notebook, food container, brushes(2), pens(2)</t>
  </si>
  <si>
    <t>puzzle, yarn (2), glass bird, baking pans (2)</t>
  </si>
  <si>
    <t>bins (4)</t>
  </si>
  <si>
    <t>Current Item Total:</t>
  </si>
  <si>
    <t>Requestor</t>
  </si>
  <si>
    <t>Minifridge</t>
  </si>
  <si>
    <t>Fan</t>
  </si>
  <si>
    <t>Other</t>
  </si>
  <si>
    <t>Sheet</t>
  </si>
  <si>
    <t>Reference header</t>
  </si>
  <si>
    <t>Column</t>
  </si>
  <si>
    <t>Check-in</t>
  </si>
  <si>
    <t>Check-in date</t>
  </si>
  <si>
    <t>Check-out</t>
  </si>
  <si>
    <t>Current inventory list</t>
  </si>
  <si>
    <t>Weekday</t>
  </si>
  <si>
    <t>Average quantity</t>
  </si>
  <si>
    <t>Monday</t>
  </si>
  <si>
    <t>Tuesday</t>
  </si>
  <si>
    <t>Wednesday</t>
  </si>
  <si>
    <t>Thursday</t>
  </si>
  <si>
    <t>Friday</t>
  </si>
  <si>
    <t>Saturday</t>
  </si>
  <si>
    <t>Sunday</t>
  </si>
  <si>
    <t>Last 15 days</t>
  </si>
  <si>
    <t>In</t>
  </si>
  <si>
    <t>Out</t>
  </si>
  <si>
    <t>Over sold items</t>
  </si>
  <si>
    <t>DIFF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</si>
</sst>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7">
    <font>
      <sz val="10.0"/>
      <color rgb="FF000000"/>
      <name val="Arial"/>
      <scheme val="minor"/>
    </font>
    <font>
      <b/>
      <sz val="11.0"/>
      <color rgb="FF000000"/>
      <name val="Montserrat"/>
    </font>
    <font>
      <sz val="10.0"/>
      <color theme="1"/>
      <name val="Roboto"/>
    </font>
    <font>
      <sz val="10.0"/>
      <color rgb="FF000000"/>
      <name val="Roboto"/>
    </font>
    <font>
      <color theme="1"/>
      <name val="Arial"/>
    </font>
    <font>
      <sz val="10.0"/>
      <color rgb="FF000000"/>
      <name val="Lato"/>
    </font>
    <font>
      <sz val="10.0"/>
      <color theme="1"/>
      <name val="Arial"/>
    </font>
    <font>
      <sz val="12.0"/>
      <color rgb="FFFFFFFF"/>
      <name val="Roboto"/>
    </font>
    <font>
      <b/>
      <sz val="12.0"/>
      <color rgb="FFD9D9D9"/>
      <name val="Montserrat"/>
    </font>
    <font>
      <b/>
      <sz val="14.0"/>
      <color rgb="FFCCCCCC"/>
      <name val="Montserrat"/>
    </font>
    <font/>
    <font>
      <b/>
      <sz val="14.0"/>
      <color rgb="FFFFFFFF"/>
      <name val="Montserrat"/>
    </font>
    <font>
      <b/>
      <sz val="14.0"/>
      <color rgb="FFFF5C5C"/>
      <name val="Montserrat"/>
    </font>
    <font>
      <sz val="90.0"/>
      <color rgb="FFFFFFFF"/>
      <name val="Roboto"/>
    </font>
    <font>
      <b/>
      <sz val="19.0"/>
      <color rgb="FFFFFFFF"/>
      <name val="Montserrat"/>
    </font>
    <font>
      <sz val="24.0"/>
      <color rgb="FFFFFFFF"/>
      <name val="Roboto"/>
    </font>
    <font>
      <b/>
      <sz val="12.0"/>
      <color rgb="FFFFFFFF"/>
      <name val="Indie Flower"/>
    </font>
    <font>
      <b/>
      <sz val="12.0"/>
      <color rgb="FFCCCCCC"/>
      <name val="Montserrat"/>
    </font>
    <font>
      <sz val="22.0"/>
      <color rgb="FFEFEFEF"/>
      <name val="Roboto"/>
    </font>
    <font>
      <color theme="1"/>
      <name val="Arial"/>
      <scheme val="minor"/>
    </font>
    <font>
      <sz val="10.0"/>
      <color rgb="FF222222"/>
      <name val="Helvetica Neue"/>
    </font>
    <font>
      <sz val="10.0"/>
      <color rgb="FF000000"/>
      <name val="Arial"/>
    </font>
    <font>
      <color rgb="FF000000"/>
      <name val="Roboto"/>
    </font>
    <font>
      <color rgb="FF000000"/>
      <name val="Arial"/>
      <scheme val="minor"/>
    </font>
    <font>
      <color theme="1"/>
      <name val="Roboto"/>
    </font>
    <font>
      <b/>
      <sz val="12.0"/>
      <color rgb="FFFFFFFF"/>
      <name val="Montserrat"/>
    </font>
    <font>
      <b/>
      <sz val="10.0"/>
      <color theme="1"/>
      <name val="Montserrat"/>
    </font>
  </fonts>
  <fills count="13">
    <fill>
      <patternFill patternType="none"/>
    </fill>
    <fill>
      <patternFill patternType="lightGray"/>
    </fill>
    <fill>
      <patternFill patternType="solid">
        <fgColor rgb="FFE06666"/>
        <bgColor rgb="FFE06666"/>
      </patternFill>
    </fill>
    <fill>
      <patternFill patternType="solid">
        <fgColor rgb="FFEFEFEF"/>
        <bgColor rgb="FFEFEFEF"/>
      </patternFill>
    </fill>
    <fill>
      <patternFill patternType="solid">
        <fgColor rgb="FFFFFFFF"/>
        <bgColor rgb="FFFFFFFF"/>
      </patternFill>
    </fill>
    <fill>
      <patternFill patternType="solid">
        <fgColor rgb="FF8E7CC3"/>
        <bgColor rgb="FF8E7CC3"/>
      </patternFill>
    </fill>
    <fill>
      <patternFill patternType="solid">
        <fgColor rgb="FF1C272C"/>
        <bgColor rgb="FF1C272C"/>
      </patternFill>
    </fill>
    <fill>
      <patternFill patternType="solid">
        <fgColor rgb="FFFF5C5C"/>
        <bgColor rgb="FFFF5C5C"/>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D9D9D9"/>
        <bgColor rgb="FFD9D9D9"/>
      </patternFill>
    </fill>
    <fill>
      <patternFill patternType="solid">
        <fgColor rgb="FFC33136"/>
        <bgColor rgb="FFC33136"/>
      </patternFill>
    </fill>
  </fills>
  <borders count="30">
    <border/>
    <border>
      <left/>
      <right/>
      <top/>
      <bottom/>
    </border>
    <border>
      <bottom style="thin">
        <color rgb="FFCCCCCC"/>
      </bottom>
    </border>
    <border>
      <left/>
      <right/>
      <top/>
      <bottom style="thin">
        <color rgb="FFCCCCCC"/>
      </bottom>
    </border>
    <border>
      <top style="thin">
        <color rgb="FFCCCCCC"/>
      </top>
      <bottom style="thin">
        <color rgb="FFCCCCCC"/>
      </bottom>
    </border>
    <border>
      <left/>
      <right/>
      <top style="thin">
        <color rgb="FFCCCCCC"/>
      </top>
      <bottom style="thin">
        <color rgb="FFCCCCCC"/>
      </bottom>
    </border>
    <border>
      <bottom style="thin">
        <color rgb="FFB7B7B7"/>
      </bottom>
    </border>
    <border>
      <top style="thin">
        <color rgb="FFB7B7B7"/>
      </top>
      <bottom style="thin">
        <color rgb="FFB7B7B7"/>
      </bottom>
    </border>
    <border>
      <top style="thin">
        <color rgb="FFB7B7B7"/>
      </top>
      <bottom style="thin">
        <color rgb="FFCCCCCC"/>
      </bottom>
    </border>
    <border>
      <left style="medium">
        <color rgb="FF666666"/>
      </left>
      <right/>
      <top style="medium">
        <color rgb="FF666666"/>
      </top>
      <bottom/>
    </border>
    <border>
      <left/>
      <right/>
      <top style="medium">
        <color rgb="FF666666"/>
      </top>
      <bottom/>
    </border>
    <border>
      <left/>
      <right style="medium">
        <color rgb="FF666666"/>
      </right>
      <top style="medium">
        <color rgb="FF666666"/>
      </top>
      <bottom/>
    </border>
    <border>
      <left style="medium">
        <color rgb="FF666666"/>
      </left>
      <right/>
      <top/>
      <bottom/>
    </border>
    <border>
      <left/>
      <top/>
      <bottom/>
    </border>
    <border>
      <top/>
      <bottom/>
    </border>
    <border>
      <left/>
      <right style="medium">
        <color rgb="FF666666"/>
      </right>
      <top/>
      <bottom/>
    </border>
    <border>
      <left/>
      <top/>
    </border>
    <border>
      <top/>
    </border>
    <border>
      <left/>
    </border>
    <border>
      <left style="medium">
        <color rgb="FF666666"/>
      </left>
      <right/>
      <top/>
      <bottom style="medium">
        <color rgb="FF666666"/>
      </bottom>
    </border>
    <border>
      <left/>
      <right/>
      <top/>
      <bottom style="medium">
        <color rgb="FF666666"/>
      </bottom>
    </border>
    <border>
      <left/>
      <right style="medium">
        <color rgb="FF666666"/>
      </right>
      <top/>
      <bottom style="medium">
        <color rgb="FF666666"/>
      </bottom>
    </border>
    <border>
      <left/>
      <top style="medium">
        <color rgb="FF666666"/>
      </top>
      <bottom/>
    </border>
    <border>
      <top style="medium">
        <color rgb="FF666666"/>
      </top>
      <bottom/>
    </border>
    <border>
      <left/>
      <right/>
      <top/>
    </border>
    <border>
      <left/>
      <right/>
    </border>
    <border>
      <left style="thin">
        <color rgb="FF000000"/>
      </left>
      <right style="thin">
        <color rgb="FF000000"/>
      </right>
      <top style="thin">
        <color rgb="FF000000"/>
      </top>
      <bottom style="thin">
        <color rgb="FF000000"/>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top style="thin">
        <color rgb="FF000000"/>
      </top>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0" fontId="2" numFmtId="14" xfId="0" applyAlignment="1" applyBorder="1" applyFont="1" applyNumberFormat="1">
      <alignment horizontal="center" vertical="center"/>
    </xf>
    <xf borderId="2" fillId="0" fontId="2" numFmtId="49" xfId="0" applyAlignment="1" applyBorder="1" applyFont="1" applyNumberFormat="1">
      <alignment horizontal="left" vertical="center"/>
    </xf>
    <xf borderId="3" fillId="3" fontId="2" numFmtId="0" xfId="0" applyAlignment="1" applyBorder="1" applyFill="1" applyFont="1">
      <alignment vertical="center"/>
    </xf>
    <xf borderId="2" fillId="0" fontId="2" numFmtId="0" xfId="0" applyAlignment="1" applyBorder="1" applyFont="1">
      <alignment vertical="center"/>
    </xf>
    <xf borderId="4" fillId="0" fontId="2" numFmtId="49" xfId="0" applyAlignment="1" applyBorder="1" applyFont="1" applyNumberFormat="1">
      <alignment horizontal="left" vertical="center"/>
    </xf>
    <xf borderId="5" fillId="3" fontId="2" numFmtId="0" xfId="0" applyAlignment="1" applyBorder="1" applyFont="1">
      <alignment vertical="center"/>
    </xf>
    <xf borderId="4" fillId="0" fontId="2" numFmtId="14" xfId="0" applyAlignment="1" applyBorder="1" applyFont="1" applyNumberFormat="1">
      <alignment horizontal="center" vertical="center"/>
    </xf>
    <xf borderId="4" fillId="0" fontId="2" numFmtId="0" xfId="0" applyAlignment="1" applyBorder="1" applyFont="1">
      <alignment vertical="center"/>
    </xf>
    <xf borderId="5" fillId="4" fontId="3" numFmtId="14" xfId="0" applyAlignment="1" applyBorder="1" applyFill="1" applyFont="1" applyNumberFormat="1">
      <alignment horizontal="center"/>
    </xf>
    <xf borderId="0" fillId="0" fontId="4" numFmtId="0" xfId="0" applyFont="1"/>
    <xf borderId="1" fillId="5" fontId="1" numFmtId="0" xfId="0" applyAlignment="1" applyBorder="1" applyFill="1" applyFont="1">
      <alignment horizontal="center" shrinkToFit="0" vertical="center" wrapText="1"/>
    </xf>
    <xf borderId="1" fillId="5" fontId="1" numFmtId="0" xfId="0" applyAlignment="1" applyBorder="1" applyFont="1">
      <alignment horizontal="center" vertical="center"/>
    </xf>
    <xf borderId="6" fillId="0" fontId="5" numFmtId="14" xfId="0" applyAlignment="1" applyBorder="1" applyFont="1" applyNumberFormat="1">
      <alignment horizontal="center" vertical="center"/>
    </xf>
    <xf borderId="6" fillId="0" fontId="5" numFmtId="49" xfId="0" applyAlignment="1" applyBorder="1" applyFont="1" applyNumberFormat="1">
      <alignment horizontal="center" shrinkToFit="0" wrapText="1"/>
    </xf>
    <xf borderId="6" fillId="0" fontId="5" numFmtId="0" xfId="0" applyAlignment="1" applyBorder="1" applyFont="1">
      <alignment horizontal="center" shrinkToFit="0" wrapText="1"/>
    </xf>
    <xf borderId="6" fillId="0" fontId="5" numFmtId="0" xfId="0" applyAlignment="1" applyBorder="1" applyFont="1">
      <alignment horizontal="right"/>
    </xf>
    <xf borderId="6" fillId="0" fontId="5" numFmtId="0" xfId="0" applyBorder="1" applyFont="1"/>
    <xf borderId="6" fillId="0" fontId="5" numFmtId="49" xfId="0" applyAlignment="1" applyBorder="1" applyFont="1" applyNumberFormat="1">
      <alignment horizontal="center"/>
    </xf>
    <xf borderId="6" fillId="0" fontId="5" numFmtId="0" xfId="0" applyAlignment="1" applyBorder="1" applyFont="1">
      <alignment horizontal="center"/>
    </xf>
    <xf borderId="6" fillId="0" fontId="6" numFmtId="0" xfId="0" applyBorder="1" applyFont="1"/>
    <xf borderId="1" fillId="4" fontId="5" numFmtId="14" xfId="0" applyAlignment="1" applyBorder="1" applyFont="1" applyNumberFormat="1">
      <alignment horizontal="center"/>
    </xf>
    <xf borderId="7" fillId="0" fontId="5" numFmtId="14" xfId="0" applyAlignment="1" applyBorder="1" applyFont="1" applyNumberFormat="1">
      <alignment horizontal="center" vertical="center"/>
    </xf>
    <xf borderId="8" fillId="0" fontId="5" numFmtId="14" xfId="0" applyAlignment="1" applyBorder="1" applyFont="1" applyNumberFormat="1">
      <alignment horizontal="center" vertical="center"/>
    </xf>
    <xf borderId="0" fillId="0" fontId="5" numFmtId="49" xfId="0" applyAlignment="1" applyFont="1" applyNumberFormat="1">
      <alignment horizontal="center"/>
    </xf>
    <xf borderId="0" fillId="0" fontId="5" numFmtId="0" xfId="0" applyAlignment="1" applyFont="1">
      <alignment horizontal="center"/>
    </xf>
    <xf borderId="0" fillId="0" fontId="6" numFmtId="0" xfId="0" applyFont="1"/>
    <xf borderId="0" fillId="0" fontId="5" numFmtId="0" xfId="0" applyFont="1"/>
    <xf borderId="0" fillId="0" fontId="5" numFmtId="49" xfId="0" applyAlignment="1" applyFont="1" applyNumberFormat="1">
      <alignment horizontal="center" shrinkToFit="0" wrapText="1"/>
    </xf>
    <xf borderId="0" fillId="0" fontId="5" numFmtId="0" xfId="0" applyAlignment="1" applyFont="1">
      <alignment horizontal="center" shrinkToFit="0" wrapText="1"/>
    </xf>
    <xf borderId="4" fillId="0" fontId="5" numFmtId="14" xfId="0" applyAlignment="1" applyBorder="1" applyFont="1" applyNumberFormat="1">
      <alignment horizontal="center" vertical="center"/>
    </xf>
    <xf borderId="4" fillId="0" fontId="5" numFmtId="49" xfId="0" applyAlignment="1" applyBorder="1" applyFont="1" applyNumberFormat="1">
      <alignment horizontal="center" vertical="center"/>
    </xf>
    <xf borderId="4" fillId="0" fontId="5" numFmtId="0" xfId="0" applyAlignment="1" applyBorder="1" applyFont="1">
      <alignment vertical="center"/>
    </xf>
    <xf borderId="2" fillId="0" fontId="5" numFmtId="0" xfId="0" applyAlignment="1" applyBorder="1" applyFont="1">
      <alignment vertical="center"/>
    </xf>
    <xf borderId="1" fillId="6" fontId="7" numFmtId="0" xfId="0" applyAlignment="1" applyBorder="1" applyFill="1" applyFont="1">
      <alignment shrinkToFit="0" vertical="center" wrapText="1"/>
    </xf>
    <xf borderId="9" fillId="6" fontId="7" numFmtId="0" xfId="0" applyAlignment="1" applyBorder="1" applyFont="1">
      <alignment shrinkToFit="0" vertical="center" wrapText="1"/>
    </xf>
    <xf borderId="10" fillId="6" fontId="7" numFmtId="0" xfId="0" applyAlignment="1" applyBorder="1" applyFont="1">
      <alignment shrinkToFit="0" vertical="center" wrapText="1"/>
    </xf>
    <xf borderId="11" fillId="6" fontId="7" numFmtId="0" xfId="0" applyAlignment="1" applyBorder="1" applyFont="1">
      <alignment shrinkToFit="0" vertical="center" wrapText="1"/>
    </xf>
    <xf borderId="12" fillId="6" fontId="8" numFmtId="0" xfId="0" applyAlignment="1" applyBorder="1" applyFont="1">
      <alignment shrinkToFit="0" vertical="center" wrapText="1"/>
    </xf>
    <xf borderId="13" fillId="6" fontId="9" numFmtId="0" xfId="0" applyAlignment="1" applyBorder="1" applyFont="1">
      <alignment shrinkToFit="0" vertical="center" wrapText="1"/>
    </xf>
    <xf borderId="14" fillId="0" fontId="10" numFmtId="0" xfId="0" applyBorder="1" applyFont="1"/>
    <xf borderId="15" fillId="6" fontId="7" numFmtId="0" xfId="0" applyAlignment="1" applyBorder="1" applyFont="1">
      <alignment shrinkToFit="0" vertical="center" wrapText="1"/>
    </xf>
    <xf borderId="12" fillId="6" fontId="11" numFmtId="0" xfId="0" applyAlignment="1" applyBorder="1" applyFont="1">
      <alignment shrinkToFit="0" vertical="center" wrapText="1"/>
    </xf>
    <xf borderId="13" fillId="6" fontId="12" numFmtId="0" xfId="0" applyAlignment="1" applyBorder="1" applyFont="1">
      <alignment shrinkToFit="0" vertical="center" wrapText="1"/>
    </xf>
    <xf borderId="15" fillId="6" fontId="11" numFmtId="0" xfId="0" applyAlignment="1" applyBorder="1" applyFont="1">
      <alignment shrinkToFit="0" vertical="center" wrapText="1"/>
    </xf>
    <xf borderId="12" fillId="6" fontId="13" numFmtId="3" xfId="0" applyAlignment="1" applyBorder="1" applyFont="1" applyNumberFormat="1">
      <alignment horizontal="center" shrinkToFit="0" vertical="center" wrapText="1"/>
    </xf>
    <xf borderId="16" fillId="6" fontId="13" numFmtId="3" xfId="0" applyAlignment="1" applyBorder="1" applyFont="1" applyNumberFormat="1">
      <alignment horizontal="center" shrinkToFit="0" vertical="center" wrapText="1"/>
    </xf>
    <xf borderId="17" fillId="0" fontId="10" numFmtId="0" xfId="0" applyBorder="1" applyFont="1"/>
    <xf borderId="12" fillId="6" fontId="7" numFmtId="0" xfId="0" applyAlignment="1" applyBorder="1" applyFont="1">
      <alignment shrinkToFit="0" vertical="center" wrapText="1"/>
    </xf>
    <xf borderId="13" fillId="6" fontId="7" numFmtId="0" xfId="0" applyAlignment="1" applyBorder="1" applyFont="1">
      <alignment vertical="center"/>
    </xf>
    <xf borderId="1" fillId="6" fontId="7" numFmtId="0" xfId="0" applyAlignment="1" applyBorder="1" applyFont="1">
      <alignment vertical="center"/>
    </xf>
    <xf borderId="18" fillId="0" fontId="10" numFmtId="0" xfId="0" applyBorder="1" applyFont="1"/>
    <xf borderId="15" fillId="6" fontId="7" numFmtId="0" xfId="0" applyAlignment="1" applyBorder="1" applyFont="1">
      <alignment vertical="center"/>
    </xf>
    <xf borderId="12" fillId="6" fontId="7" numFmtId="0" xfId="0" applyAlignment="1" applyBorder="1" applyFont="1">
      <alignment vertical="center"/>
    </xf>
    <xf borderId="1" fillId="6" fontId="14" numFmtId="0" xfId="0" applyAlignment="1" applyBorder="1" applyFont="1">
      <alignment horizontal="center" shrinkToFit="0" vertical="center" wrapText="1"/>
    </xf>
    <xf borderId="1" fillId="6" fontId="15" numFmtId="0" xfId="0" applyAlignment="1" applyBorder="1" applyFont="1">
      <alignment horizontal="right" shrinkToFit="0" vertical="center" wrapText="1"/>
    </xf>
    <xf borderId="19" fillId="6" fontId="8" numFmtId="0" xfId="0" applyAlignment="1" applyBorder="1" applyFont="1">
      <alignment shrinkToFit="0" vertical="center" wrapText="1"/>
    </xf>
    <xf borderId="20" fillId="6" fontId="8" numFmtId="0" xfId="0" applyAlignment="1" applyBorder="1" applyFont="1">
      <alignment shrinkToFit="0" vertical="center" wrapText="1"/>
    </xf>
    <xf borderId="21" fillId="6" fontId="7" numFmtId="0" xfId="0" applyAlignment="1" applyBorder="1" applyFont="1">
      <alignment vertical="center"/>
    </xf>
    <xf borderId="16" fillId="6" fontId="14" numFmtId="0" xfId="0" applyAlignment="1" applyBorder="1" applyFont="1">
      <alignment horizontal="center" shrinkToFit="0" vertical="center" wrapText="1"/>
    </xf>
    <xf borderId="9" fillId="6" fontId="8" numFmtId="0" xfId="0" applyAlignment="1" applyBorder="1" applyFont="1">
      <alignment shrinkToFit="0" vertical="center" wrapText="1"/>
    </xf>
    <xf borderId="22" fillId="6" fontId="9" numFmtId="0" xfId="0" applyAlignment="1" applyBorder="1" applyFont="1">
      <alignment shrinkToFit="0" wrapText="1"/>
    </xf>
    <xf borderId="23" fillId="0" fontId="10" numFmtId="0" xfId="0" applyBorder="1" applyFont="1"/>
    <xf borderId="11" fillId="6" fontId="7" numFmtId="0" xfId="0" applyAlignment="1" applyBorder="1" applyFont="1">
      <alignment vertical="center"/>
    </xf>
    <xf borderId="1" fillId="6" fontId="16" numFmtId="0" xfId="0" applyAlignment="1" applyBorder="1" applyFont="1">
      <alignment horizontal="left" vertical="top"/>
    </xf>
    <xf borderId="1" fillId="6" fontId="6" numFmtId="0" xfId="0" applyBorder="1" applyFont="1"/>
    <xf borderId="12" fillId="6" fontId="8" numFmtId="0" xfId="0" applyAlignment="1" applyBorder="1" applyFont="1">
      <alignment horizontal="center" vertical="center"/>
    </xf>
    <xf borderId="24" fillId="6" fontId="17" numFmtId="0" xfId="0" applyAlignment="1" applyBorder="1" applyFont="1">
      <alignment horizontal="center" vertical="center"/>
    </xf>
    <xf borderId="16" fillId="6" fontId="18" numFmtId="0" xfId="0" applyAlignment="1" applyBorder="1" applyFont="1">
      <alignment vertical="center"/>
    </xf>
    <xf borderId="25" fillId="0" fontId="10" numFmtId="0" xfId="0" applyBorder="1" applyFont="1"/>
    <xf borderId="1" fillId="6" fontId="15" numFmtId="0" xfId="0" applyAlignment="1" applyBorder="1" applyFont="1">
      <alignment horizontal="center" shrinkToFit="0" vertical="center" wrapText="1"/>
    </xf>
    <xf borderId="19" fillId="6" fontId="7" numFmtId="0" xfId="0" applyAlignment="1" applyBorder="1" applyFont="1">
      <alignment vertical="center"/>
    </xf>
    <xf borderId="20" fillId="6" fontId="7" numFmtId="0" xfId="0" applyAlignment="1" applyBorder="1" applyFont="1">
      <alignment vertical="center"/>
    </xf>
    <xf borderId="20" fillId="6" fontId="18" numFmtId="0" xfId="0" applyAlignment="1" applyBorder="1" applyFont="1">
      <alignment vertical="top"/>
    </xf>
    <xf borderId="1" fillId="6" fontId="18" numFmtId="0" xfId="0" applyAlignment="1" applyBorder="1" applyFont="1">
      <alignment vertical="top"/>
    </xf>
    <xf borderId="1" fillId="7" fontId="1" numFmtId="49" xfId="0" applyAlignment="1" applyBorder="1" applyFill="1" applyFont="1" applyNumberFormat="1">
      <alignment horizontal="center" shrinkToFit="0" vertical="center" wrapText="1"/>
    </xf>
    <xf borderId="1" fillId="7" fontId="1" numFmtId="0" xfId="0" applyAlignment="1" applyBorder="1" applyFont="1">
      <alignment horizontal="center" shrinkToFit="0" vertical="center" wrapText="1"/>
    </xf>
    <xf borderId="1" fillId="7" fontId="1" numFmtId="9" xfId="0" applyAlignment="1" applyBorder="1" applyFont="1" applyNumberFormat="1">
      <alignment horizontal="center" shrinkToFit="0" vertical="center" wrapText="1"/>
    </xf>
    <xf borderId="0" fillId="0" fontId="2" numFmtId="49" xfId="0" applyAlignment="1" applyFont="1" applyNumberFormat="1">
      <alignment horizontal="left" vertical="center"/>
    </xf>
    <xf borderId="0" fillId="0" fontId="2" numFmtId="0" xfId="0" applyAlignment="1" applyFont="1">
      <alignment vertical="center"/>
    </xf>
    <xf borderId="0" fillId="0" fontId="2" numFmtId="0" xfId="0" applyAlignment="1" applyFont="1">
      <alignment horizontal="center" vertical="center"/>
    </xf>
    <xf borderId="0" fillId="0" fontId="2" numFmtId="9" xfId="0" applyAlignment="1" applyFont="1" applyNumberFormat="1">
      <alignment horizontal="center" vertical="center"/>
    </xf>
    <xf borderId="24" fillId="5" fontId="1" numFmtId="0" xfId="0" applyAlignment="1" applyBorder="1" applyFont="1">
      <alignment horizontal="left" shrinkToFit="0" vertical="center" wrapText="1"/>
    </xf>
    <xf borderId="24" fillId="5" fontId="1" numFmtId="0" xfId="0" applyAlignment="1" applyBorder="1" applyFont="1">
      <alignment horizontal="right" shrinkToFit="0" vertical="center" wrapText="1"/>
    </xf>
    <xf borderId="24" fillId="5" fontId="1" numFmtId="49" xfId="0" applyAlignment="1" applyBorder="1" applyFont="1" applyNumberFormat="1">
      <alignment horizontal="left" shrinkToFit="0" vertical="center" wrapText="1"/>
    </xf>
    <xf borderId="24" fillId="5" fontId="1" numFmtId="0" xfId="0" applyAlignment="1" applyBorder="1" applyFont="1">
      <alignment horizontal="center" shrinkToFit="0" vertical="center" wrapText="1"/>
    </xf>
    <xf borderId="26" fillId="0" fontId="2" numFmtId="14" xfId="0" applyAlignment="1" applyBorder="1" applyFont="1" applyNumberFormat="1">
      <alignment horizontal="left" readingOrder="0" shrinkToFit="0" vertical="center" wrapText="1"/>
    </xf>
    <xf borderId="26" fillId="0" fontId="2" numFmtId="0" xfId="0" applyAlignment="1" applyBorder="1" applyFont="1">
      <alignment horizontal="left" readingOrder="0" shrinkToFit="0" vertical="center" wrapText="1"/>
    </xf>
    <xf borderId="26" fillId="0" fontId="2" numFmtId="49" xfId="0" applyAlignment="1" applyBorder="1" applyFont="1" applyNumberFormat="1">
      <alignment horizontal="left" readingOrder="0" shrinkToFit="0" vertical="center" wrapText="1"/>
    </xf>
    <xf borderId="26" fillId="0" fontId="2" numFmtId="0" xfId="0" applyAlignment="1" applyBorder="1" applyFont="1">
      <alignment horizontal="center" readingOrder="0" shrinkToFit="0" vertical="center" wrapText="1"/>
    </xf>
    <xf borderId="26" fillId="0" fontId="2" numFmtId="0" xfId="0" applyAlignment="1" applyBorder="1" applyFont="1">
      <alignment horizontal="left" shrinkToFit="0" vertical="center" wrapText="1"/>
    </xf>
    <xf borderId="26" fillId="0" fontId="5" numFmtId="14" xfId="0" applyAlignment="1" applyBorder="1" applyFont="1" applyNumberFormat="1">
      <alignment horizontal="left" readingOrder="0" vertical="center"/>
    </xf>
    <xf borderId="0" fillId="0" fontId="19" numFmtId="0" xfId="0" applyAlignment="1" applyFont="1">
      <alignment readingOrder="0" shrinkToFit="0" wrapText="1"/>
    </xf>
    <xf borderId="26" fillId="4" fontId="20" numFmtId="0" xfId="0" applyAlignment="1" applyBorder="1" applyFont="1">
      <alignment readingOrder="0"/>
    </xf>
    <xf borderId="26" fillId="8" fontId="2" numFmtId="49" xfId="0" applyAlignment="1" applyBorder="1" applyFill="1" applyFont="1" applyNumberFormat="1">
      <alignment horizontal="left" readingOrder="0" shrinkToFit="0" vertical="center" wrapText="1"/>
    </xf>
    <xf borderId="26" fillId="4" fontId="3" numFmtId="14" xfId="0" applyAlignment="1" applyBorder="1" applyFont="1" applyNumberFormat="1">
      <alignment horizontal="left" readingOrder="0"/>
    </xf>
    <xf borderId="26" fillId="4" fontId="3" numFmtId="0" xfId="0" applyAlignment="1" applyBorder="1" applyFont="1">
      <alignment horizontal="left" readingOrder="0"/>
    </xf>
    <xf borderId="26" fillId="4" fontId="21" numFmtId="0" xfId="0" applyAlignment="1" applyBorder="1" applyFont="1">
      <alignment horizontal="left" readingOrder="0"/>
    </xf>
    <xf borderId="26" fillId="0" fontId="22" numFmtId="0" xfId="0" applyAlignment="1" applyBorder="1" applyFont="1">
      <alignment shrinkToFit="0" wrapText="0"/>
    </xf>
    <xf borderId="26" fillId="0" fontId="3" numFmtId="0" xfId="0" applyAlignment="1" applyBorder="1" applyFont="1">
      <alignment horizontal="left" readingOrder="0" shrinkToFit="0" vertical="center" wrapText="0"/>
    </xf>
    <xf borderId="26" fillId="9" fontId="2" numFmtId="49" xfId="0" applyAlignment="1" applyBorder="1" applyFill="1" applyFont="1" applyNumberFormat="1">
      <alignment horizontal="left" readingOrder="0" shrinkToFit="0" vertical="center" wrapText="1"/>
    </xf>
    <xf borderId="26" fillId="0" fontId="22" numFmtId="0" xfId="0" applyAlignment="1" applyBorder="1" applyFont="1">
      <alignment shrinkToFit="0" wrapText="0"/>
    </xf>
    <xf borderId="26" fillId="0" fontId="22" numFmtId="0" xfId="0" applyAlignment="1" applyBorder="1" applyFont="1">
      <alignment readingOrder="0" shrinkToFit="0" wrapText="0"/>
    </xf>
    <xf borderId="26" fillId="10" fontId="2" numFmtId="49" xfId="0" applyAlignment="1" applyBorder="1" applyFill="1" applyFont="1" applyNumberFormat="1">
      <alignment horizontal="left" readingOrder="0" shrinkToFit="0" vertical="center" wrapText="1"/>
    </xf>
    <xf borderId="26" fillId="0" fontId="3" numFmtId="0" xfId="0" applyAlignment="1" applyBorder="1" applyFont="1">
      <alignment horizontal="left" readingOrder="0" shrinkToFit="0" vertical="center" wrapText="1"/>
    </xf>
    <xf borderId="26" fillId="0" fontId="23" numFmtId="0" xfId="0" applyAlignment="1" applyBorder="1" applyFont="1">
      <alignment readingOrder="0"/>
    </xf>
    <xf borderId="26" fillId="0" fontId="22" numFmtId="0" xfId="0" applyAlignment="1" applyBorder="1" applyFont="1">
      <alignment shrinkToFit="0" vertical="bottom" wrapText="0"/>
    </xf>
    <xf borderId="26" fillId="4" fontId="3" numFmtId="164" xfId="0" applyAlignment="1" applyBorder="1" applyFont="1" applyNumberFormat="1">
      <alignment horizontal="left" readingOrder="0"/>
    </xf>
    <xf borderId="27" fillId="0" fontId="22" numFmtId="0" xfId="0" applyAlignment="1" applyBorder="1" applyFont="1">
      <alignment shrinkToFit="0" wrapText="0"/>
    </xf>
    <xf borderId="28" fillId="0" fontId="22" numFmtId="0" xfId="0" applyAlignment="1" applyBorder="1" applyFont="1">
      <alignment shrinkToFit="0" wrapText="0"/>
    </xf>
    <xf borderId="1" fillId="4" fontId="3" numFmtId="14" xfId="0" applyAlignment="1" applyBorder="1" applyFont="1" applyNumberFormat="1">
      <alignment horizontal="left" readingOrder="0"/>
    </xf>
    <xf borderId="26" fillId="0" fontId="6" numFmtId="0" xfId="0" applyAlignment="1" applyBorder="1" applyFont="1">
      <alignment horizontal="left" readingOrder="0" vertical="center"/>
    </xf>
    <xf borderId="26" fillId="0" fontId="24" numFmtId="0" xfId="0" applyAlignment="1" applyBorder="1" applyFont="1">
      <alignment readingOrder="0" shrinkToFit="0" wrapText="1"/>
    </xf>
    <xf borderId="26" fillId="0" fontId="19" numFmtId="0" xfId="0" applyAlignment="1" applyBorder="1" applyFont="1">
      <alignment readingOrder="0"/>
    </xf>
    <xf borderId="26" fillId="0" fontId="19" numFmtId="0" xfId="0" applyAlignment="1" applyBorder="1" applyFont="1">
      <alignment readingOrder="0" shrinkToFit="0" wrapText="1"/>
    </xf>
    <xf borderId="26" fillId="0" fontId="19" numFmtId="0" xfId="0" applyBorder="1" applyFont="1"/>
    <xf borderId="26" fillId="0" fontId="2" numFmtId="0" xfId="0" applyAlignment="1" applyBorder="1" applyFont="1">
      <alignment horizontal="center" shrinkToFit="0" vertical="center" wrapText="1"/>
    </xf>
    <xf borderId="26" fillId="8" fontId="19" numFmtId="0" xfId="0" applyAlignment="1" applyBorder="1" applyFont="1">
      <alignment readingOrder="0" shrinkToFit="0" wrapText="1"/>
    </xf>
    <xf borderId="26" fillId="4" fontId="3" numFmtId="14" xfId="0" applyAlignment="1" applyBorder="1" applyFont="1" applyNumberFormat="1">
      <alignment horizontal="left" readingOrder="0" shrinkToFit="0" vertical="center" wrapText="1"/>
    </xf>
    <xf borderId="26" fillId="0" fontId="19" numFmtId="0" xfId="0" applyAlignment="1" applyBorder="1" applyFont="1">
      <alignment readingOrder="0" shrinkToFit="0" vertical="center" wrapText="1"/>
    </xf>
    <xf borderId="26" fillId="0" fontId="24" numFmtId="0" xfId="0" applyAlignment="1" applyBorder="1" applyFont="1">
      <alignment shrinkToFit="0" wrapText="1"/>
    </xf>
    <xf borderId="26" fillId="0" fontId="24" numFmtId="0" xfId="0" applyAlignment="1" applyBorder="1" applyFont="1">
      <alignment shrinkToFit="0" wrapText="1"/>
    </xf>
    <xf borderId="26" fillId="0" fontId="24" numFmtId="0" xfId="0" applyAlignment="1" applyBorder="1" applyFont="1">
      <alignment horizontal="left" readingOrder="0" shrinkToFit="0" wrapText="1"/>
    </xf>
    <xf borderId="26" fillId="9" fontId="19" numFmtId="0" xfId="0" applyAlignment="1" applyBorder="1" applyFont="1">
      <alignment readingOrder="0" shrinkToFit="0" wrapText="1"/>
    </xf>
    <xf borderId="26" fillId="0" fontId="19" numFmtId="0" xfId="0" applyAlignment="1" applyBorder="1" applyFont="1">
      <alignment horizontal="center" readingOrder="0"/>
    </xf>
    <xf borderId="26" fillId="0" fontId="19" numFmtId="0" xfId="0" applyAlignment="1" applyBorder="1" applyFont="1">
      <alignment horizontal="center"/>
    </xf>
    <xf borderId="26" fillId="0" fontId="24" numFmtId="0" xfId="0" applyAlignment="1" applyBorder="1" applyFont="1">
      <alignment shrinkToFit="0" wrapText="0"/>
    </xf>
    <xf borderId="26" fillId="0" fontId="24" numFmtId="0" xfId="0" applyAlignment="1" applyBorder="1" applyFont="1">
      <alignment horizontal="left" shrinkToFit="0" wrapText="1"/>
    </xf>
    <xf borderId="26" fillId="9" fontId="19" numFmtId="0" xfId="0" applyAlignment="1" applyBorder="1" applyFont="1">
      <alignment shrinkToFit="0" wrapText="1"/>
    </xf>
    <xf borderId="0" fillId="0" fontId="19" numFmtId="0" xfId="0" applyAlignment="1" applyFont="1">
      <alignment shrinkToFit="0" wrapText="1"/>
    </xf>
    <xf borderId="1" fillId="5" fontId="1" numFmtId="0" xfId="0" applyAlignment="1" applyBorder="1" applyFont="1">
      <alignment horizontal="left" shrinkToFit="0" vertical="center" wrapText="1"/>
    </xf>
    <xf borderId="1" fillId="5" fontId="1" numFmtId="0" xfId="0" applyAlignment="1" applyBorder="1" applyFont="1">
      <alignment horizontal="right" shrinkToFit="0" vertical="center" wrapText="1"/>
    </xf>
    <xf borderId="1" fillId="5" fontId="1" numFmtId="49" xfId="0" applyAlignment="1" applyBorder="1" applyFont="1" applyNumberFormat="1">
      <alignment horizontal="left" shrinkToFit="0" vertical="center" wrapText="1"/>
    </xf>
    <xf borderId="29" fillId="0" fontId="2" numFmtId="14" xfId="0" applyAlignment="1" applyBorder="1" applyFont="1" applyNumberFormat="1">
      <alignment horizontal="left" shrinkToFit="0" vertical="center" wrapText="1"/>
    </xf>
    <xf borderId="29" fillId="0" fontId="2" numFmtId="0" xfId="0" applyAlignment="1" applyBorder="1" applyFont="1">
      <alignment horizontal="left" readingOrder="0" shrinkToFit="0" vertical="center" wrapText="1"/>
    </xf>
    <xf borderId="29" fillId="0" fontId="2" numFmtId="0" xfId="0" applyAlignment="1" applyBorder="1" applyFont="1">
      <alignment horizontal="left" shrinkToFit="0" vertical="center" wrapText="1"/>
    </xf>
    <xf borderId="29" fillId="0" fontId="2" numFmtId="0" xfId="0" applyAlignment="1" applyBorder="1" applyFont="1">
      <alignment horizontal="right" shrinkToFit="0" vertical="center" wrapText="1"/>
    </xf>
    <xf borderId="29" fillId="0" fontId="2" numFmtId="0" xfId="0" applyAlignment="1" applyBorder="1" applyFont="1">
      <alignment horizontal="center" shrinkToFit="0" vertical="center" wrapText="1"/>
    </xf>
    <xf borderId="29" fillId="0" fontId="2" numFmtId="0" xfId="0" applyAlignment="1" applyBorder="1" applyFont="1">
      <alignment horizontal="center" readingOrder="0" shrinkToFit="0" vertical="center" wrapText="1"/>
    </xf>
    <xf borderId="29" fillId="0" fontId="2" numFmtId="49" xfId="0" applyAlignment="1" applyBorder="1" applyFont="1" applyNumberFormat="1">
      <alignment horizontal="left" readingOrder="0" shrinkToFit="0" vertical="center" wrapText="1"/>
    </xf>
    <xf borderId="29" fillId="0" fontId="2" numFmtId="49" xfId="0" applyAlignment="1" applyBorder="1" applyFont="1" applyNumberFormat="1">
      <alignment horizontal="left" shrinkToFit="0" vertical="center" wrapText="1"/>
    </xf>
    <xf borderId="7" fillId="0" fontId="2" numFmtId="0" xfId="0" applyAlignment="1" applyBorder="1" applyFont="1">
      <alignment horizontal="left" shrinkToFit="0" vertical="center" wrapText="1"/>
    </xf>
    <xf borderId="7" fillId="0" fontId="2" numFmtId="0" xfId="0" applyAlignment="1" applyBorder="1" applyFont="1">
      <alignment horizontal="right" shrinkToFit="0" vertical="center" wrapText="1"/>
    </xf>
    <xf borderId="29" fillId="0" fontId="2" numFmtId="14" xfId="0" applyAlignment="1" applyBorder="1" applyFont="1" applyNumberFormat="1">
      <alignment horizontal="right" shrinkToFit="0" vertical="center" wrapText="1"/>
    </xf>
    <xf borderId="29" fillId="0" fontId="2" numFmtId="49" xfId="0" applyAlignment="1" applyBorder="1" applyFont="1" applyNumberFormat="1">
      <alignment horizontal="center" shrinkToFit="0" vertical="center" wrapText="1"/>
    </xf>
    <xf borderId="1" fillId="7" fontId="25" numFmtId="0" xfId="0" applyAlignment="1" applyBorder="1" applyFont="1">
      <alignment horizontal="center" shrinkToFit="0" vertical="center" wrapText="1"/>
    </xf>
    <xf borderId="1" fillId="11" fontId="2" numFmtId="0" xfId="0" applyAlignment="1" applyBorder="1" applyFill="1" applyFont="1">
      <alignment horizontal="center" vertical="center"/>
    </xf>
    <xf borderId="0" fillId="0" fontId="2" numFmtId="49" xfId="0" applyAlignment="1" applyFont="1" applyNumberFormat="1">
      <alignment vertical="center"/>
    </xf>
    <xf borderId="1" fillId="12" fontId="26" numFmtId="0" xfId="0" applyAlignment="1" applyBorder="1" applyFill="1" applyFont="1">
      <alignment horizontal="center" shrinkToFit="0" vertical="center" wrapText="1"/>
    </xf>
    <xf borderId="1" fillId="7" fontId="26" numFmtId="0" xfId="0" applyAlignment="1" applyBorder="1" applyFont="1">
      <alignment horizontal="center" shrinkToFit="0" vertical="center" wrapText="1"/>
    </xf>
    <xf borderId="15" fillId="12" fontId="26" numFmtId="0" xfId="0" applyAlignment="1" applyBorder="1" applyFont="1">
      <alignment horizontal="center" shrinkToFit="0" vertical="center" wrapText="1"/>
    </xf>
    <xf borderId="1" fillId="7" fontId="6" numFmtId="0" xfId="0" applyAlignment="1" applyBorder="1" applyFont="1">
      <alignment vertical="center"/>
    </xf>
    <xf borderId="15" fillId="7" fontId="6" numFmtId="0" xfId="0" applyAlignment="1" applyBorder="1" applyFont="1">
      <alignment vertical="center"/>
    </xf>
    <xf borderId="1" fillId="12" fontId="6" numFmtId="1" xfId="0" applyAlignment="1" applyBorder="1" applyFont="1" applyNumberFormat="1">
      <alignment vertical="center"/>
    </xf>
    <xf borderId="1" fillId="7" fontId="26" numFmtId="0" xfId="0" applyAlignment="1" applyBorder="1" applyFont="1">
      <alignment horizontal="center"/>
    </xf>
    <xf borderId="1" fillId="12" fontId="2" numFmtId="14" xfId="0" applyBorder="1" applyFont="1" applyNumberFormat="1"/>
    <xf borderId="1" fillId="12" fontId="2" numFmtId="0" xfId="0" applyBorder="1" applyFont="1"/>
    <xf borderId="1" fillId="7" fontId="2" numFmtId="0" xfId="0" applyBorder="1" applyFont="1"/>
    <xf borderId="13" fillId="7" fontId="26" numFmtId="0" xfId="0" applyAlignment="1" applyBorder="1" applyFont="1">
      <alignment horizontal="left"/>
    </xf>
  </cellXfs>
  <cellStyles count="1">
    <cellStyle xfId="0" name="Normal" builtinId="0"/>
  </cellStyles>
  <dxfs count="2">
    <dxf>
      <font>
        <i/>
        <color rgb="FF999999"/>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EFEFEF"/>
                </a:solidFill>
                <a:latin typeface="Roboto"/>
              </a:defRPr>
            </a:pPr>
            <a:r>
              <a:rPr b="0" i="0">
                <a:solidFill>
                  <a:srgbClr val="EFEFEF"/>
                </a:solidFill>
                <a:latin typeface="Roboto"/>
              </a:rPr>
              <a:t>Volume of items per day (last 15 days)</a:t>
            </a:r>
          </a:p>
        </c:rich>
      </c:tx>
      <c:overlay val="0"/>
    </c:title>
    <c:plotArea>
      <c:layout/>
      <c:areaChart>
        <c:grouping val="stacked"/>
        <c:ser>
          <c:idx val="0"/>
          <c:order val="0"/>
          <c:tx>
            <c:v>In</c:v>
          </c:tx>
          <c:spPr>
            <a:solidFill>
              <a:srgbClr val="00C1FF">
                <a:alpha val="30000"/>
              </a:srgbClr>
            </a:solidFill>
            <a:ln cmpd="sng" w="38100">
              <a:solidFill>
                <a:srgbClr val="00C1FF">
                  <a:alpha val="100000"/>
                </a:srgbClr>
              </a:solidFill>
            </a:ln>
          </c:spPr>
          <c:cat>
            <c:strRef>
              <c:f>'Data preparation (Last 15 days)'!$A$2:$A$16</c:f>
            </c:strRef>
          </c:cat>
          <c:val>
            <c:numRef>
              <c:f>'Data preparation (Last 15 days)'!$B$2:$B$16</c:f>
              <c:numCache/>
            </c:numRef>
          </c:val>
        </c:ser>
        <c:ser>
          <c:idx val="1"/>
          <c:order val="1"/>
          <c:tx>
            <c:v>Out</c:v>
          </c:tx>
          <c:spPr>
            <a:solidFill>
              <a:srgbClr val="FF5C5C">
                <a:alpha val="30000"/>
              </a:srgbClr>
            </a:solidFill>
            <a:ln cmpd="sng" w="19050">
              <a:solidFill>
                <a:srgbClr val="FF5C5C">
                  <a:alpha val="100000"/>
                </a:srgbClr>
              </a:solidFill>
            </a:ln>
          </c:spPr>
          <c:cat>
            <c:strRef>
              <c:f>'Data preparation (Last 15 days)'!$A$2:$A$16</c:f>
            </c:strRef>
          </c:cat>
          <c:val>
            <c:numRef>
              <c:f>'Data preparation (Last 15 days)'!$C$2:$C$16</c:f>
              <c:numCache/>
            </c:numRef>
          </c:val>
        </c:ser>
        <c:axId val="253614979"/>
        <c:axId val="320806515"/>
      </c:areaChart>
      <c:catAx>
        <c:axId val="253614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EFEFEF"/>
                </a:solidFill>
                <a:latin typeface="Roboto"/>
              </a:defRPr>
            </a:pPr>
          </a:p>
        </c:txPr>
        <c:crossAx val="320806515"/>
      </c:catAx>
      <c:valAx>
        <c:axId val="3208065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EFEFEF"/>
                </a:solidFill>
                <a:latin typeface="Roboto"/>
              </a:defRPr>
            </a:pPr>
          </a:p>
        </c:txPr>
        <c:crossAx val="253614979"/>
      </c:valAx>
    </c:plotArea>
    <c:legend>
      <c:legendPos val="t"/>
      <c:overlay val="0"/>
      <c:txPr>
        <a:bodyPr/>
        <a:lstStyle/>
        <a:p>
          <a:pPr lvl="0">
            <a:defRPr b="0" i="0">
              <a:solidFill>
                <a:srgbClr val="EFEFEF"/>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EFEFEF"/>
                </a:solidFill>
                <a:latin typeface="Roboto"/>
              </a:defRPr>
            </a:pPr>
            <a:r>
              <a:rPr b="0" i="0">
                <a:solidFill>
                  <a:srgbClr val="EFEFEF"/>
                </a:solidFill>
                <a:latin typeface="Roboto"/>
              </a:rPr>
              <a:t>Average check-out items per weekday</a:t>
            </a:r>
          </a:p>
        </c:rich>
      </c:tx>
      <c:overlay val="0"/>
    </c:title>
    <c:plotArea>
      <c:layout/>
      <c:barChart>
        <c:barDir val="bar"/>
        <c:ser>
          <c:idx val="0"/>
          <c:order val="0"/>
          <c:tx>
            <c:strRef>
              <c:f>'Data preparation (Week analysis'!$E$1</c:f>
            </c:strRef>
          </c:tx>
          <c:cat>
            <c:strRef>
              <c:f>'Data preparation (Week analysis'!$D$2:$D$8</c:f>
            </c:strRef>
          </c:cat>
          <c:val>
            <c:numRef>
              <c:f>'Data preparation (Week analysis'!$E$2:$E$8</c:f>
              <c:numCache/>
            </c:numRef>
          </c:val>
        </c:ser>
        <c:axId val="787073174"/>
        <c:axId val="1076760857"/>
      </c:barChart>
      <c:catAx>
        <c:axId val="78707317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EFEFEF"/>
                </a:solidFill>
                <a:latin typeface="Roboto"/>
              </a:defRPr>
            </a:pPr>
          </a:p>
        </c:txPr>
        <c:crossAx val="1076760857"/>
      </c:catAx>
      <c:valAx>
        <c:axId val="1076760857"/>
        <c:scaling>
          <c:orientation val="minMax"/>
        </c:scaling>
        <c:delete val="0"/>
        <c:axPos val="b"/>
        <c:tickLblPos val="nextTo"/>
        <c:spPr>
          <a:ln>
            <a:noFill/>
          </a:ln>
        </c:spPr>
        <c:crossAx val="787073174"/>
        <c:crosses val="max"/>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EFEFEF"/>
                </a:solidFill>
                <a:latin typeface="Roboto"/>
              </a:defRPr>
            </a:pPr>
            <a:r>
              <a:rPr b="0" i="0">
                <a:solidFill>
                  <a:srgbClr val="EFEFEF"/>
                </a:solidFill>
                <a:latin typeface="Roboto"/>
              </a:rPr>
              <a:t>Over sold items</a:t>
            </a:r>
          </a:p>
        </c:rich>
      </c:tx>
      <c:overlay val="0"/>
    </c:title>
    <c:plotArea>
      <c:layout/>
      <c:barChart>
        <c:barDir val="col"/>
        <c:ser>
          <c:idx val="0"/>
          <c:order val="0"/>
          <c:tx>
            <c:strRef>
              <c:f>'Data preparation (Over sold ite'!$B$1</c:f>
            </c:strRef>
          </c:tx>
          <c:spPr>
            <a:solidFill>
              <a:schemeClr val="accent1"/>
            </a:solidFill>
            <a:ln cmpd="sng">
              <a:solidFill>
                <a:srgbClr val="000000"/>
              </a:solidFill>
            </a:ln>
          </c:spPr>
          <c:cat>
            <c:strRef>
              <c:f>'Data preparation (Over sold ite'!$A$2:$A$15</c:f>
            </c:strRef>
          </c:cat>
          <c:val>
            <c:numRef>
              <c:f>'Data preparation (Over sold ite'!$B$2:$B$15</c:f>
              <c:numCache/>
            </c:numRef>
          </c:val>
        </c:ser>
        <c:ser>
          <c:idx val="1"/>
          <c:order val="1"/>
          <c:tx>
            <c:strRef>
              <c:f>'Data preparation (Over sold ite'!$C$1</c:f>
            </c:strRef>
          </c:tx>
          <c:cat>
            <c:strRef>
              <c:f>'Data preparation (Over sold ite'!$A$2:$A$15</c:f>
            </c:strRef>
          </c:cat>
          <c:val>
            <c:numRef>
              <c:f>'Data preparation (Over sold ite'!$C$2:$C$15</c:f>
              <c:numCache/>
            </c:numRef>
          </c:val>
        </c:ser>
        <c:ser>
          <c:idx val="2"/>
          <c:order val="2"/>
          <c:tx>
            <c:strRef>
              <c:f>'Data preparation (Over sold ite'!$D$1</c:f>
            </c:strRef>
          </c:tx>
          <c:cat>
            <c:strRef>
              <c:f>'Data preparation (Over sold ite'!$A$2:$A$15</c:f>
            </c:strRef>
          </c:cat>
          <c:val>
            <c:numRef>
              <c:f>'Data preparation (Over sold ite'!$D$2:$D$15</c:f>
              <c:numCache/>
            </c:numRef>
          </c:val>
        </c:ser>
        <c:ser>
          <c:idx val="3"/>
          <c:order val="3"/>
          <c:tx>
            <c:strRef>
              <c:f>'Data preparation (Over sold ite'!$E$1</c:f>
            </c:strRef>
          </c:tx>
          <c:cat>
            <c:strRef>
              <c:f>'Data preparation (Over sold ite'!$A$2:$A$15</c:f>
            </c:strRef>
          </c:cat>
          <c:val>
            <c:numRef>
              <c:f>'Data preparation (Over sold ite'!$E$2:$E$15</c:f>
              <c:numCache/>
            </c:numRef>
          </c:val>
        </c:ser>
        <c:axId val="1910902724"/>
        <c:axId val="266865711"/>
      </c:barChart>
      <c:catAx>
        <c:axId val="1910902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EFEFEF"/>
                </a:solidFill>
                <a:latin typeface="Roboto"/>
              </a:defRPr>
            </a:pPr>
          </a:p>
        </c:txPr>
        <c:crossAx val="266865711"/>
      </c:catAx>
      <c:valAx>
        <c:axId val="26686571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i="0">
                <a:solidFill>
                  <a:srgbClr val="000000"/>
                </a:solidFill>
                <a:latin typeface="+mn-lt"/>
              </a:defRPr>
            </a:pPr>
          </a:p>
        </c:txPr>
        <c:crossAx val="1910902724"/>
      </c:valAx>
    </c:plotArea>
    <c:legend>
      <c:legendPos val="r"/>
      <c:overlay val="0"/>
      <c:txPr>
        <a:bodyPr/>
        <a:lstStyle/>
        <a:p>
          <a:pPr lvl="0">
            <a:defRPr b="0" i="0">
              <a:solidFill>
                <a:srgbClr val="EFEFEF"/>
              </a:solidFill>
              <a:latin typeface="Roboto"/>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14</xdr:row>
      <xdr:rowOff>9525</xdr:rowOff>
    </xdr:from>
    <xdr:ext cx="5172075" cy="3600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219075</xdr:colOff>
      <xdr:row>14</xdr:row>
      <xdr:rowOff>9525</xdr:rowOff>
    </xdr:from>
    <xdr:ext cx="4857750" cy="3600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180975</xdr:colOff>
      <xdr:row>14</xdr:row>
      <xdr:rowOff>9525</xdr:rowOff>
    </xdr:from>
    <xdr:ext cx="5219700" cy="3600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447675</xdr:colOff>
      <xdr:row>2</xdr:row>
      <xdr:rowOff>76200</xdr:rowOff>
    </xdr:from>
    <xdr:ext cx="2019300" cy="12954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266700</xdr:colOff>
      <xdr:row>7</xdr:row>
      <xdr:rowOff>342900</xdr:rowOff>
    </xdr:from>
    <xdr:ext cx="1200150" cy="2571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3" max="3" width="50.13"/>
    <col customWidth="1" min="4" max="5" width="15.13"/>
  </cols>
  <sheetData>
    <row r="1" ht="35.25" customHeight="1">
      <c r="A1" s="1" t="s">
        <v>0</v>
      </c>
      <c r="B1" s="1" t="s">
        <v>1</v>
      </c>
      <c r="C1" s="2" t="str">
        <f t="array" ref="C1:C992">IF(ROW(A1:A992)=1,"Item name (automatic fill)",IF(B1:B992="","",VLOOKUP(B1:B992,'Check-in'!B:C,2,FALSE)))</f>
        <v>Item name (automatic fill)</v>
      </c>
      <c r="D1" s="1" t="s">
        <v>2</v>
      </c>
      <c r="E1" s="1" t="str">
        <f t="array" ref="E1:E992">IF(ROW(A1:A992)=1,"Unit of measure (automatic fill)",IF(B1:B992="","",VLOOKUP(B1:B992,'Check-in'!B:E,4,FALSE)))</f>
        <v>Unit of measure (automatic fill)</v>
      </c>
    </row>
    <row r="2" ht="22.5" customHeight="1">
      <c r="A2" s="3"/>
      <c r="B2" s="4" t="s">
        <v>3</v>
      </c>
      <c r="C2" s="5" t="s">
        <v>4</v>
      </c>
      <c r="D2" s="6">
        <v>1.0</v>
      </c>
      <c r="E2" s="5" t="s">
        <v>5</v>
      </c>
    </row>
    <row r="3" ht="22.5" customHeight="1">
      <c r="A3" s="3"/>
      <c r="B3" s="7"/>
      <c r="C3" s="8" t="s">
        <v>6</v>
      </c>
      <c r="D3" s="6"/>
      <c r="E3" s="8" t="s">
        <v>6</v>
      </c>
    </row>
    <row r="4" ht="22.5" customHeight="1">
      <c r="A4" s="3"/>
      <c r="B4" s="7"/>
      <c r="C4" s="8" t="s">
        <v>6</v>
      </c>
      <c r="D4" s="6"/>
      <c r="E4" s="8" t="s">
        <v>6</v>
      </c>
    </row>
    <row r="5" ht="22.5" customHeight="1">
      <c r="A5" s="9"/>
      <c r="B5" s="7"/>
      <c r="C5" s="8" t="s">
        <v>6</v>
      </c>
      <c r="D5" s="6"/>
      <c r="E5" s="8" t="s">
        <v>6</v>
      </c>
    </row>
    <row r="6" ht="22.5" customHeight="1">
      <c r="A6" s="9"/>
      <c r="B6" s="7"/>
      <c r="C6" s="8" t="s">
        <v>6</v>
      </c>
      <c r="D6" s="6"/>
      <c r="E6" s="8" t="s">
        <v>6</v>
      </c>
    </row>
    <row r="7" ht="22.5" customHeight="1">
      <c r="A7" s="9"/>
      <c r="B7" s="7"/>
      <c r="C7" s="8" t="s">
        <v>6</v>
      </c>
      <c r="D7" s="6"/>
      <c r="E7" s="8" t="s">
        <v>6</v>
      </c>
    </row>
    <row r="8" ht="22.5" customHeight="1">
      <c r="A8" s="9"/>
      <c r="B8" s="7"/>
      <c r="C8" s="8" t="s">
        <v>6</v>
      </c>
      <c r="D8" s="6"/>
      <c r="E8" s="8" t="s">
        <v>6</v>
      </c>
    </row>
    <row r="9" ht="22.5" customHeight="1">
      <c r="A9" s="9"/>
      <c r="B9" s="7"/>
      <c r="C9" s="8" t="s">
        <v>6</v>
      </c>
      <c r="D9" s="10"/>
      <c r="E9" s="8" t="s">
        <v>6</v>
      </c>
    </row>
    <row r="10" ht="22.5" customHeight="1">
      <c r="A10" s="9"/>
      <c r="B10" s="7"/>
      <c r="C10" s="8" t="s">
        <v>6</v>
      </c>
      <c r="D10" s="10"/>
      <c r="E10" s="8" t="s">
        <v>6</v>
      </c>
    </row>
    <row r="11" ht="22.5" customHeight="1">
      <c r="A11" s="9"/>
      <c r="B11" s="7"/>
      <c r="C11" s="8" t="s">
        <v>6</v>
      </c>
      <c r="D11" s="10"/>
      <c r="E11" s="8" t="s">
        <v>6</v>
      </c>
    </row>
    <row r="12" ht="22.5" customHeight="1">
      <c r="A12" s="9"/>
      <c r="B12" s="7"/>
      <c r="C12" s="8" t="s">
        <v>6</v>
      </c>
      <c r="D12" s="10"/>
      <c r="E12" s="8" t="s">
        <v>6</v>
      </c>
    </row>
    <row r="13" ht="22.5" customHeight="1">
      <c r="A13" s="9"/>
      <c r="B13" s="7"/>
      <c r="C13" s="8" t="s">
        <v>6</v>
      </c>
      <c r="D13" s="10"/>
      <c r="E13" s="8" t="s">
        <v>6</v>
      </c>
    </row>
    <row r="14" ht="22.5" customHeight="1">
      <c r="A14" s="9"/>
      <c r="B14" s="7"/>
      <c r="C14" s="8" t="s">
        <v>6</v>
      </c>
      <c r="D14" s="10"/>
      <c r="E14" s="8" t="s">
        <v>6</v>
      </c>
    </row>
    <row r="15" ht="22.5" customHeight="1">
      <c r="A15" s="11"/>
      <c r="B15" s="7"/>
      <c r="C15" s="8" t="s">
        <v>6</v>
      </c>
      <c r="D15" s="10"/>
      <c r="E15" s="8" t="s">
        <v>6</v>
      </c>
    </row>
    <row r="16" ht="22.5" customHeight="1">
      <c r="A16" s="9"/>
      <c r="B16" s="7"/>
      <c r="C16" s="8" t="s">
        <v>6</v>
      </c>
      <c r="D16" s="10"/>
      <c r="E16" s="8" t="s">
        <v>6</v>
      </c>
    </row>
    <row r="17" ht="22.5" customHeight="1">
      <c r="A17" s="9"/>
      <c r="B17" s="7"/>
      <c r="C17" s="8" t="s">
        <v>6</v>
      </c>
      <c r="D17" s="10"/>
      <c r="E17" s="8" t="s">
        <v>6</v>
      </c>
    </row>
    <row r="18" ht="22.5" customHeight="1">
      <c r="A18" s="9"/>
      <c r="B18" s="7"/>
      <c r="C18" s="8" t="s">
        <v>6</v>
      </c>
      <c r="D18" s="10"/>
      <c r="E18" s="8" t="s">
        <v>6</v>
      </c>
    </row>
    <row r="19" ht="22.5" customHeight="1">
      <c r="A19" s="9"/>
      <c r="B19" s="7"/>
      <c r="C19" s="8" t="s">
        <v>6</v>
      </c>
      <c r="D19" s="10"/>
      <c r="E19" s="8" t="s">
        <v>6</v>
      </c>
    </row>
    <row r="20" ht="22.5" customHeight="1">
      <c r="A20" s="9"/>
      <c r="B20" s="7"/>
      <c r="C20" s="8" t="s">
        <v>6</v>
      </c>
      <c r="D20" s="10"/>
      <c r="E20" s="8" t="s">
        <v>6</v>
      </c>
    </row>
    <row r="21" ht="22.5" customHeight="1">
      <c r="A21" s="9"/>
      <c r="B21" s="7"/>
      <c r="C21" s="8" t="s">
        <v>6</v>
      </c>
      <c r="D21" s="10"/>
      <c r="E21" s="8" t="s">
        <v>6</v>
      </c>
    </row>
    <row r="22" ht="22.5" customHeight="1">
      <c r="A22" s="9"/>
      <c r="B22" s="7"/>
      <c r="C22" s="8" t="s">
        <v>6</v>
      </c>
      <c r="D22" s="10"/>
      <c r="E22" s="8" t="s">
        <v>6</v>
      </c>
    </row>
    <row r="23" ht="22.5" customHeight="1">
      <c r="A23" s="9"/>
      <c r="B23" s="7"/>
      <c r="C23" s="8" t="s">
        <v>6</v>
      </c>
      <c r="D23" s="10"/>
      <c r="E23" s="8" t="s">
        <v>6</v>
      </c>
    </row>
    <row r="24" ht="22.5" customHeight="1">
      <c r="A24" s="9"/>
      <c r="B24" s="7"/>
      <c r="C24" s="8" t="s">
        <v>6</v>
      </c>
      <c r="D24" s="10"/>
      <c r="E24" s="8" t="s">
        <v>6</v>
      </c>
    </row>
    <row r="25" ht="22.5" customHeight="1">
      <c r="A25" s="9"/>
      <c r="B25" s="7"/>
      <c r="C25" s="8" t="s">
        <v>6</v>
      </c>
      <c r="D25" s="10"/>
      <c r="E25" s="8" t="s">
        <v>6</v>
      </c>
    </row>
    <row r="26" ht="22.5" customHeight="1">
      <c r="A26" s="9"/>
      <c r="B26" s="7"/>
      <c r="C26" s="8" t="s">
        <v>6</v>
      </c>
      <c r="D26" s="10"/>
      <c r="E26" s="8" t="s">
        <v>6</v>
      </c>
    </row>
    <row r="27" ht="22.5" customHeight="1">
      <c r="A27" s="9"/>
      <c r="B27" s="7"/>
      <c r="C27" s="8" t="s">
        <v>6</v>
      </c>
      <c r="D27" s="10"/>
      <c r="E27" s="8" t="s">
        <v>6</v>
      </c>
    </row>
    <row r="28" ht="22.5" customHeight="1">
      <c r="A28" s="9"/>
      <c r="B28" s="7"/>
      <c r="C28" s="8" t="s">
        <v>6</v>
      </c>
      <c r="D28" s="10"/>
      <c r="E28" s="8" t="s">
        <v>6</v>
      </c>
    </row>
    <row r="29" ht="22.5" customHeight="1">
      <c r="A29" s="9"/>
      <c r="B29" s="7"/>
      <c r="C29" s="8" t="s">
        <v>6</v>
      </c>
      <c r="D29" s="10"/>
      <c r="E29" s="8" t="s">
        <v>6</v>
      </c>
    </row>
    <row r="30" ht="22.5" customHeight="1">
      <c r="A30" s="9"/>
      <c r="B30" s="7"/>
      <c r="C30" s="8" t="s">
        <v>6</v>
      </c>
      <c r="D30" s="10"/>
      <c r="E30" s="8" t="s">
        <v>6</v>
      </c>
    </row>
    <row r="31" ht="22.5" customHeight="1">
      <c r="A31" s="9"/>
      <c r="B31" s="7"/>
      <c r="C31" s="8" t="s">
        <v>6</v>
      </c>
      <c r="D31" s="10"/>
      <c r="E31" s="8" t="s">
        <v>6</v>
      </c>
    </row>
    <row r="32" ht="22.5" customHeight="1">
      <c r="A32" s="9"/>
      <c r="B32" s="7"/>
      <c r="C32" s="8" t="s">
        <v>6</v>
      </c>
      <c r="D32" s="10"/>
      <c r="E32" s="8" t="s">
        <v>6</v>
      </c>
    </row>
    <row r="33" ht="22.5" customHeight="1">
      <c r="A33" s="9"/>
      <c r="B33" s="7"/>
      <c r="C33" s="8" t="s">
        <v>6</v>
      </c>
      <c r="D33" s="10"/>
      <c r="E33" s="8" t="s">
        <v>6</v>
      </c>
    </row>
    <row r="34" ht="22.5" customHeight="1">
      <c r="A34" s="9"/>
      <c r="B34" s="7"/>
      <c r="C34" s="8" t="s">
        <v>6</v>
      </c>
      <c r="D34" s="10"/>
      <c r="E34" s="8" t="s">
        <v>6</v>
      </c>
    </row>
    <row r="35" ht="22.5" customHeight="1">
      <c r="A35" s="9"/>
      <c r="B35" s="7"/>
      <c r="C35" s="8" t="s">
        <v>6</v>
      </c>
      <c r="D35" s="10"/>
      <c r="E35" s="8" t="s">
        <v>6</v>
      </c>
    </row>
    <row r="36" ht="22.5" customHeight="1">
      <c r="A36" s="9"/>
      <c r="B36" s="7"/>
      <c r="C36" s="8" t="s">
        <v>6</v>
      </c>
      <c r="D36" s="10"/>
      <c r="E36" s="8" t="s">
        <v>6</v>
      </c>
    </row>
    <row r="37" ht="22.5" customHeight="1">
      <c r="A37" s="9"/>
      <c r="B37" s="7"/>
      <c r="C37" s="8" t="s">
        <v>6</v>
      </c>
      <c r="D37" s="10"/>
      <c r="E37" s="8" t="s">
        <v>6</v>
      </c>
    </row>
    <row r="38" ht="22.5" customHeight="1">
      <c r="A38" s="9"/>
      <c r="B38" s="7"/>
      <c r="C38" s="8" t="s">
        <v>6</v>
      </c>
      <c r="D38" s="10"/>
      <c r="E38" s="8" t="s">
        <v>6</v>
      </c>
    </row>
    <row r="39" ht="22.5" customHeight="1">
      <c r="A39" s="9"/>
      <c r="B39" s="7"/>
      <c r="C39" s="8" t="s">
        <v>6</v>
      </c>
      <c r="D39" s="10"/>
      <c r="E39" s="8" t="s">
        <v>6</v>
      </c>
    </row>
    <row r="40" ht="22.5" customHeight="1">
      <c r="A40" s="9"/>
      <c r="B40" s="7"/>
      <c r="C40" s="8" t="s">
        <v>6</v>
      </c>
      <c r="D40" s="10"/>
      <c r="E40" s="8" t="s">
        <v>6</v>
      </c>
    </row>
    <row r="41" ht="22.5" customHeight="1">
      <c r="A41" s="9"/>
      <c r="B41" s="7"/>
      <c r="C41" s="8" t="s">
        <v>6</v>
      </c>
      <c r="D41" s="10"/>
      <c r="E41" s="8" t="s">
        <v>6</v>
      </c>
    </row>
    <row r="42" ht="22.5" customHeight="1">
      <c r="A42" s="9"/>
      <c r="B42" s="7"/>
      <c r="C42" s="8" t="s">
        <v>6</v>
      </c>
      <c r="D42" s="10"/>
      <c r="E42" s="8" t="s">
        <v>6</v>
      </c>
    </row>
    <row r="43" ht="22.5" customHeight="1">
      <c r="A43" s="9"/>
      <c r="B43" s="7"/>
      <c r="C43" s="8" t="s">
        <v>6</v>
      </c>
      <c r="D43" s="10"/>
      <c r="E43" s="8" t="s">
        <v>6</v>
      </c>
    </row>
    <row r="44" ht="22.5" customHeight="1">
      <c r="A44" s="9"/>
      <c r="B44" s="7"/>
      <c r="C44" s="8" t="s">
        <v>6</v>
      </c>
      <c r="D44" s="10"/>
      <c r="E44" s="8" t="s">
        <v>6</v>
      </c>
    </row>
    <row r="45" ht="22.5" customHeight="1">
      <c r="A45" s="9"/>
      <c r="B45" s="7"/>
      <c r="C45" s="8" t="s">
        <v>6</v>
      </c>
      <c r="D45" s="10"/>
      <c r="E45" s="8" t="s">
        <v>6</v>
      </c>
    </row>
    <row r="46" ht="22.5" customHeight="1">
      <c r="A46" s="9"/>
      <c r="B46" s="7"/>
      <c r="C46" s="8" t="s">
        <v>6</v>
      </c>
      <c r="D46" s="10"/>
      <c r="E46" s="8" t="s">
        <v>6</v>
      </c>
    </row>
    <row r="47" ht="22.5" customHeight="1">
      <c r="A47" s="9"/>
      <c r="B47" s="7"/>
      <c r="C47" s="8" t="s">
        <v>6</v>
      </c>
      <c r="D47" s="10"/>
      <c r="E47" s="8" t="s">
        <v>6</v>
      </c>
    </row>
    <row r="48" ht="22.5" customHeight="1">
      <c r="A48" s="9"/>
      <c r="B48" s="7"/>
      <c r="C48" s="8" t="s">
        <v>6</v>
      </c>
      <c r="D48" s="10"/>
      <c r="E48" s="8" t="s">
        <v>6</v>
      </c>
    </row>
    <row r="49" ht="22.5" customHeight="1">
      <c r="A49" s="9"/>
      <c r="B49" s="7"/>
      <c r="C49" s="8" t="s">
        <v>6</v>
      </c>
      <c r="D49" s="10"/>
      <c r="E49" s="8" t="s">
        <v>6</v>
      </c>
    </row>
    <row r="50" ht="22.5" customHeight="1">
      <c r="A50" s="9"/>
      <c r="B50" s="7"/>
      <c r="C50" s="8" t="s">
        <v>6</v>
      </c>
      <c r="D50" s="10"/>
      <c r="E50" s="8" t="s">
        <v>6</v>
      </c>
    </row>
    <row r="51" ht="22.5" customHeight="1">
      <c r="A51" s="9"/>
      <c r="B51" s="7"/>
      <c r="C51" s="8" t="s">
        <v>6</v>
      </c>
      <c r="D51" s="10"/>
      <c r="E51" s="8" t="s">
        <v>6</v>
      </c>
    </row>
    <row r="52" ht="22.5" customHeight="1">
      <c r="A52" s="9"/>
      <c r="B52" s="7"/>
      <c r="C52" s="8" t="s">
        <v>6</v>
      </c>
      <c r="D52" s="10"/>
      <c r="E52" s="8" t="s">
        <v>6</v>
      </c>
    </row>
    <row r="53" ht="22.5" customHeight="1">
      <c r="A53" s="9"/>
      <c r="B53" s="7"/>
      <c r="C53" s="8" t="s">
        <v>6</v>
      </c>
      <c r="D53" s="10"/>
      <c r="E53" s="8" t="s">
        <v>6</v>
      </c>
    </row>
    <row r="54" ht="22.5" customHeight="1">
      <c r="A54" s="9"/>
      <c r="B54" s="7"/>
      <c r="C54" s="8" t="s">
        <v>6</v>
      </c>
      <c r="D54" s="10"/>
      <c r="E54" s="8" t="s">
        <v>6</v>
      </c>
    </row>
    <row r="55" ht="22.5" customHeight="1">
      <c r="A55" s="9"/>
      <c r="B55" s="7"/>
      <c r="C55" s="8" t="s">
        <v>6</v>
      </c>
      <c r="D55" s="10"/>
      <c r="E55" s="8" t="s">
        <v>6</v>
      </c>
    </row>
    <row r="56" ht="22.5" customHeight="1">
      <c r="A56" s="9"/>
      <c r="B56" s="7"/>
      <c r="C56" s="8" t="s">
        <v>6</v>
      </c>
      <c r="D56" s="10"/>
      <c r="E56" s="8" t="s">
        <v>6</v>
      </c>
    </row>
    <row r="57" ht="22.5" customHeight="1">
      <c r="A57" s="9"/>
      <c r="B57" s="7"/>
      <c r="C57" s="8" t="s">
        <v>6</v>
      </c>
      <c r="D57" s="10"/>
      <c r="E57" s="8" t="s">
        <v>6</v>
      </c>
    </row>
    <row r="58" ht="22.5" customHeight="1">
      <c r="A58" s="9"/>
      <c r="B58" s="7"/>
      <c r="C58" s="8" t="s">
        <v>6</v>
      </c>
      <c r="D58" s="10"/>
      <c r="E58" s="8" t="s">
        <v>6</v>
      </c>
    </row>
    <row r="59" ht="22.5" customHeight="1">
      <c r="A59" s="9"/>
      <c r="B59" s="7"/>
      <c r="C59" s="8" t="s">
        <v>6</v>
      </c>
      <c r="D59" s="10"/>
      <c r="E59" s="8" t="s">
        <v>6</v>
      </c>
    </row>
    <row r="60" ht="22.5" customHeight="1">
      <c r="A60" s="9"/>
      <c r="B60" s="7"/>
      <c r="C60" s="8" t="s">
        <v>6</v>
      </c>
      <c r="D60" s="10"/>
      <c r="E60" s="8" t="s">
        <v>6</v>
      </c>
    </row>
    <row r="61" ht="22.5" customHeight="1">
      <c r="A61" s="9"/>
      <c r="B61" s="7"/>
      <c r="C61" s="8" t="s">
        <v>6</v>
      </c>
      <c r="D61" s="10"/>
      <c r="E61" s="8" t="s">
        <v>6</v>
      </c>
    </row>
    <row r="62" ht="22.5" customHeight="1">
      <c r="A62" s="9"/>
      <c r="B62" s="7"/>
      <c r="C62" s="8" t="s">
        <v>6</v>
      </c>
      <c r="D62" s="10"/>
      <c r="E62" s="8" t="s">
        <v>6</v>
      </c>
    </row>
    <row r="63" ht="22.5" customHeight="1">
      <c r="A63" s="9"/>
      <c r="B63" s="7"/>
      <c r="C63" s="8" t="s">
        <v>6</v>
      </c>
      <c r="D63" s="10"/>
      <c r="E63" s="8" t="s">
        <v>6</v>
      </c>
    </row>
    <row r="64" ht="22.5" customHeight="1">
      <c r="A64" s="9"/>
      <c r="B64" s="7"/>
      <c r="C64" s="8" t="s">
        <v>6</v>
      </c>
      <c r="D64" s="10"/>
      <c r="E64" s="8" t="s">
        <v>6</v>
      </c>
    </row>
    <row r="65" ht="22.5" customHeight="1">
      <c r="A65" s="9"/>
      <c r="B65" s="7"/>
      <c r="C65" s="8" t="s">
        <v>6</v>
      </c>
      <c r="D65" s="10"/>
      <c r="E65" s="8" t="s">
        <v>6</v>
      </c>
    </row>
    <row r="66" ht="22.5" customHeight="1">
      <c r="A66" s="9"/>
      <c r="B66" s="7"/>
      <c r="C66" s="8" t="s">
        <v>6</v>
      </c>
      <c r="D66" s="10"/>
      <c r="E66" s="8" t="s">
        <v>6</v>
      </c>
    </row>
    <row r="67" ht="22.5" customHeight="1">
      <c r="A67" s="9"/>
      <c r="B67" s="7"/>
      <c r="C67" s="8" t="s">
        <v>6</v>
      </c>
      <c r="D67" s="10"/>
      <c r="E67" s="8" t="s">
        <v>6</v>
      </c>
    </row>
    <row r="68" ht="22.5" customHeight="1">
      <c r="A68" s="9"/>
      <c r="B68" s="7"/>
      <c r="C68" s="8" t="s">
        <v>6</v>
      </c>
      <c r="D68" s="10"/>
      <c r="E68" s="8" t="s">
        <v>6</v>
      </c>
    </row>
    <row r="69" ht="22.5" customHeight="1">
      <c r="A69" s="9"/>
      <c r="B69" s="7"/>
      <c r="C69" s="8" t="s">
        <v>6</v>
      </c>
      <c r="D69" s="10"/>
      <c r="E69" s="8" t="s">
        <v>6</v>
      </c>
    </row>
    <row r="70" ht="22.5" customHeight="1">
      <c r="A70" s="9"/>
      <c r="B70" s="7"/>
      <c r="C70" s="8" t="s">
        <v>6</v>
      </c>
      <c r="D70" s="10"/>
      <c r="E70" s="8" t="s">
        <v>6</v>
      </c>
    </row>
    <row r="71" ht="22.5" customHeight="1">
      <c r="A71" s="9"/>
      <c r="B71" s="7"/>
      <c r="C71" s="8" t="s">
        <v>6</v>
      </c>
      <c r="D71" s="10"/>
      <c r="E71" s="8" t="s">
        <v>6</v>
      </c>
    </row>
    <row r="72" ht="22.5" customHeight="1">
      <c r="A72" s="9"/>
      <c r="B72" s="7"/>
      <c r="C72" s="8" t="s">
        <v>6</v>
      </c>
      <c r="D72" s="10"/>
      <c r="E72" s="8" t="s">
        <v>6</v>
      </c>
    </row>
    <row r="73" ht="22.5" customHeight="1">
      <c r="A73" s="9"/>
      <c r="B73" s="7"/>
      <c r="C73" s="8" t="s">
        <v>6</v>
      </c>
      <c r="D73" s="10"/>
      <c r="E73" s="8" t="s">
        <v>6</v>
      </c>
    </row>
    <row r="74" ht="22.5" customHeight="1">
      <c r="A74" s="9"/>
      <c r="B74" s="7"/>
      <c r="C74" s="8" t="s">
        <v>6</v>
      </c>
      <c r="D74" s="10"/>
      <c r="E74" s="8" t="s">
        <v>6</v>
      </c>
    </row>
    <row r="75" ht="22.5" customHeight="1">
      <c r="A75" s="9"/>
      <c r="B75" s="7"/>
      <c r="C75" s="8" t="s">
        <v>6</v>
      </c>
      <c r="D75" s="10"/>
      <c r="E75" s="8" t="s">
        <v>6</v>
      </c>
    </row>
    <row r="76" ht="22.5" customHeight="1">
      <c r="A76" s="9"/>
      <c r="B76" s="7"/>
      <c r="C76" s="8" t="s">
        <v>6</v>
      </c>
      <c r="D76" s="10"/>
      <c r="E76" s="8" t="s">
        <v>6</v>
      </c>
    </row>
    <row r="77" ht="22.5" customHeight="1">
      <c r="A77" s="9"/>
      <c r="B77" s="7"/>
      <c r="C77" s="8" t="s">
        <v>6</v>
      </c>
      <c r="D77" s="10"/>
      <c r="E77" s="8" t="s">
        <v>6</v>
      </c>
    </row>
    <row r="78" ht="22.5" customHeight="1">
      <c r="A78" s="9"/>
      <c r="B78" s="7"/>
      <c r="C78" s="8" t="s">
        <v>6</v>
      </c>
      <c r="D78" s="10"/>
      <c r="E78" s="8" t="s">
        <v>6</v>
      </c>
    </row>
    <row r="79" ht="22.5" customHeight="1">
      <c r="A79" s="9"/>
      <c r="B79" s="7"/>
      <c r="C79" s="8" t="s">
        <v>6</v>
      </c>
      <c r="D79" s="10"/>
      <c r="E79" s="8" t="s">
        <v>6</v>
      </c>
    </row>
    <row r="80" ht="22.5" customHeight="1">
      <c r="A80" s="9"/>
      <c r="B80" s="7"/>
      <c r="C80" s="8" t="s">
        <v>6</v>
      </c>
      <c r="D80" s="10"/>
      <c r="E80" s="8" t="s">
        <v>6</v>
      </c>
    </row>
    <row r="81" ht="22.5" customHeight="1">
      <c r="A81" s="9"/>
      <c r="B81" s="7"/>
      <c r="C81" s="8" t="s">
        <v>6</v>
      </c>
      <c r="D81" s="10"/>
      <c r="E81" s="8" t="s">
        <v>6</v>
      </c>
    </row>
    <row r="82" ht="22.5" customHeight="1">
      <c r="A82" s="9"/>
      <c r="B82" s="7"/>
      <c r="C82" s="8" t="s">
        <v>6</v>
      </c>
      <c r="D82" s="10"/>
      <c r="E82" s="8" t="s">
        <v>6</v>
      </c>
    </row>
    <row r="83" ht="22.5" customHeight="1">
      <c r="A83" s="11"/>
      <c r="B83" s="7"/>
      <c r="C83" s="8" t="s">
        <v>6</v>
      </c>
      <c r="D83" s="10"/>
      <c r="E83" s="8" t="s">
        <v>6</v>
      </c>
    </row>
    <row r="84" ht="22.5" customHeight="1">
      <c r="A84" s="9"/>
      <c r="B84" s="7"/>
      <c r="C84" s="8" t="s">
        <v>6</v>
      </c>
      <c r="D84" s="10"/>
      <c r="E84" s="8" t="s">
        <v>6</v>
      </c>
    </row>
    <row r="85" ht="22.5" customHeight="1">
      <c r="A85" s="9"/>
      <c r="B85" s="7"/>
      <c r="C85" s="8" t="s">
        <v>6</v>
      </c>
      <c r="D85" s="10"/>
      <c r="E85" s="8" t="s">
        <v>6</v>
      </c>
    </row>
    <row r="86" ht="22.5" customHeight="1">
      <c r="A86" s="9"/>
      <c r="B86" s="7"/>
      <c r="C86" s="8" t="s">
        <v>6</v>
      </c>
      <c r="D86" s="10"/>
      <c r="E86" s="8" t="s">
        <v>6</v>
      </c>
    </row>
    <row r="87" ht="22.5" customHeight="1">
      <c r="A87" s="9"/>
      <c r="B87" s="7"/>
      <c r="C87" s="8" t="s">
        <v>6</v>
      </c>
      <c r="D87" s="10"/>
      <c r="E87" s="8" t="s">
        <v>6</v>
      </c>
    </row>
    <row r="88" ht="22.5" customHeight="1">
      <c r="A88" s="9"/>
      <c r="B88" s="7"/>
      <c r="C88" s="8" t="s">
        <v>6</v>
      </c>
      <c r="D88" s="10"/>
      <c r="E88" s="8" t="s">
        <v>6</v>
      </c>
    </row>
    <row r="89" ht="22.5" customHeight="1">
      <c r="A89" s="9"/>
      <c r="B89" s="7"/>
      <c r="C89" s="8" t="s">
        <v>6</v>
      </c>
      <c r="D89" s="10"/>
      <c r="E89" s="8" t="s">
        <v>6</v>
      </c>
    </row>
    <row r="90" ht="22.5" customHeight="1">
      <c r="A90" s="9"/>
      <c r="B90" s="7"/>
      <c r="C90" s="8" t="s">
        <v>6</v>
      </c>
      <c r="D90" s="10"/>
      <c r="E90" s="8" t="s">
        <v>6</v>
      </c>
    </row>
    <row r="91" ht="22.5" customHeight="1">
      <c r="A91" s="9"/>
      <c r="B91" s="7"/>
      <c r="C91" s="8" t="s">
        <v>6</v>
      </c>
      <c r="D91" s="10"/>
      <c r="E91" s="8" t="s">
        <v>6</v>
      </c>
    </row>
    <row r="92" ht="22.5" customHeight="1">
      <c r="A92" s="9"/>
      <c r="B92" s="7"/>
      <c r="C92" s="8" t="s">
        <v>6</v>
      </c>
      <c r="D92" s="10"/>
      <c r="E92" s="8" t="s">
        <v>6</v>
      </c>
    </row>
    <row r="93" ht="22.5" customHeight="1">
      <c r="A93" s="9"/>
      <c r="B93" s="7"/>
      <c r="C93" s="8" t="s">
        <v>6</v>
      </c>
      <c r="D93" s="10"/>
      <c r="E93" s="8" t="s">
        <v>6</v>
      </c>
    </row>
    <row r="94" ht="22.5" customHeight="1">
      <c r="A94" s="9"/>
      <c r="B94" s="7"/>
      <c r="C94" s="8" t="s">
        <v>6</v>
      </c>
      <c r="D94" s="10"/>
      <c r="E94" s="8" t="s">
        <v>6</v>
      </c>
    </row>
    <row r="95" ht="22.5" customHeight="1">
      <c r="A95" s="9"/>
      <c r="B95" s="7"/>
      <c r="C95" s="8" t="s">
        <v>6</v>
      </c>
      <c r="D95" s="10"/>
      <c r="E95" s="8" t="s">
        <v>6</v>
      </c>
    </row>
    <row r="96" ht="22.5" customHeight="1">
      <c r="A96" s="9"/>
      <c r="B96" s="7"/>
      <c r="C96" s="8" t="s">
        <v>6</v>
      </c>
      <c r="D96" s="10"/>
      <c r="E96" s="8" t="s">
        <v>6</v>
      </c>
    </row>
    <row r="97" ht="22.5" customHeight="1">
      <c r="A97" s="9"/>
      <c r="B97" s="7"/>
      <c r="C97" s="8" t="s">
        <v>6</v>
      </c>
      <c r="D97" s="10"/>
      <c r="E97" s="8" t="s">
        <v>6</v>
      </c>
    </row>
    <row r="98" ht="22.5" customHeight="1">
      <c r="A98" s="9"/>
      <c r="B98" s="7"/>
      <c r="C98" s="8" t="s">
        <v>6</v>
      </c>
      <c r="D98" s="10"/>
      <c r="E98" s="8" t="s">
        <v>6</v>
      </c>
    </row>
    <row r="99" ht="22.5" customHeight="1">
      <c r="A99" s="9"/>
      <c r="B99" s="7"/>
      <c r="C99" s="8" t="s">
        <v>6</v>
      </c>
      <c r="D99" s="10"/>
      <c r="E99" s="8" t="s">
        <v>6</v>
      </c>
    </row>
    <row r="100" ht="22.5" customHeight="1">
      <c r="A100" s="9"/>
      <c r="B100" s="7"/>
      <c r="C100" s="8" t="s">
        <v>6</v>
      </c>
      <c r="D100" s="10"/>
      <c r="E100" s="8" t="s">
        <v>6</v>
      </c>
    </row>
    <row r="101" ht="22.5" customHeight="1">
      <c r="A101" s="9"/>
      <c r="B101" s="7"/>
      <c r="C101" s="8" t="s">
        <v>6</v>
      </c>
      <c r="D101" s="10"/>
      <c r="E101" s="8" t="s">
        <v>6</v>
      </c>
    </row>
    <row r="102" ht="22.5" customHeight="1">
      <c r="A102" s="9"/>
      <c r="B102" s="7"/>
      <c r="C102" s="8" t="s">
        <v>6</v>
      </c>
      <c r="D102" s="10"/>
      <c r="E102" s="8" t="s">
        <v>6</v>
      </c>
    </row>
    <row r="103" ht="22.5" customHeight="1">
      <c r="A103" s="9"/>
      <c r="B103" s="7"/>
      <c r="C103" s="8" t="s">
        <v>6</v>
      </c>
      <c r="D103" s="10"/>
      <c r="E103" s="8" t="s">
        <v>6</v>
      </c>
    </row>
    <row r="104" ht="22.5" customHeight="1">
      <c r="A104" s="9"/>
      <c r="B104" s="7"/>
      <c r="C104" s="8" t="s">
        <v>6</v>
      </c>
      <c r="D104" s="10"/>
      <c r="E104" s="8" t="s">
        <v>6</v>
      </c>
    </row>
    <row r="105" ht="22.5" customHeight="1">
      <c r="A105" s="9"/>
      <c r="B105" s="7"/>
      <c r="C105" s="8" t="s">
        <v>6</v>
      </c>
      <c r="D105" s="10"/>
      <c r="E105" s="8" t="s">
        <v>6</v>
      </c>
    </row>
    <row r="106" ht="22.5" customHeight="1">
      <c r="A106" s="9"/>
      <c r="B106" s="7"/>
      <c r="C106" s="8" t="s">
        <v>6</v>
      </c>
      <c r="D106" s="10"/>
      <c r="E106" s="8" t="s">
        <v>6</v>
      </c>
    </row>
    <row r="107" ht="22.5" customHeight="1">
      <c r="A107" s="9"/>
      <c r="B107" s="7"/>
      <c r="C107" s="8" t="s">
        <v>6</v>
      </c>
      <c r="D107" s="10"/>
      <c r="E107" s="8" t="s">
        <v>6</v>
      </c>
    </row>
    <row r="108" ht="22.5" customHeight="1">
      <c r="A108" s="9"/>
      <c r="B108" s="7"/>
      <c r="C108" s="8" t="s">
        <v>6</v>
      </c>
      <c r="D108" s="10"/>
      <c r="E108" s="8" t="s">
        <v>6</v>
      </c>
    </row>
    <row r="109" ht="22.5" customHeight="1">
      <c r="A109" s="9"/>
      <c r="B109" s="7"/>
      <c r="C109" s="8" t="s">
        <v>6</v>
      </c>
      <c r="D109" s="10"/>
      <c r="E109" s="8" t="s">
        <v>6</v>
      </c>
    </row>
    <row r="110" ht="22.5" customHeight="1">
      <c r="A110" s="9"/>
      <c r="B110" s="7"/>
      <c r="C110" s="8" t="s">
        <v>6</v>
      </c>
      <c r="D110" s="10"/>
      <c r="E110" s="8" t="s">
        <v>6</v>
      </c>
    </row>
    <row r="111" ht="22.5" customHeight="1">
      <c r="A111" s="9"/>
      <c r="B111" s="7"/>
      <c r="C111" s="8" t="s">
        <v>6</v>
      </c>
      <c r="D111" s="10"/>
      <c r="E111" s="8" t="s">
        <v>6</v>
      </c>
    </row>
    <row r="112" ht="22.5" customHeight="1">
      <c r="A112" s="9"/>
      <c r="B112" s="7"/>
      <c r="C112" s="8" t="s">
        <v>6</v>
      </c>
      <c r="D112" s="10"/>
      <c r="E112" s="8" t="s">
        <v>6</v>
      </c>
    </row>
    <row r="113" ht="22.5" customHeight="1">
      <c r="A113" s="9"/>
      <c r="B113" s="7"/>
      <c r="C113" s="8" t="s">
        <v>6</v>
      </c>
      <c r="D113" s="10"/>
      <c r="E113" s="8" t="s">
        <v>6</v>
      </c>
    </row>
    <row r="114" ht="22.5" customHeight="1">
      <c r="A114" s="9"/>
      <c r="B114" s="7"/>
      <c r="C114" s="8" t="s">
        <v>6</v>
      </c>
      <c r="D114" s="10"/>
      <c r="E114" s="8" t="s">
        <v>6</v>
      </c>
    </row>
    <row r="115" ht="22.5" customHeight="1">
      <c r="A115" s="9"/>
      <c r="B115" s="7"/>
      <c r="C115" s="8" t="s">
        <v>6</v>
      </c>
      <c r="D115" s="10"/>
      <c r="E115" s="8" t="s">
        <v>6</v>
      </c>
    </row>
    <row r="116" ht="22.5" customHeight="1">
      <c r="A116" s="9"/>
      <c r="B116" s="7"/>
      <c r="C116" s="8" t="s">
        <v>6</v>
      </c>
      <c r="D116" s="10"/>
      <c r="E116" s="8" t="s">
        <v>6</v>
      </c>
    </row>
    <row r="117" ht="22.5" customHeight="1">
      <c r="A117" s="9"/>
      <c r="B117" s="7"/>
      <c r="C117" s="8" t="s">
        <v>6</v>
      </c>
      <c r="D117" s="10"/>
      <c r="E117" s="8" t="s">
        <v>6</v>
      </c>
    </row>
    <row r="118" ht="22.5" customHeight="1">
      <c r="A118" s="9"/>
      <c r="B118" s="7"/>
      <c r="C118" s="8" t="s">
        <v>6</v>
      </c>
      <c r="D118" s="10"/>
      <c r="E118" s="8" t="s">
        <v>6</v>
      </c>
    </row>
    <row r="119" ht="22.5" customHeight="1">
      <c r="A119" s="9"/>
      <c r="B119" s="7"/>
      <c r="C119" s="8" t="s">
        <v>6</v>
      </c>
      <c r="D119" s="10"/>
      <c r="E119" s="8" t="s">
        <v>6</v>
      </c>
    </row>
    <row r="120" ht="22.5" customHeight="1">
      <c r="A120" s="9"/>
      <c r="B120" s="7"/>
      <c r="C120" s="8" t="s">
        <v>6</v>
      </c>
      <c r="D120" s="10"/>
      <c r="E120" s="8" t="s">
        <v>6</v>
      </c>
    </row>
    <row r="121" ht="22.5" customHeight="1">
      <c r="A121" s="9"/>
      <c r="B121" s="7"/>
      <c r="C121" s="8" t="s">
        <v>6</v>
      </c>
      <c r="D121" s="10"/>
      <c r="E121" s="8" t="s">
        <v>6</v>
      </c>
    </row>
    <row r="122" ht="22.5" customHeight="1">
      <c r="A122" s="9"/>
      <c r="B122" s="7"/>
      <c r="C122" s="8" t="s">
        <v>6</v>
      </c>
      <c r="D122" s="10"/>
      <c r="E122" s="8" t="s">
        <v>6</v>
      </c>
    </row>
    <row r="123" ht="22.5" customHeight="1">
      <c r="A123" s="9"/>
      <c r="B123" s="7"/>
      <c r="C123" s="8" t="s">
        <v>6</v>
      </c>
      <c r="D123" s="10"/>
      <c r="E123" s="8" t="s">
        <v>6</v>
      </c>
    </row>
    <row r="124" ht="22.5" customHeight="1">
      <c r="A124" s="9"/>
      <c r="B124" s="7"/>
      <c r="C124" s="8" t="s">
        <v>6</v>
      </c>
      <c r="D124" s="10"/>
      <c r="E124" s="8" t="s">
        <v>6</v>
      </c>
    </row>
    <row r="125" ht="22.5" customHeight="1">
      <c r="A125" s="9"/>
      <c r="B125" s="7"/>
      <c r="C125" s="8" t="s">
        <v>6</v>
      </c>
      <c r="D125" s="10"/>
      <c r="E125" s="8" t="s">
        <v>6</v>
      </c>
    </row>
    <row r="126" ht="22.5" customHeight="1">
      <c r="A126" s="9"/>
      <c r="B126" s="7"/>
      <c r="C126" s="8" t="s">
        <v>6</v>
      </c>
      <c r="D126" s="10"/>
      <c r="E126" s="8" t="s">
        <v>6</v>
      </c>
    </row>
    <row r="127" ht="22.5" customHeight="1">
      <c r="A127" s="9"/>
      <c r="B127" s="7"/>
      <c r="C127" s="8" t="s">
        <v>6</v>
      </c>
      <c r="D127" s="10"/>
      <c r="E127" s="8" t="s">
        <v>6</v>
      </c>
    </row>
    <row r="128" ht="22.5" customHeight="1">
      <c r="A128" s="9"/>
      <c r="B128" s="7"/>
      <c r="C128" s="8" t="s">
        <v>6</v>
      </c>
      <c r="D128" s="10"/>
      <c r="E128" s="8" t="s">
        <v>6</v>
      </c>
    </row>
    <row r="129" ht="22.5" customHeight="1">
      <c r="A129" s="9"/>
      <c r="B129" s="7"/>
      <c r="C129" s="8" t="s">
        <v>6</v>
      </c>
      <c r="D129" s="10"/>
      <c r="E129" s="8" t="s">
        <v>6</v>
      </c>
    </row>
    <row r="130" ht="22.5" customHeight="1">
      <c r="A130" s="9"/>
      <c r="B130" s="7"/>
      <c r="C130" s="8" t="s">
        <v>6</v>
      </c>
      <c r="D130" s="10"/>
      <c r="E130" s="8" t="s">
        <v>6</v>
      </c>
    </row>
    <row r="131" ht="22.5" customHeight="1">
      <c r="A131" s="9"/>
      <c r="B131" s="7"/>
      <c r="C131" s="8" t="s">
        <v>6</v>
      </c>
      <c r="D131" s="10"/>
      <c r="E131" s="8" t="s">
        <v>6</v>
      </c>
    </row>
    <row r="132" ht="22.5" customHeight="1">
      <c r="A132" s="9"/>
      <c r="B132" s="7"/>
      <c r="C132" s="8" t="s">
        <v>6</v>
      </c>
      <c r="D132" s="10"/>
      <c r="E132" s="8" t="s">
        <v>6</v>
      </c>
    </row>
    <row r="133" ht="22.5" customHeight="1">
      <c r="A133" s="9"/>
      <c r="B133" s="7"/>
      <c r="C133" s="8" t="s">
        <v>6</v>
      </c>
      <c r="D133" s="10"/>
      <c r="E133" s="8" t="s">
        <v>6</v>
      </c>
    </row>
    <row r="134" ht="22.5" customHeight="1">
      <c r="A134" s="9"/>
      <c r="B134" s="7"/>
      <c r="C134" s="8" t="s">
        <v>6</v>
      </c>
      <c r="D134" s="10"/>
      <c r="E134" s="8" t="s">
        <v>6</v>
      </c>
    </row>
    <row r="135" ht="22.5" customHeight="1">
      <c r="A135" s="9"/>
      <c r="B135" s="7"/>
      <c r="C135" s="8" t="s">
        <v>6</v>
      </c>
      <c r="D135" s="10"/>
      <c r="E135" s="8" t="s">
        <v>6</v>
      </c>
    </row>
    <row r="136" ht="22.5" customHeight="1">
      <c r="A136" s="9"/>
      <c r="B136" s="7"/>
      <c r="C136" s="8" t="s">
        <v>6</v>
      </c>
      <c r="D136" s="10"/>
      <c r="E136" s="8" t="s">
        <v>6</v>
      </c>
    </row>
    <row r="137" ht="22.5" customHeight="1">
      <c r="A137" s="9"/>
      <c r="B137" s="7"/>
      <c r="C137" s="8" t="s">
        <v>6</v>
      </c>
      <c r="D137" s="10"/>
      <c r="E137" s="8" t="s">
        <v>6</v>
      </c>
    </row>
    <row r="138" ht="22.5" customHeight="1">
      <c r="A138" s="9"/>
      <c r="B138" s="7"/>
      <c r="C138" s="8" t="s">
        <v>6</v>
      </c>
      <c r="D138" s="10"/>
      <c r="E138" s="8" t="s">
        <v>6</v>
      </c>
    </row>
    <row r="139" ht="22.5" customHeight="1">
      <c r="A139" s="9"/>
      <c r="B139" s="7"/>
      <c r="C139" s="8" t="s">
        <v>6</v>
      </c>
      <c r="D139" s="10"/>
      <c r="E139" s="8" t="s">
        <v>6</v>
      </c>
    </row>
    <row r="140" ht="22.5" customHeight="1">
      <c r="A140" s="9"/>
      <c r="B140" s="7"/>
      <c r="C140" s="8" t="s">
        <v>6</v>
      </c>
      <c r="D140" s="10"/>
      <c r="E140" s="8" t="s">
        <v>6</v>
      </c>
    </row>
    <row r="141" ht="22.5" customHeight="1">
      <c r="A141" s="9"/>
      <c r="B141" s="7"/>
      <c r="C141" s="8" t="s">
        <v>6</v>
      </c>
      <c r="D141" s="10"/>
      <c r="E141" s="8" t="s">
        <v>6</v>
      </c>
    </row>
    <row r="142" ht="22.5" customHeight="1">
      <c r="A142" s="9"/>
      <c r="B142" s="7"/>
      <c r="C142" s="8" t="s">
        <v>6</v>
      </c>
      <c r="D142" s="10"/>
      <c r="E142" s="8" t="s">
        <v>6</v>
      </c>
    </row>
    <row r="143" ht="22.5" customHeight="1">
      <c r="A143" s="9"/>
      <c r="B143" s="7"/>
      <c r="C143" s="8" t="s">
        <v>6</v>
      </c>
      <c r="D143" s="10"/>
      <c r="E143" s="8" t="s">
        <v>6</v>
      </c>
    </row>
    <row r="144" ht="22.5" customHeight="1">
      <c r="A144" s="9"/>
      <c r="B144" s="7"/>
      <c r="C144" s="8" t="s">
        <v>6</v>
      </c>
      <c r="D144" s="10"/>
      <c r="E144" s="8" t="s">
        <v>6</v>
      </c>
    </row>
    <row r="145" ht="22.5" customHeight="1">
      <c r="A145" s="9"/>
      <c r="B145" s="7"/>
      <c r="C145" s="8" t="s">
        <v>6</v>
      </c>
      <c r="D145" s="10"/>
      <c r="E145" s="8" t="s">
        <v>6</v>
      </c>
    </row>
    <row r="146" ht="22.5" customHeight="1">
      <c r="A146" s="9"/>
      <c r="B146" s="7"/>
      <c r="C146" s="8" t="s">
        <v>6</v>
      </c>
      <c r="D146" s="10"/>
      <c r="E146" s="8" t="s">
        <v>6</v>
      </c>
    </row>
    <row r="147" ht="22.5" customHeight="1">
      <c r="A147" s="9"/>
      <c r="B147" s="7"/>
      <c r="C147" s="8" t="s">
        <v>6</v>
      </c>
      <c r="D147" s="10"/>
      <c r="E147" s="8" t="s">
        <v>6</v>
      </c>
    </row>
    <row r="148" ht="22.5" customHeight="1">
      <c r="A148" s="9"/>
      <c r="B148" s="7"/>
      <c r="C148" s="8" t="s">
        <v>6</v>
      </c>
      <c r="D148" s="10"/>
      <c r="E148" s="8" t="s">
        <v>6</v>
      </c>
    </row>
    <row r="149" ht="22.5" customHeight="1">
      <c r="A149" s="9"/>
      <c r="B149" s="7"/>
      <c r="C149" s="8" t="s">
        <v>6</v>
      </c>
      <c r="D149" s="10"/>
      <c r="E149" s="8" t="s">
        <v>6</v>
      </c>
    </row>
    <row r="150" ht="22.5" customHeight="1">
      <c r="A150" s="9"/>
      <c r="B150" s="7"/>
      <c r="C150" s="8" t="s">
        <v>6</v>
      </c>
      <c r="D150" s="10"/>
      <c r="E150" s="8" t="s">
        <v>6</v>
      </c>
    </row>
    <row r="151" ht="22.5" customHeight="1">
      <c r="A151" s="9"/>
      <c r="B151" s="7"/>
      <c r="C151" s="8" t="s">
        <v>6</v>
      </c>
      <c r="D151" s="10"/>
      <c r="E151" s="8" t="s">
        <v>6</v>
      </c>
    </row>
    <row r="152" ht="22.5" customHeight="1">
      <c r="A152" s="9"/>
      <c r="B152" s="7"/>
      <c r="C152" s="8" t="s">
        <v>6</v>
      </c>
      <c r="D152" s="10"/>
      <c r="E152" s="8" t="s">
        <v>6</v>
      </c>
    </row>
    <row r="153" ht="22.5" customHeight="1">
      <c r="A153" s="9"/>
      <c r="B153" s="7"/>
      <c r="C153" s="8" t="s">
        <v>6</v>
      </c>
      <c r="D153" s="10"/>
      <c r="E153" s="8" t="s">
        <v>6</v>
      </c>
    </row>
    <row r="154" ht="22.5" customHeight="1">
      <c r="A154" s="9"/>
      <c r="B154" s="7"/>
      <c r="C154" s="8" t="s">
        <v>6</v>
      </c>
      <c r="D154" s="10"/>
      <c r="E154" s="8" t="s">
        <v>6</v>
      </c>
    </row>
    <row r="155" ht="22.5" customHeight="1">
      <c r="A155" s="9"/>
      <c r="B155" s="7"/>
      <c r="C155" s="8" t="s">
        <v>6</v>
      </c>
      <c r="D155" s="10"/>
      <c r="E155" s="8" t="s">
        <v>6</v>
      </c>
    </row>
    <row r="156" ht="22.5" customHeight="1">
      <c r="A156" s="9"/>
      <c r="B156" s="7"/>
      <c r="C156" s="8" t="s">
        <v>6</v>
      </c>
      <c r="D156" s="10"/>
      <c r="E156" s="8" t="s">
        <v>6</v>
      </c>
    </row>
    <row r="157" ht="22.5" customHeight="1">
      <c r="A157" s="9"/>
      <c r="B157" s="7"/>
      <c r="C157" s="8" t="s">
        <v>6</v>
      </c>
      <c r="D157" s="10"/>
      <c r="E157" s="8" t="s">
        <v>6</v>
      </c>
    </row>
    <row r="158" ht="22.5" customHeight="1">
      <c r="A158" s="9"/>
      <c r="B158" s="7"/>
      <c r="C158" s="8" t="s">
        <v>6</v>
      </c>
      <c r="D158" s="10"/>
      <c r="E158" s="8" t="s">
        <v>6</v>
      </c>
    </row>
    <row r="159" ht="22.5" customHeight="1">
      <c r="A159" s="9"/>
      <c r="B159" s="7"/>
      <c r="C159" s="8" t="s">
        <v>6</v>
      </c>
      <c r="D159" s="10"/>
      <c r="E159" s="8" t="s">
        <v>6</v>
      </c>
    </row>
    <row r="160" ht="22.5" customHeight="1">
      <c r="A160" s="9"/>
      <c r="B160" s="7"/>
      <c r="C160" s="8" t="s">
        <v>6</v>
      </c>
      <c r="D160" s="10"/>
      <c r="E160" s="8" t="s">
        <v>6</v>
      </c>
    </row>
    <row r="161" ht="22.5" customHeight="1">
      <c r="A161" s="9"/>
      <c r="B161" s="7"/>
      <c r="C161" s="8" t="s">
        <v>6</v>
      </c>
      <c r="D161" s="10"/>
      <c r="E161" s="8" t="s">
        <v>6</v>
      </c>
    </row>
    <row r="162" ht="22.5" customHeight="1">
      <c r="A162" s="9"/>
      <c r="B162" s="7"/>
      <c r="C162" s="8" t="s">
        <v>6</v>
      </c>
      <c r="D162" s="10"/>
      <c r="E162" s="8" t="s">
        <v>6</v>
      </c>
    </row>
    <row r="163" ht="22.5" customHeight="1">
      <c r="A163" s="9"/>
      <c r="B163" s="7"/>
      <c r="C163" s="8" t="s">
        <v>6</v>
      </c>
      <c r="D163" s="10"/>
      <c r="E163" s="8" t="s">
        <v>6</v>
      </c>
    </row>
    <row r="164" ht="22.5" customHeight="1">
      <c r="A164" s="9"/>
      <c r="B164" s="7"/>
      <c r="C164" s="8" t="s">
        <v>6</v>
      </c>
      <c r="D164" s="10"/>
      <c r="E164" s="8" t="s">
        <v>6</v>
      </c>
    </row>
    <row r="165" ht="22.5" customHeight="1">
      <c r="A165" s="9"/>
      <c r="B165" s="7"/>
      <c r="C165" s="8" t="s">
        <v>6</v>
      </c>
      <c r="D165" s="10"/>
      <c r="E165" s="8" t="s">
        <v>6</v>
      </c>
    </row>
    <row r="166" ht="22.5" customHeight="1">
      <c r="A166" s="9"/>
      <c r="B166" s="7"/>
      <c r="C166" s="8" t="s">
        <v>6</v>
      </c>
      <c r="D166" s="10"/>
      <c r="E166" s="8" t="s">
        <v>6</v>
      </c>
    </row>
    <row r="167" ht="22.5" customHeight="1">
      <c r="A167" s="9"/>
      <c r="B167" s="7"/>
      <c r="C167" s="8" t="s">
        <v>6</v>
      </c>
      <c r="D167" s="10"/>
      <c r="E167" s="8" t="s">
        <v>6</v>
      </c>
    </row>
    <row r="168" ht="22.5" customHeight="1">
      <c r="A168" s="9"/>
      <c r="B168" s="7"/>
      <c r="C168" s="8" t="s">
        <v>6</v>
      </c>
      <c r="D168" s="10"/>
      <c r="E168" s="8" t="s">
        <v>6</v>
      </c>
    </row>
    <row r="169" ht="22.5" customHeight="1">
      <c r="A169" s="9"/>
      <c r="B169" s="7"/>
      <c r="C169" s="8" t="s">
        <v>6</v>
      </c>
      <c r="D169" s="10"/>
      <c r="E169" s="8" t="s">
        <v>6</v>
      </c>
    </row>
    <row r="170" ht="22.5" customHeight="1">
      <c r="A170" s="9"/>
      <c r="B170" s="7"/>
      <c r="C170" s="8" t="s">
        <v>6</v>
      </c>
      <c r="D170" s="10"/>
      <c r="E170" s="8" t="s">
        <v>6</v>
      </c>
    </row>
    <row r="171" ht="22.5" customHeight="1">
      <c r="A171" s="9"/>
      <c r="B171" s="7"/>
      <c r="C171" s="8" t="s">
        <v>6</v>
      </c>
      <c r="D171" s="10"/>
      <c r="E171" s="8" t="s">
        <v>6</v>
      </c>
    </row>
    <row r="172" ht="22.5" customHeight="1">
      <c r="A172" s="9"/>
      <c r="B172" s="7"/>
      <c r="C172" s="8" t="s">
        <v>6</v>
      </c>
      <c r="D172" s="10"/>
      <c r="E172" s="8" t="s">
        <v>6</v>
      </c>
    </row>
    <row r="173" ht="22.5" customHeight="1">
      <c r="A173" s="9"/>
      <c r="B173" s="7"/>
      <c r="C173" s="8" t="s">
        <v>6</v>
      </c>
      <c r="D173" s="10"/>
      <c r="E173" s="8" t="s">
        <v>6</v>
      </c>
    </row>
    <row r="174" ht="22.5" customHeight="1">
      <c r="A174" s="9"/>
      <c r="B174" s="7"/>
      <c r="C174" s="8" t="s">
        <v>6</v>
      </c>
      <c r="D174" s="10"/>
      <c r="E174" s="8" t="s">
        <v>6</v>
      </c>
    </row>
    <row r="175" ht="22.5" customHeight="1">
      <c r="A175" s="9"/>
      <c r="B175" s="7"/>
      <c r="C175" s="8" t="s">
        <v>6</v>
      </c>
      <c r="D175" s="10"/>
      <c r="E175" s="8" t="s">
        <v>6</v>
      </c>
    </row>
    <row r="176" ht="22.5" customHeight="1">
      <c r="A176" s="9"/>
      <c r="B176" s="7"/>
      <c r="C176" s="8" t="s">
        <v>6</v>
      </c>
      <c r="D176" s="10"/>
      <c r="E176" s="8" t="s">
        <v>6</v>
      </c>
    </row>
    <row r="177" ht="22.5" customHeight="1">
      <c r="A177" s="9"/>
      <c r="B177" s="7"/>
      <c r="C177" s="8" t="s">
        <v>6</v>
      </c>
      <c r="D177" s="10"/>
      <c r="E177" s="8" t="s">
        <v>6</v>
      </c>
    </row>
    <row r="178" ht="22.5" customHeight="1">
      <c r="A178" s="9"/>
      <c r="B178" s="7"/>
      <c r="C178" s="8" t="s">
        <v>6</v>
      </c>
      <c r="D178" s="10"/>
      <c r="E178" s="8" t="s">
        <v>6</v>
      </c>
    </row>
    <row r="179" ht="22.5" customHeight="1">
      <c r="A179" s="9"/>
      <c r="B179" s="7"/>
      <c r="C179" s="8" t="s">
        <v>6</v>
      </c>
      <c r="D179" s="10"/>
      <c r="E179" s="8" t="s">
        <v>6</v>
      </c>
    </row>
    <row r="180" ht="22.5" customHeight="1">
      <c r="A180" s="9"/>
      <c r="B180" s="7"/>
      <c r="C180" s="8" t="s">
        <v>6</v>
      </c>
      <c r="D180" s="10"/>
      <c r="E180" s="8" t="s">
        <v>6</v>
      </c>
    </row>
    <row r="181" ht="22.5" customHeight="1">
      <c r="A181" s="9"/>
      <c r="B181" s="7"/>
      <c r="C181" s="8" t="s">
        <v>6</v>
      </c>
      <c r="D181" s="10"/>
      <c r="E181" s="8" t="s">
        <v>6</v>
      </c>
    </row>
    <row r="182" ht="22.5" customHeight="1">
      <c r="A182" s="9"/>
      <c r="B182" s="7"/>
      <c r="C182" s="8" t="s">
        <v>6</v>
      </c>
      <c r="D182" s="10"/>
      <c r="E182" s="8" t="s">
        <v>6</v>
      </c>
    </row>
    <row r="183" ht="22.5" customHeight="1">
      <c r="A183" s="9"/>
      <c r="B183" s="7"/>
      <c r="C183" s="8" t="s">
        <v>6</v>
      </c>
      <c r="D183" s="10"/>
      <c r="E183" s="8" t="s">
        <v>6</v>
      </c>
    </row>
    <row r="184" ht="22.5" customHeight="1">
      <c r="A184" s="9"/>
      <c r="B184" s="7"/>
      <c r="C184" s="8" t="s">
        <v>6</v>
      </c>
      <c r="D184" s="10"/>
      <c r="E184" s="8" t="s">
        <v>6</v>
      </c>
    </row>
    <row r="185" ht="22.5" customHeight="1">
      <c r="A185" s="9"/>
      <c r="B185" s="7"/>
      <c r="C185" s="8" t="s">
        <v>6</v>
      </c>
      <c r="D185" s="10"/>
      <c r="E185" s="8" t="s">
        <v>6</v>
      </c>
    </row>
    <row r="186" ht="22.5" customHeight="1">
      <c r="A186" s="9"/>
      <c r="B186" s="7"/>
      <c r="C186" s="8" t="s">
        <v>6</v>
      </c>
      <c r="D186" s="10"/>
      <c r="E186" s="8" t="s">
        <v>6</v>
      </c>
    </row>
    <row r="187" ht="22.5" customHeight="1">
      <c r="A187" s="9"/>
      <c r="B187" s="7"/>
      <c r="C187" s="8" t="s">
        <v>6</v>
      </c>
      <c r="D187" s="10"/>
      <c r="E187" s="8" t="s">
        <v>6</v>
      </c>
    </row>
    <row r="188" ht="22.5" customHeight="1">
      <c r="A188" s="9"/>
      <c r="B188" s="7"/>
      <c r="C188" s="8" t="s">
        <v>6</v>
      </c>
      <c r="D188" s="10"/>
      <c r="E188" s="8" t="s">
        <v>6</v>
      </c>
    </row>
    <row r="189" ht="22.5" customHeight="1">
      <c r="A189" s="9"/>
      <c r="B189" s="7"/>
      <c r="C189" s="8" t="s">
        <v>6</v>
      </c>
      <c r="D189" s="10"/>
      <c r="E189" s="8" t="s">
        <v>6</v>
      </c>
    </row>
    <row r="190" ht="22.5" customHeight="1">
      <c r="A190" s="9"/>
      <c r="B190" s="7"/>
      <c r="C190" s="8" t="s">
        <v>6</v>
      </c>
      <c r="D190" s="10"/>
      <c r="E190" s="8" t="s">
        <v>6</v>
      </c>
    </row>
    <row r="191" ht="22.5" customHeight="1">
      <c r="A191" s="9"/>
      <c r="B191" s="7"/>
      <c r="C191" s="8" t="s">
        <v>6</v>
      </c>
      <c r="D191" s="10"/>
      <c r="E191" s="8" t="s">
        <v>6</v>
      </c>
    </row>
    <row r="192" ht="22.5" customHeight="1">
      <c r="A192" s="9"/>
      <c r="B192" s="7"/>
      <c r="C192" s="8" t="s">
        <v>6</v>
      </c>
      <c r="D192" s="10"/>
      <c r="E192" s="8" t="s">
        <v>6</v>
      </c>
    </row>
    <row r="193" ht="22.5" customHeight="1">
      <c r="A193" s="9"/>
      <c r="B193" s="7"/>
      <c r="C193" s="8" t="s">
        <v>6</v>
      </c>
      <c r="D193" s="10"/>
      <c r="E193" s="8" t="s">
        <v>6</v>
      </c>
    </row>
    <row r="194" ht="22.5" customHeight="1">
      <c r="A194" s="9"/>
      <c r="B194" s="7"/>
      <c r="C194" s="8" t="s">
        <v>6</v>
      </c>
      <c r="D194" s="10"/>
      <c r="E194" s="8" t="s">
        <v>6</v>
      </c>
    </row>
    <row r="195" ht="22.5" customHeight="1">
      <c r="A195" s="9"/>
      <c r="B195" s="7"/>
      <c r="C195" s="8" t="s">
        <v>6</v>
      </c>
      <c r="D195" s="10"/>
      <c r="E195" s="8" t="s">
        <v>6</v>
      </c>
    </row>
    <row r="196" ht="22.5" customHeight="1">
      <c r="A196" s="9"/>
      <c r="B196" s="7"/>
      <c r="C196" s="8" t="s">
        <v>6</v>
      </c>
      <c r="D196" s="10"/>
      <c r="E196" s="8" t="s">
        <v>6</v>
      </c>
    </row>
    <row r="197" ht="22.5" customHeight="1">
      <c r="A197" s="9"/>
      <c r="B197" s="7"/>
      <c r="C197" s="8" t="s">
        <v>6</v>
      </c>
      <c r="D197" s="10"/>
      <c r="E197" s="8" t="s">
        <v>6</v>
      </c>
    </row>
    <row r="198" ht="22.5" customHeight="1">
      <c r="A198" s="9"/>
      <c r="B198" s="7"/>
      <c r="C198" s="8" t="s">
        <v>6</v>
      </c>
      <c r="D198" s="10"/>
      <c r="E198" s="8" t="s">
        <v>6</v>
      </c>
    </row>
    <row r="199" ht="22.5" customHeight="1">
      <c r="A199" s="9"/>
      <c r="B199" s="7"/>
      <c r="C199" s="8" t="s">
        <v>6</v>
      </c>
      <c r="D199" s="10"/>
      <c r="E199" s="8" t="s">
        <v>6</v>
      </c>
    </row>
    <row r="200" ht="22.5" customHeight="1">
      <c r="A200" s="9"/>
      <c r="B200" s="7"/>
      <c r="C200" s="8" t="s">
        <v>6</v>
      </c>
      <c r="D200" s="10"/>
      <c r="E200" s="8" t="s">
        <v>6</v>
      </c>
    </row>
    <row r="201" ht="22.5" customHeight="1">
      <c r="A201" s="9"/>
      <c r="B201" s="7"/>
      <c r="C201" s="8" t="s">
        <v>6</v>
      </c>
      <c r="D201" s="10"/>
      <c r="E201" s="8" t="s">
        <v>6</v>
      </c>
    </row>
    <row r="202" ht="22.5" customHeight="1">
      <c r="A202" s="9"/>
      <c r="B202" s="7"/>
      <c r="C202" s="8" t="s">
        <v>6</v>
      </c>
      <c r="D202" s="10"/>
      <c r="E202" s="8" t="s">
        <v>6</v>
      </c>
    </row>
    <row r="203" ht="22.5" customHeight="1">
      <c r="A203" s="9"/>
      <c r="B203" s="7"/>
      <c r="C203" s="8" t="s">
        <v>6</v>
      </c>
      <c r="D203" s="10"/>
      <c r="E203" s="8" t="s">
        <v>6</v>
      </c>
    </row>
    <row r="204" ht="22.5" customHeight="1">
      <c r="A204" s="9"/>
      <c r="B204" s="7"/>
      <c r="C204" s="8" t="s">
        <v>6</v>
      </c>
      <c r="D204" s="10"/>
      <c r="E204" s="8" t="s">
        <v>6</v>
      </c>
    </row>
    <row r="205" ht="22.5" customHeight="1">
      <c r="A205" s="9"/>
      <c r="B205" s="7"/>
      <c r="C205" s="8" t="s">
        <v>6</v>
      </c>
      <c r="D205" s="10"/>
      <c r="E205" s="8" t="s">
        <v>6</v>
      </c>
    </row>
    <row r="206" ht="22.5" customHeight="1">
      <c r="A206" s="9"/>
      <c r="B206" s="7"/>
      <c r="C206" s="8" t="s">
        <v>6</v>
      </c>
      <c r="D206" s="10"/>
      <c r="E206" s="8" t="s">
        <v>6</v>
      </c>
    </row>
    <row r="207" ht="22.5" customHeight="1">
      <c r="A207" s="9"/>
      <c r="B207" s="7"/>
      <c r="C207" s="8" t="s">
        <v>6</v>
      </c>
      <c r="D207" s="10"/>
      <c r="E207" s="8" t="s">
        <v>6</v>
      </c>
    </row>
    <row r="208" ht="22.5" customHeight="1">
      <c r="A208" s="9"/>
      <c r="B208" s="7"/>
      <c r="C208" s="8" t="s">
        <v>6</v>
      </c>
      <c r="D208" s="10"/>
      <c r="E208" s="8" t="s">
        <v>6</v>
      </c>
    </row>
    <row r="209" ht="22.5" customHeight="1">
      <c r="A209" s="9"/>
      <c r="B209" s="7"/>
      <c r="C209" s="8" t="s">
        <v>6</v>
      </c>
      <c r="D209" s="10"/>
      <c r="E209" s="8" t="s">
        <v>6</v>
      </c>
    </row>
    <row r="210" ht="22.5" customHeight="1">
      <c r="A210" s="9"/>
      <c r="B210" s="7"/>
      <c r="C210" s="8" t="s">
        <v>6</v>
      </c>
      <c r="D210" s="10"/>
      <c r="E210" s="8" t="s">
        <v>6</v>
      </c>
    </row>
    <row r="211" ht="22.5" customHeight="1">
      <c r="A211" s="9"/>
      <c r="B211" s="7"/>
      <c r="C211" s="8" t="s">
        <v>6</v>
      </c>
      <c r="D211" s="10"/>
      <c r="E211" s="8" t="s">
        <v>6</v>
      </c>
    </row>
    <row r="212" ht="22.5" customHeight="1">
      <c r="A212" s="9"/>
      <c r="B212" s="7"/>
      <c r="C212" s="8" t="s">
        <v>6</v>
      </c>
      <c r="D212" s="10"/>
      <c r="E212" s="8" t="s">
        <v>6</v>
      </c>
    </row>
    <row r="213" ht="22.5" customHeight="1">
      <c r="A213" s="9"/>
      <c r="B213" s="7"/>
      <c r="C213" s="8" t="s">
        <v>6</v>
      </c>
      <c r="D213" s="10"/>
      <c r="E213" s="8" t="s">
        <v>6</v>
      </c>
    </row>
    <row r="214" ht="22.5" customHeight="1">
      <c r="A214" s="9"/>
      <c r="B214" s="7"/>
      <c r="C214" s="8" t="s">
        <v>6</v>
      </c>
      <c r="D214" s="10"/>
      <c r="E214" s="8" t="s">
        <v>6</v>
      </c>
    </row>
    <row r="215" ht="15.75" customHeight="1">
      <c r="A215" s="12"/>
      <c r="B215" s="12"/>
      <c r="C215" s="12" t="s">
        <v>6</v>
      </c>
      <c r="D215" s="12"/>
      <c r="E215" s="12" t="s">
        <v>6</v>
      </c>
    </row>
    <row r="216" ht="15.75" customHeight="1">
      <c r="A216" s="12"/>
      <c r="B216" s="12"/>
      <c r="C216" s="12" t="s">
        <v>6</v>
      </c>
      <c r="D216" s="12"/>
      <c r="E216" s="12" t="s">
        <v>6</v>
      </c>
    </row>
    <row r="217" ht="15.75" customHeight="1">
      <c r="A217" s="12"/>
      <c r="B217" s="12"/>
      <c r="C217" s="12" t="s">
        <v>6</v>
      </c>
      <c r="D217" s="12"/>
      <c r="E217" s="12" t="s">
        <v>6</v>
      </c>
    </row>
    <row r="218" ht="15.75" customHeight="1">
      <c r="A218" s="12"/>
      <c r="B218" s="12"/>
      <c r="C218" s="12" t="s">
        <v>6</v>
      </c>
      <c r="D218" s="12"/>
      <c r="E218" s="12" t="s">
        <v>6</v>
      </c>
    </row>
    <row r="219" ht="15.75" customHeight="1">
      <c r="A219" s="12"/>
      <c r="B219" s="12"/>
      <c r="C219" s="12" t="s">
        <v>6</v>
      </c>
      <c r="D219" s="12"/>
      <c r="E219" s="12" t="s">
        <v>6</v>
      </c>
    </row>
    <row r="220" ht="15.75" customHeight="1">
      <c r="A220" s="12"/>
      <c r="B220" s="12"/>
      <c r="C220" s="12" t="s">
        <v>6</v>
      </c>
      <c r="D220" s="12"/>
      <c r="E220" s="12" t="s">
        <v>6</v>
      </c>
    </row>
    <row r="221" ht="15.75" customHeight="1">
      <c r="A221" s="12"/>
      <c r="B221" s="12"/>
      <c r="C221" s="12" t="s">
        <v>6</v>
      </c>
      <c r="D221" s="12"/>
      <c r="E221" s="12" t="s">
        <v>6</v>
      </c>
    </row>
    <row r="222" ht="15.75" customHeight="1">
      <c r="A222" s="12"/>
      <c r="B222" s="12"/>
      <c r="C222" s="12" t="s">
        <v>6</v>
      </c>
      <c r="D222" s="12"/>
      <c r="E222" s="12" t="s">
        <v>6</v>
      </c>
    </row>
    <row r="223" ht="15.75" customHeight="1">
      <c r="A223" s="12"/>
      <c r="B223" s="12"/>
      <c r="C223" s="12" t="s">
        <v>6</v>
      </c>
      <c r="D223" s="12"/>
      <c r="E223" s="12" t="s">
        <v>6</v>
      </c>
    </row>
    <row r="224" ht="15.75" customHeight="1">
      <c r="A224" s="12"/>
      <c r="B224" s="12"/>
      <c r="C224" s="12" t="s">
        <v>6</v>
      </c>
      <c r="D224" s="12"/>
      <c r="E224" s="12" t="s">
        <v>6</v>
      </c>
    </row>
    <row r="225" ht="15.75" customHeight="1">
      <c r="A225" s="12"/>
      <c r="B225" s="12"/>
      <c r="C225" s="12" t="s">
        <v>6</v>
      </c>
      <c r="D225" s="12"/>
      <c r="E225" s="12" t="s">
        <v>6</v>
      </c>
    </row>
    <row r="226" ht="15.75" customHeight="1">
      <c r="A226" s="12"/>
      <c r="B226" s="12"/>
      <c r="C226" s="12" t="s">
        <v>6</v>
      </c>
      <c r="D226" s="12"/>
      <c r="E226" s="12" t="s">
        <v>6</v>
      </c>
    </row>
    <row r="227" ht="15.75" customHeight="1">
      <c r="A227" s="12"/>
      <c r="B227" s="12"/>
      <c r="C227" s="12" t="s">
        <v>6</v>
      </c>
      <c r="D227" s="12"/>
      <c r="E227" s="12" t="s">
        <v>6</v>
      </c>
    </row>
    <row r="228" ht="15.75" customHeight="1">
      <c r="A228" s="12"/>
      <c r="B228" s="12"/>
      <c r="C228" s="12" t="s">
        <v>6</v>
      </c>
      <c r="D228" s="12"/>
      <c r="E228" s="12" t="s">
        <v>6</v>
      </c>
    </row>
    <row r="229" ht="15.75" customHeight="1">
      <c r="A229" s="12"/>
      <c r="B229" s="12"/>
      <c r="C229" s="12" t="s">
        <v>6</v>
      </c>
      <c r="D229" s="12"/>
      <c r="E229" s="12" t="s">
        <v>6</v>
      </c>
    </row>
    <row r="230" ht="15.75" customHeight="1">
      <c r="A230" s="12"/>
      <c r="B230" s="12"/>
      <c r="C230" s="12" t="s">
        <v>6</v>
      </c>
      <c r="D230" s="12"/>
      <c r="E230" s="12" t="s">
        <v>6</v>
      </c>
    </row>
    <row r="231" ht="15.75" customHeight="1">
      <c r="A231" s="12"/>
      <c r="B231" s="12"/>
      <c r="C231" s="12" t="s">
        <v>6</v>
      </c>
      <c r="D231" s="12"/>
      <c r="E231" s="12" t="s">
        <v>6</v>
      </c>
    </row>
    <row r="232" ht="15.75" customHeight="1">
      <c r="A232" s="12"/>
      <c r="B232" s="12"/>
      <c r="C232" s="12" t="s">
        <v>6</v>
      </c>
      <c r="D232" s="12"/>
      <c r="E232" s="12" t="s">
        <v>6</v>
      </c>
    </row>
    <row r="233" ht="15.75" customHeight="1">
      <c r="A233" s="12"/>
      <c r="B233" s="12"/>
      <c r="C233" s="12" t="s">
        <v>6</v>
      </c>
      <c r="D233" s="12"/>
      <c r="E233" s="12" t="s">
        <v>6</v>
      </c>
    </row>
    <row r="234" ht="15.75" customHeight="1">
      <c r="A234" s="12"/>
      <c r="B234" s="12"/>
      <c r="C234" s="12" t="s">
        <v>6</v>
      </c>
      <c r="D234" s="12"/>
      <c r="E234" s="12" t="s">
        <v>6</v>
      </c>
    </row>
    <row r="235" ht="15.75" customHeight="1">
      <c r="A235" s="12"/>
      <c r="B235" s="12"/>
      <c r="C235" s="12" t="s">
        <v>6</v>
      </c>
      <c r="D235" s="12"/>
      <c r="E235" s="12" t="s">
        <v>6</v>
      </c>
    </row>
    <row r="236" ht="15.75" customHeight="1">
      <c r="A236" s="12"/>
      <c r="B236" s="12"/>
      <c r="C236" s="12" t="s">
        <v>6</v>
      </c>
      <c r="D236" s="12"/>
      <c r="E236" s="12" t="s">
        <v>6</v>
      </c>
    </row>
    <row r="237" ht="15.75" customHeight="1">
      <c r="A237" s="12"/>
      <c r="B237" s="12"/>
      <c r="C237" s="12" t="s">
        <v>6</v>
      </c>
      <c r="D237" s="12"/>
      <c r="E237" s="12" t="s">
        <v>6</v>
      </c>
    </row>
    <row r="238" ht="15.75" customHeight="1">
      <c r="A238" s="12"/>
      <c r="B238" s="12"/>
      <c r="C238" s="12" t="s">
        <v>6</v>
      </c>
      <c r="D238" s="12"/>
      <c r="E238" s="12" t="s">
        <v>6</v>
      </c>
    </row>
    <row r="239" ht="15.75" customHeight="1">
      <c r="A239" s="12"/>
      <c r="B239" s="12"/>
      <c r="C239" s="12" t="s">
        <v>6</v>
      </c>
      <c r="D239" s="12"/>
      <c r="E239" s="12" t="s">
        <v>6</v>
      </c>
    </row>
    <row r="240" ht="15.75" customHeight="1">
      <c r="A240" s="12"/>
      <c r="B240" s="12"/>
      <c r="C240" s="12" t="s">
        <v>6</v>
      </c>
      <c r="D240" s="12"/>
      <c r="E240" s="12" t="s">
        <v>6</v>
      </c>
    </row>
    <row r="241" ht="15.75" customHeight="1">
      <c r="A241" s="12"/>
      <c r="B241" s="12"/>
      <c r="C241" s="12" t="s">
        <v>6</v>
      </c>
      <c r="D241" s="12"/>
      <c r="E241" s="12" t="s">
        <v>6</v>
      </c>
    </row>
    <row r="242" ht="15.75" customHeight="1">
      <c r="A242" s="12"/>
      <c r="B242" s="12"/>
      <c r="C242" s="12" t="s">
        <v>6</v>
      </c>
      <c r="D242" s="12"/>
      <c r="E242" s="12" t="s">
        <v>6</v>
      </c>
    </row>
    <row r="243" ht="15.75" customHeight="1">
      <c r="A243" s="12"/>
      <c r="B243" s="12"/>
      <c r="C243" s="12" t="s">
        <v>6</v>
      </c>
      <c r="D243" s="12"/>
      <c r="E243" s="12" t="s">
        <v>6</v>
      </c>
    </row>
    <row r="244" ht="15.75" customHeight="1">
      <c r="A244" s="12"/>
      <c r="B244" s="12"/>
      <c r="C244" s="12" t="s">
        <v>6</v>
      </c>
      <c r="D244" s="12"/>
      <c r="E244" s="12" t="s">
        <v>6</v>
      </c>
    </row>
    <row r="245" ht="15.75" customHeight="1">
      <c r="A245" s="12"/>
      <c r="B245" s="12"/>
      <c r="C245" s="12" t="s">
        <v>6</v>
      </c>
      <c r="D245" s="12"/>
      <c r="E245" s="12" t="s">
        <v>6</v>
      </c>
    </row>
    <row r="246" ht="15.75" customHeight="1">
      <c r="A246" s="12"/>
      <c r="B246" s="12"/>
      <c r="C246" s="12" t="s">
        <v>6</v>
      </c>
      <c r="D246" s="12"/>
      <c r="E246" s="12" t="s">
        <v>6</v>
      </c>
    </row>
    <row r="247" ht="15.75" customHeight="1">
      <c r="A247" s="12"/>
      <c r="B247" s="12"/>
      <c r="C247" s="12" t="s">
        <v>6</v>
      </c>
      <c r="D247" s="12"/>
      <c r="E247" s="12" t="s">
        <v>6</v>
      </c>
    </row>
    <row r="248" ht="15.75" customHeight="1">
      <c r="A248" s="12"/>
      <c r="B248" s="12"/>
      <c r="C248" s="12" t="s">
        <v>6</v>
      </c>
      <c r="D248" s="12"/>
      <c r="E248" s="12" t="s">
        <v>6</v>
      </c>
    </row>
    <row r="249" ht="15.75" customHeight="1">
      <c r="A249" s="12"/>
      <c r="B249" s="12"/>
      <c r="C249" s="12" t="s">
        <v>6</v>
      </c>
      <c r="D249" s="12"/>
      <c r="E249" s="12" t="s">
        <v>6</v>
      </c>
    </row>
    <row r="250" ht="15.75" customHeight="1">
      <c r="A250" s="12"/>
      <c r="B250" s="12"/>
      <c r="C250" s="12" t="s">
        <v>6</v>
      </c>
      <c r="D250" s="12"/>
      <c r="E250" s="12" t="s">
        <v>6</v>
      </c>
    </row>
    <row r="251" ht="15.75" customHeight="1">
      <c r="A251" s="12"/>
      <c r="B251" s="12"/>
      <c r="C251" s="12" t="s">
        <v>6</v>
      </c>
      <c r="D251" s="12"/>
      <c r="E251" s="12" t="s">
        <v>6</v>
      </c>
    </row>
    <row r="252" ht="15.75" customHeight="1">
      <c r="A252" s="12"/>
      <c r="B252" s="12"/>
      <c r="C252" s="12" t="s">
        <v>6</v>
      </c>
      <c r="D252" s="12"/>
      <c r="E252" s="12" t="s">
        <v>6</v>
      </c>
    </row>
    <row r="253" ht="15.75" customHeight="1">
      <c r="A253" s="12"/>
      <c r="B253" s="12"/>
      <c r="C253" s="12" t="s">
        <v>6</v>
      </c>
      <c r="D253" s="12"/>
      <c r="E253" s="12" t="s">
        <v>6</v>
      </c>
    </row>
    <row r="254" ht="15.75" customHeight="1">
      <c r="A254" s="12"/>
      <c r="B254" s="12"/>
      <c r="C254" s="12" t="s">
        <v>6</v>
      </c>
      <c r="D254" s="12"/>
      <c r="E254" s="12" t="s">
        <v>6</v>
      </c>
    </row>
    <row r="255" ht="15.75" customHeight="1">
      <c r="A255" s="12"/>
      <c r="B255" s="12"/>
      <c r="C255" s="12" t="s">
        <v>6</v>
      </c>
      <c r="D255" s="12"/>
      <c r="E255" s="12" t="s">
        <v>6</v>
      </c>
    </row>
    <row r="256" ht="15.75" customHeight="1">
      <c r="A256" s="12"/>
      <c r="B256" s="12"/>
      <c r="C256" s="12" t="s">
        <v>6</v>
      </c>
      <c r="D256" s="12"/>
      <c r="E256" s="12" t="s">
        <v>6</v>
      </c>
    </row>
    <row r="257" ht="15.75" customHeight="1">
      <c r="A257" s="12"/>
      <c r="B257" s="12"/>
      <c r="C257" s="12" t="s">
        <v>6</v>
      </c>
      <c r="D257" s="12"/>
      <c r="E257" s="12" t="s">
        <v>6</v>
      </c>
    </row>
    <row r="258" ht="15.75" customHeight="1">
      <c r="A258" s="12"/>
      <c r="B258" s="12"/>
      <c r="C258" s="12" t="s">
        <v>6</v>
      </c>
      <c r="D258" s="12"/>
      <c r="E258" s="12" t="s">
        <v>6</v>
      </c>
    </row>
    <row r="259" ht="15.75" customHeight="1">
      <c r="A259" s="12"/>
      <c r="B259" s="12"/>
      <c r="C259" s="12" t="s">
        <v>6</v>
      </c>
      <c r="D259" s="12"/>
      <c r="E259" s="12" t="s">
        <v>6</v>
      </c>
    </row>
    <row r="260" ht="15.75" customHeight="1">
      <c r="A260" s="12"/>
      <c r="B260" s="12"/>
      <c r="C260" s="12" t="s">
        <v>6</v>
      </c>
      <c r="D260" s="12"/>
      <c r="E260" s="12" t="s">
        <v>6</v>
      </c>
    </row>
    <row r="261" ht="15.75" customHeight="1">
      <c r="A261" s="12"/>
      <c r="B261" s="12"/>
      <c r="C261" s="12" t="s">
        <v>6</v>
      </c>
      <c r="D261" s="12"/>
      <c r="E261" s="12" t="s">
        <v>6</v>
      </c>
    </row>
    <row r="262" ht="15.75" customHeight="1">
      <c r="A262" s="12"/>
      <c r="B262" s="12"/>
      <c r="C262" s="12" t="s">
        <v>6</v>
      </c>
      <c r="D262" s="12"/>
      <c r="E262" s="12" t="s">
        <v>6</v>
      </c>
    </row>
    <row r="263" ht="15.75" customHeight="1">
      <c r="A263" s="12"/>
      <c r="B263" s="12"/>
      <c r="C263" s="12" t="s">
        <v>6</v>
      </c>
      <c r="D263" s="12"/>
      <c r="E263" s="12" t="s">
        <v>6</v>
      </c>
    </row>
    <row r="264" ht="15.75" customHeight="1">
      <c r="A264" s="12"/>
      <c r="B264" s="12"/>
      <c r="C264" s="12" t="s">
        <v>6</v>
      </c>
      <c r="D264" s="12"/>
      <c r="E264" s="12" t="s">
        <v>6</v>
      </c>
    </row>
    <row r="265" ht="15.75" customHeight="1">
      <c r="A265" s="12"/>
      <c r="B265" s="12"/>
      <c r="C265" s="12" t="s">
        <v>6</v>
      </c>
      <c r="D265" s="12"/>
      <c r="E265" s="12" t="s">
        <v>6</v>
      </c>
    </row>
    <row r="266" ht="15.75" customHeight="1">
      <c r="A266" s="12"/>
      <c r="B266" s="12"/>
      <c r="C266" s="12" t="s">
        <v>6</v>
      </c>
      <c r="D266" s="12"/>
      <c r="E266" s="12" t="s">
        <v>6</v>
      </c>
    </row>
    <row r="267" ht="15.75" customHeight="1">
      <c r="A267" s="12"/>
      <c r="B267" s="12"/>
      <c r="C267" s="12" t="s">
        <v>6</v>
      </c>
      <c r="D267" s="12"/>
      <c r="E267" s="12" t="s">
        <v>6</v>
      </c>
    </row>
    <row r="268" ht="15.75" customHeight="1">
      <c r="A268" s="12"/>
      <c r="B268" s="12"/>
      <c r="C268" s="12" t="s">
        <v>6</v>
      </c>
      <c r="D268" s="12"/>
      <c r="E268" s="12" t="s">
        <v>6</v>
      </c>
    </row>
    <row r="269" ht="15.75" customHeight="1">
      <c r="A269" s="12"/>
      <c r="B269" s="12"/>
      <c r="C269" s="12" t="s">
        <v>6</v>
      </c>
      <c r="D269" s="12"/>
      <c r="E269" s="12" t="s">
        <v>6</v>
      </c>
    </row>
    <row r="270" ht="15.75" customHeight="1">
      <c r="A270" s="12"/>
      <c r="B270" s="12"/>
      <c r="C270" s="12" t="s">
        <v>6</v>
      </c>
      <c r="D270" s="12"/>
      <c r="E270" s="12" t="s">
        <v>6</v>
      </c>
    </row>
    <row r="271" ht="15.75" customHeight="1">
      <c r="A271" s="12"/>
      <c r="B271" s="12"/>
      <c r="C271" s="12" t="s">
        <v>6</v>
      </c>
      <c r="D271" s="12"/>
      <c r="E271" s="12" t="s">
        <v>6</v>
      </c>
    </row>
    <row r="272" ht="15.75" customHeight="1">
      <c r="A272" s="12"/>
      <c r="B272" s="12"/>
      <c r="C272" s="12" t="s">
        <v>6</v>
      </c>
      <c r="D272" s="12"/>
      <c r="E272" s="12" t="s">
        <v>6</v>
      </c>
    </row>
    <row r="273" ht="15.75" customHeight="1">
      <c r="A273" s="12"/>
      <c r="B273" s="12"/>
      <c r="C273" s="12" t="s">
        <v>6</v>
      </c>
      <c r="D273" s="12"/>
      <c r="E273" s="12" t="s">
        <v>6</v>
      </c>
    </row>
    <row r="274" ht="15.75" customHeight="1">
      <c r="A274" s="12"/>
      <c r="B274" s="12"/>
      <c r="C274" s="12" t="s">
        <v>6</v>
      </c>
      <c r="D274" s="12"/>
      <c r="E274" s="12" t="s">
        <v>6</v>
      </c>
    </row>
    <row r="275" ht="15.75" customHeight="1">
      <c r="A275" s="12"/>
      <c r="B275" s="12"/>
      <c r="C275" s="12" t="s">
        <v>6</v>
      </c>
      <c r="D275" s="12"/>
      <c r="E275" s="12" t="s">
        <v>6</v>
      </c>
    </row>
    <row r="276" ht="15.75" customHeight="1">
      <c r="A276" s="12"/>
      <c r="B276" s="12"/>
      <c r="C276" s="12" t="s">
        <v>6</v>
      </c>
      <c r="D276" s="12"/>
      <c r="E276" s="12" t="s">
        <v>6</v>
      </c>
    </row>
    <row r="277" ht="15.75" customHeight="1">
      <c r="A277" s="12"/>
      <c r="B277" s="12"/>
      <c r="C277" s="12" t="s">
        <v>6</v>
      </c>
      <c r="D277" s="12"/>
      <c r="E277" s="12" t="s">
        <v>6</v>
      </c>
    </row>
    <row r="278" ht="15.75" customHeight="1">
      <c r="A278" s="12"/>
      <c r="B278" s="12"/>
      <c r="C278" s="12" t="s">
        <v>6</v>
      </c>
      <c r="D278" s="12"/>
      <c r="E278" s="12" t="s">
        <v>6</v>
      </c>
    </row>
    <row r="279" ht="15.75" customHeight="1">
      <c r="A279" s="12"/>
      <c r="B279" s="12"/>
      <c r="C279" s="12" t="s">
        <v>6</v>
      </c>
      <c r="D279" s="12"/>
      <c r="E279" s="12" t="s">
        <v>6</v>
      </c>
    </row>
    <row r="280" ht="15.75" customHeight="1">
      <c r="A280" s="12"/>
      <c r="B280" s="12"/>
      <c r="C280" s="12" t="s">
        <v>6</v>
      </c>
      <c r="D280" s="12"/>
      <c r="E280" s="12" t="s">
        <v>6</v>
      </c>
    </row>
    <row r="281" ht="15.75" customHeight="1">
      <c r="A281" s="12"/>
      <c r="B281" s="12"/>
      <c r="C281" s="12" t="s">
        <v>6</v>
      </c>
      <c r="D281" s="12"/>
      <c r="E281" s="12" t="s">
        <v>6</v>
      </c>
    </row>
    <row r="282" ht="15.75" customHeight="1">
      <c r="A282" s="12"/>
      <c r="B282" s="12"/>
      <c r="C282" s="12" t="s">
        <v>6</v>
      </c>
      <c r="D282" s="12"/>
      <c r="E282" s="12" t="s">
        <v>6</v>
      </c>
    </row>
    <row r="283" ht="15.75" customHeight="1">
      <c r="A283" s="12"/>
      <c r="B283" s="12"/>
      <c r="C283" s="12" t="s">
        <v>6</v>
      </c>
      <c r="D283" s="12"/>
      <c r="E283" s="12" t="s">
        <v>6</v>
      </c>
    </row>
    <row r="284" ht="15.75" customHeight="1">
      <c r="A284" s="12"/>
      <c r="B284" s="12"/>
      <c r="C284" s="12" t="s">
        <v>6</v>
      </c>
      <c r="D284" s="12"/>
      <c r="E284" s="12" t="s">
        <v>6</v>
      </c>
    </row>
    <row r="285" ht="15.75" customHeight="1">
      <c r="A285" s="12"/>
      <c r="B285" s="12"/>
      <c r="C285" s="12" t="s">
        <v>6</v>
      </c>
      <c r="D285" s="12"/>
      <c r="E285" s="12" t="s">
        <v>6</v>
      </c>
    </row>
    <row r="286" ht="15.75" customHeight="1">
      <c r="A286" s="12"/>
      <c r="B286" s="12"/>
      <c r="C286" s="12" t="s">
        <v>6</v>
      </c>
      <c r="D286" s="12"/>
      <c r="E286" s="12" t="s">
        <v>6</v>
      </c>
    </row>
    <row r="287" ht="15.75" customHeight="1">
      <c r="A287" s="12"/>
      <c r="B287" s="12"/>
      <c r="C287" s="12" t="s">
        <v>6</v>
      </c>
      <c r="D287" s="12"/>
      <c r="E287" s="12" t="s">
        <v>6</v>
      </c>
    </row>
    <row r="288" ht="15.75" customHeight="1">
      <c r="A288" s="12"/>
      <c r="B288" s="12"/>
      <c r="C288" s="12" t="s">
        <v>6</v>
      </c>
      <c r="D288" s="12"/>
      <c r="E288" s="12" t="s">
        <v>6</v>
      </c>
    </row>
    <row r="289" ht="15.75" customHeight="1">
      <c r="A289" s="12"/>
      <c r="B289" s="12"/>
      <c r="C289" s="12" t="s">
        <v>6</v>
      </c>
      <c r="D289" s="12"/>
      <c r="E289" s="12" t="s">
        <v>6</v>
      </c>
    </row>
    <row r="290" ht="15.75" customHeight="1">
      <c r="A290" s="12"/>
      <c r="B290" s="12"/>
      <c r="C290" s="12" t="s">
        <v>6</v>
      </c>
      <c r="D290" s="12"/>
      <c r="E290" s="12" t="s">
        <v>6</v>
      </c>
    </row>
    <row r="291" ht="15.75" customHeight="1">
      <c r="A291" s="12"/>
      <c r="B291" s="12"/>
      <c r="C291" s="12" t="s">
        <v>6</v>
      </c>
      <c r="D291" s="12"/>
      <c r="E291" s="12" t="s">
        <v>6</v>
      </c>
    </row>
    <row r="292" ht="15.75" customHeight="1">
      <c r="A292" s="12"/>
      <c r="B292" s="12"/>
      <c r="C292" s="12" t="s">
        <v>6</v>
      </c>
      <c r="D292" s="12"/>
      <c r="E292" s="12" t="s">
        <v>6</v>
      </c>
    </row>
    <row r="293" ht="15.75" customHeight="1">
      <c r="A293" s="12"/>
      <c r="B293" s="12"/>
      <c r="C293" s="12" t="s">
        <v>6</v>
      </c>
      <c r="D293" s="12"/>
      <c r="E293" s="12" t="s">
        <v>6</v>
      </c>
    </row>
    <row r="294" ht="15.75" customHeight="1">
      <c r="A294" s="12"/>
      <c r="B294" s="12"/>
      <c r="C294" s="12" t="s">
        <v>6</v>
      </c>
      <c r="D294" s="12"/>
      <c r="E294" s="12" t="s">
        <v>6</v>
      </c>
    </row>
    <row r="295" ht="15.75" customHeight="1">
      <c r="A295" s="12"/>
      <c r="B295" s="12"/>
      <c r="C295" s="12" t="s">
        <v>6</v>
      </c>
      <c r="D295" s="12"/>
      <c r="E295" s="12" t="s">
        <v>6</v>
      </c>
    </row>
    <row r="296" ht="15.75" customHeight="1">
      <c r="A296" s="12"/>
      <c r="B296" s="12"/>
      <c r="C296" s="12" t="s">
        <v>6</v>
      </c>
      <c r="D296" s="12"/>
      <c r="E296" s="12" t="s">
        <v>6</v>
      </c>
    </row>
    <row r="297" ht="15.75" customHeight="1">
      <c r="A297" s="12"/>
      <c r="B297" s="12"/>
      <c r="C297" s="12" t="s">
        <v>6</v>
      </c>
      <c r="D297" s="12"/>
      <c r="E297" s="12" t="s">
        <v>6</v>
      </c>
    </row>
    <row r="298" ht="15.75" customHeight="1">
      <c r="A298" s="12"/>
      <c r="B298" s="12"/>
      <c r="C298" s="12" t="s">
        <v>6</v>
      </c>
      <c r="D298" s="12"/>
      <c r="E298" s="12" t="s">
        <v>6</v>
      </c>
    </row>
    <row r="299" ht="15.75" customHeight="1">
      <c r="A299" s="12"/>
      <c r="B299" s="12"/>
      <c r="C299" s="12" t="s">
        <v>6</v>
      </c>
      <c r="D299" s="12"/>
      <c r="E299" s="12" t="s">
        <v>6</v>
      </c>
    </row>
    <row r="300" ht="15.75" customHeight="1">
      <c r="A300" s="12"/>
      <c r="B300" s="12"/>
      <c r="C300" s="12" t="s">
        <v>6</v>
      </c>
      <c r="D300" s="12"/>
      <c r="E300" s="12" t="s">
        <v>6</v>
      </c>
    </row>
    <row r="301" ht="15.75" customHeight="1">
      <c r="A301" s="12"/>
      <c r="B301" s="12"/>
      <c r="C301" s="12" t="s">
        <v>6</v>
      </c>
      <c r="D301" s="12"/>
      <c r="E301" s="12" t="s">
        <v>6</v>
      </c>
    </row>
    <row r="302" ht="15.75" customHeight="1">
      <c r="A302" s="12"/>
      <c r="B302" s="12"/>
      <c r="C302" s="12" t="s">
        <v>6</v>
      </c>
      <c r="D302" s="12"/>
      <c r="E302" s="12" t="s">
        <v>6</v>
      </c>
    </row>
    <row r="303" ht="15.75" customHeight="1">
      <c r="A303" s="12"/>
      <c r="B303" s="12"/>
      <c r="C303" s="12" t="s">
        <v>6</v>
      </c>
      <c r="D303" s="12"/>
      <c r="E303" s="12" t="s">
        <v>6</v>
      </c>
    </row>
    <row r="304" ht="15.75" customHeight="1">
      <c r="A304" s="12"/>
      <c r="B304" s="12"/>
      <c r="C304" s="12" t="s">
        <v>6</v>
      </c>
      <c r="D304" s="12"/>
      <c r="E304" s="12" t="s">
        <v>6</v>
      </c>
    </row>
    <row r="305" ht="15.75" customHeight="1">
      <c r="A305" s="12"/>
      <c r="B305" s="12"/>
      <c r="C305" s="12" t="s">
        <v>6</v>
      </c>
      <c r="D305" s="12"/>
      <c r="E305" s="12" t="s">
        <v>6</v>
      </c>
    </row>
    <row r="306" ht="15.75" customHeight="1">
      <c r="A306" s="12"/>
      <c r="B306" s="12"/>
      <c r="C306" s="12" t="s">
        <v>6</v>
      </c>
      <c r="D306" s="12"/>
      <c r="E306" s="12" t="s">
        <v>6</v>
      </c>
    </row>
    <row r="307" ht="15.75" customHeight="1">
      <c r="A307" s="12"/>
      <c r="B307" s="12"/>
      <c r="C307" s="12" t="s">
        <v>6</v>
      </c>
      <c r="D307" s="12"/>
      <c r="E307" s="12" t="s">
        <v>6</v>
      </c>
    </row>
    <row r="308" ht="15.75" customHeight="1">
      <c r="A308" s="12"/>
      <c r="B308" s="12"/>
      <c r="C308" s="12" t="s">
        <v>6</v>
      </c>
      <c r="D308" s="12"/>
      <c r="E308" s="12" t="s">
        <v>6</v>
      </c>
    </row>
    <row r="309" ht="15.75" customHeight="1">
      <c r="A309" s="12"/>
      <c r="B309" s="12"/>
      <c r="C309" s="12" t="s">
        <v>6</v>
      </c>
      <c r="D309" s="12"/>
      <c r="E309" s="12" t="s">
        <v>6</v>
      </c>
    </row>
    <row r="310" ht="15.75" customHeight="1">
      <c r="A310" s="12"/>
      <c r="B310" s="12"/>
      <c r="C310" s="12" t="s">
        <v>6</v>
      </c>
      <c r="D310" s="12"/>
      <c r="E310" s="12" t="s">
        <v>6</v>
      </c>
    </row>
    <row r="311" ht="15.75" customHeight="1">
      <c r="A311" s="12"/>
      <c r="B311" s="12"/>
      <c r="C311" s="12" t="s">
        <v>6</v>
      </c>
      <c r="D311" s="12"/>
      <c r="E311" s="12" t="s">
        <v>6</v>
      </c>
    </row>
    <row r="312" ht="15.75" customHeight="1">
      <c r="A312" s="12"/>
      <c r="B312" s="12"/>
      <c r="C312" s="12" t="s">
        <v>6</v>
      </c>
      <c r="D312" s="12"/>
      <c r="E312" s="12" t="s">
        <v>6</v>
      </c>
    </row>
    <row r="313" ht="15.75" customHeight="1">
      <c r="A313" s="12"/>
      <c r="B313" s="12"/>
      <c r="C313" s="12" t="s">
        <v>6</v>
      </c>
      <c r="D313" s="12"/>
      <c r="E313" s="12" t="s">
        <v>6</v>
      </c>
    </row>
    <row r="314" ht="15.75" customHeight="1">
      <c r="A314" s="12"/>
      <c r="B314" s="12"/>
      <c r="C314" s="12" t="s">
        <v>6</v>
      </c>
      <c r="D314" s="12"/>
      <c r="E314" s="12" t="s">
        <v>6</v>
      </c>
    </row>
    <row r="315" ht="15.75" customHeight="1">
      <c r="A315" s="12"/>
      <c r="B315" s="12"/>
      <c r="C315" s="12" t="s">
        <v>6</v>
      </c>
      <c r="D315" s="12"/>
      <c r="E315" s="12" t="s">
        <v>6</v>
      </c>
    </row>
    <row r="316" ht="15.75" customHeight="1">
      <c r="A316" s="12"/>
      <c r="B316" s="12"/>
      <c r="C316" s="12" t="s">
        <v>6</v>
      </c>
      <c r="D316" s="12"/>
      <c r="E316" s="12" t="s">
        <v>6</v>
      </c>
    </row>
    <row r="317" ht="15.75" customHeight="1">
      <c r="A317" s="12"/>
      <c r="B317" s="12"/>
      <c r="C317" s="12" t="s">
        <v>6</v>
      </c>
      <c r="D317" s="12"/>
      <c r="E317" s="12" t="s">
        <v>6</v>
      </c>
    </row>
    <row r="318" ht="15.75" customHeight="1">
      <c r="A318" s="12"/>
      <c r="B318" s="12"/>
      <c r="C318" s="12" t="s">
        <v>6</v>
      </c>
      <c r="D318" s="12"/>
      <c r="E318" s="12" t="s">
        <v>6</v>
      </c>
    </row>
    <row r="319" ht="15.75" customHeight="1">
      <c r="A319" s="12"/>
      <c r="B319" s="12"/>
      <c r="C319" s="12" t="s">
        <v>6</v>
      </c>
      <c r="D319" s="12"/>
      <c r="E319" s="12" t="s">
        <v>6</v>
      </c>
    </row>
    <row r="320" ht="15.75" customHeight="1">
      <c r="A320" s="12"/>
      <c r="B320" s="12"/>
      <c r="C320" s="12" t="s">
        <v>6</v>
      </c>
      <c r="D320" s="12"/>
      <c r="E320" s="12" t="s">
        <v>6</v>
      </c>
    </row>
    <row r="321" ht="15.75" customHeight="1">
      <c r="A321" s="12"/>
      <c r="B321" s="12"/>
      <c r="C321" s="12" t="s">
        <v>6</v>
      </c>
      <c r="D321" s="12"/>
      <c r="E321" s="12" t="s">
        <v>6</v>
      </c>
    </row>
    <row r="322" ht="15.75" customHeight="1">
      <c r="A322" s="12"/>
      <c r="B322" s="12"/>
      <c r="C322" s="12" t="s">
        <v>6</v>
      </c>
      <c r="D322" s="12"/>
      <c r="E322" s="12" t="s">
        <v>6</v>
      </c>
    </row>
    <row r="323" ht="15.75" customHeight="1">
      <c r="A323" s="12"/>
      <c r="B323" s="12"/>
      <c r="C323" s="12" t="s">
        <v>6</v>
      </c>
      <c r="D323" s="12"/>
      <c r="E323" s="12" t="s">
        <v>6</v>
      </c>
    </row>
    <row r="324" ht="15.75" customHeight="1">
      <c r="A324" s="12"/>
      <c r="B324" s="12"/>
      <c r="C324" s="12" t="s">
        <v>6</v>
      </c>
      <c r="D324" s="12"/>
      <c r="E324" s="12" t="s">
        <v>6</v>
      </c>
    </row>
    <row r="325" ht="15.75" customHeight="1">
      <c r="A325" s="12"/>
      <c r="B325" s="12"/>
      <c r="C325" s="12" t="s">
        <v>6</v>
      </c>
      <c r="D325" s="12"/>
      <c r="E325" s="12" t="s">
        <v>6</v>
      </c>
    </row>
    <row r="326" ht="15.75" customHeight="1">
      <c r="A326" s="12"/>
      <c r="B326" s="12"/>
      <c r="C326" s="12" t="s">
        <v>6</v>
      </c>
      <c r="D326" s="12"/>
      <c r="E326" s="12" t="s">
        <v>6</v>
      </c>
    </row>
    <row r="327" ht="15.75" customHeight="1">
      <c r="A327" s="12"/>
      <c r="B327" s="12"/>
      <c r="C327" s="12" t="s">
        <v>6</v>
      </c>
      <c r="D327" s="12"/>
      <c r="E327" s="12" t="s">
        <v>6</v>
      </c>
    </row>
    <row r="328" ht="15.75" customHeight="1">
      <c r="A328" s="12"/>
      <c r="B328" s="12"/>
      <c r="C328" s="12" t="s">
        <v>6</v>
      </c>
      <c r="D328" s="12"/>
      <c r="E328" s="12" t="s">
        <v>6</v>
      </c>
    </row>
    <row r="329" ht="15.75" customHeight="1">
      <c r="A329" s="12"/>
      <c r="B329" s="12"/>
      <c r="C329" s="12" t="s">
        <v>6</v>
      </c>
      <c r="D329" s="12"/>
      <c r="E329" s="12" t="s">
        <v>6</v>
      </c>
    </row>
    <row r="330" ht="15.75" customHeight="1">
      <c r="A330" s="12"/>
      <c r="B330" s="12"/>
      <c r="C330" s="12" t="s">
        <v>6</v>
      </c>
      <c r="D330" s="12"/>
      <c r="E330" s="12" t="s">
        <v>6</v>
      </c>
    </row>
    <row r="331" ht="15.75" customHeight="1">
      <c r="A331" s="12"/>
      <c r="B331" s="12"/>
      <c r="C331" s="12" t="s">
        <v>6</v>
      </c>
      <c r="D331" s="12"/>
      <c r="E331" s="12" t="s">
        <v>6</v>
      </c>
    </row>
    <row r="332" ht="15.75" customHeight="1">
      <c r="A332" s="12"/>
      <c r="B332" s="12"/>
      <c r="C332" s="12" t="s">
        <v>6</v>
      </c>
      <c r="D332" s="12"/>
      <c r="E332" s="12" t="s">
        <v>6</v>
      </c>
    </row>
    <row r="333" ht="15.75" customHeight="1">
      <c r="A333" s="12"/>
      <c r="B333" s="12"/>
      <c r="C333" s="12" t="s">
        <v>6</v>
      </c>
      <c r="D333" s="12"/>
      <c r="E333" s="12" t="s">
        <v>6</v>
      </c>
    </row>
    <row r="334" ht="15.75" customHeight="1">
      <c r="A334" s="12"/>
      <c r="B334" s="12"/>
      <c r="C334" s="12" t="s">
        <v>6</v>
      </c>
      <c r="D334" s="12"/>
      <c r="E334" s="12" t="s">
        <v>6</v>
      </c>
    </row>
    <row r="335" ht="15.75" customHeight="1">
      <c r="A335" s="12"/>
      <c r="B335" s="12"/>
      <c r="C335" s="12" t="s">
        <v>6</v>
      </c>
      <c r="D335" s="12"/>
      <c r="E335" s="12" t="s">
        <v>6</v>
      </c>
    </row>
    <row r="336" ht="15.75" customHeight="1">
      <c r="A336" s="12"/>
      <c r="B336" s="12"/>
      <c r="C336" s="12" t="s">
        <v>6</v>
      </c>
      <c r="D336" s="12"/>
      <c r="E336" s="12" t="s">
        <v>6</v>
      </c>
    </row>
    <row r="337" ht="15.75" customHeight="1">
      <c r="A337" s="12"/>
      <c r="B337" s="12"/>
      <c r="C337" s="12" t="s">
        <v>6</v>
      </c>
      <c r="D337" s="12"/>
      <c r="E337" s="12" t="s">
        <v>6</v>
      </c>
    </row>
    <row r="338" ht="15.75" customHeight="1">
      <c r="A338" s="12"/>
      <c r="B338" s="12"/>
      <c r="C338" s="12" t="s">
        <v>6</v>
      </c>
      <c r="D338" s="12"/>
      <c r="E338" s="12" t="s">
        <v>6</v>
      </c>
    </row>
    <row r="339" ht="15.75" customHeight="1">
      <c r="B339" s="12"/>
      <c r="C339" s="12" t="s">
        <v>6</v>
      </c>
      <c r="D339" s="12"/>
      <c r="E339" s="12" t="s">
        <v>6</v>
      </c>
    </row>
    <row r="340" ht="15.75" customHeight="1">
      <c r="A340" s="12"/>
      <c r="B340" s="12"/>
      <c r="C340" s="12" t="s">
        <v>6</v>
      </c>
      <c r="D340" s="12"/>
      <c r="E340" s="12" t="s">
        <v>6</v>
      </c>
    </row>
    <row r="341" ht="15.75" customHeight="1">
      <c r="A341" s="12"/>
      <c r="B341" s="12"/>
      <c r="C341" s="12" t="s">
        <v>6</v>
      </c>
      <c r="D341" s="12"/>
      <c r="E341" s="12" t="s">
        <v>6</v>
      </c>
    </row>
    <row r="342" ht="15.75" customHeight="1">
      <c r="A342" s="12"/>
      <c r="B342" s="12"/>
      <c r="C342" s="12" t="s">
        <v>6</v>
      </c>
      <c r="D342" s="12"/>
      <c r="E342" s="12" t="s">
        <v>6</v>
      </c>
    </row>
    <row r="343" ht="15.75" customHeight="1">
      <c r="A343" s="12"/>
      <c r="B343" s="12"/>
      <c r="C343" s="12" t="s">
        <v>6</v>
      </c>
      <c r="D343" s="12"/>
      <c r="E343" s="12" t="s">
        <v>6</v>
      </c>
    </row>
    <row r="344" ht="15.75" customHeight="1">
      <c r="A344" s="12"/>
      <c r="B344" s="12"/>
      <c r="C344" s="12" t="s">
        <v>6</v>
      </c>
      <c r="D344" s="12"/>
      <c r="E344" s="12" t="s">
        <v>6</v>
      </c>
    </row>
    <row r="345" ht="15.75" customHeight="1">
      <c r="A345" s="12"/>
      <c r="B345" s="12"/>
      <c r="C345" s="12" t="s">
        <v>6</v>
      </c>
      <c r="D345" s="12"/>
      <c r="E345" s="12" t="s">
        <v>6</v>
      </c>
    </row>
    <row r="346" ht="15.75" customHeight="1">
      <c r="A346" s="12"/>
      <c r="B346" s="12"/>
      <c r="C346" s="12" t="s">
        <v>6</v>
      </c>
      <c r="D346" s="12"/>
      <c r="E346" s="12" t="s">
        <v>6</v>
      </c>
    </row>
    <row r="347" ht="15.75" customHeight="1">
      <c r="A347" s="12"/>
      <c r="B347" s="12"/>
      <c r="C347" s="12" t="s">
        <v>6</v>
      </c>
      <c r="D347" s="12"/>
      <c r="E347" s="12" t="s">
        <v>6</v>
      </c>
    </row>
    <row r="348" ht="15.75" customHeight="1">
      <c r="A348" s="12"/>
      <c r="B348" s="12"/>
      <c r="C348" s="12" t="s">
        <v>6</v>
      </c>
      <c r="D348" s="12"/>
      <c r="E348" s="12" t="s">
        <v>6</v>
      </c>
    </row>
    <row r="349" ht="15.75" customHeight="1">
      <c r="A349" s="12"/>
      <c r="B349" s="12"/>
      <c r="C349" s="12" t="s">
        <v>6</v>
      </c>
      <c r="D349" s="12"/>
      <c r="E349" s="12" t="s">
        <v>6</v>
      </c>
    </row>
    <row r="350" ht="15.75" customHeight="1">
      <c r="A350" s="12"/>
      <c r="B350" s="12"/>
      <c r="C350" s="12" t="s">
        <v>6</v>
      </c>
      <c r="D350" s="12"/>
      <c r="E350" s="12" t="s">
        <v>6</v>
      </c>
    </row>
    <row r="351" ht="15.75" customHeight="1">
      <c r="A351" s="12"/>
      <c r="B351" s="12"/>
      <c r="C351" s="12" t="s">
        <v>6</v>
      </c>
      <c r="D351" s="12"/>
      <c r="E351" s="12" t="s">
        <v>6</v>
      </c>
    </row>
    <row r="352" ht="15.75" customHeight="1">
      <c r="A352" s="12"/>
      <c r="B352" s="12"/>
      <c r="C352" s="12" t="s">
        <v>6</v>
      </c>
      <c r="D352" s="12"/>
      <c r="E352" s="12" t="s">
        <v>6</v>
      </c>
    </row>
    <row r="353" ht="15.75" customHeight="1">
      <c r="A353" s="12"/>
      <c r="B353" s="12"/>
      <c r="C353" s="12" t="s">
        <v>6</v>
      </c>
      <c r="D353" s="12"/>
      <c r="E353" s="12" t="s">
        <v>6</v>
      </c>
    </row>
    <row r="354" ht="15.75" customHeight="1">
      <c r="A354" s="12"/>
      <c r="B354" s="12"/>
      <c r="C354" s="12" t="s">
        <v>6</v>
      </c>
      <c r="D354" s="12"/>
      <c r="E354" s="12" t="s">
        <v>6</v>
      </c>
    </row>
    <row r="355" ht="15.75" customHeight="1">
      <c r="A355" s="12"/>
      <c r="B355" s="12"/>
      <c r="C355" s="12" t="s">
        <v>6</v>
      </c>
      <c r="D355" s="12"/>
      <c r="E355" s="12" t="s">
        <v>6</v>
      </c>
    </row>
    <row r="356" ht="15.75" customHeight="1">
      <c r="A356" s="12"/>
      <c r="B356" s="12"/>
      <c r="C356" s="12" t="s">
        <v>6</v>
      </c>
      <c r="D356" s="12"/>
      <c r="E356" s="12" t="s">
        <v>6</v>
      </c>
    </row>
    <row r="357" ht="15.75" customHeight="1">
      <c r="A357" s="12"/>
      <c r="B357" s="12"/>
      <c r="C357" s="12" t="s">
        <v>6</v>
      </c>
      <c r="D357" s="12"/>
      <c r="E357" s="12" t="s">
        <v>6</v>
      </c>
    </row>
    <row r="358" ht="15.75" customHeight="1">
      <c r="A358" s="12"/>
      <c r="B358" s="12"/>
      <c r="C358" s="12" t="s">
        <v>6</v>
      </c>
      <c r="D358" s="12"/>
      <c r="E358" s="12" t="s">
        <v>6</v>
      </c>
    </row>
    <row r="359" ht="15.75" customHeight="1">
      <c r="A359" s="12"/>
      <c r="B359" s="12"/>
      <c r="C359" s="12" t="s">
        <v>6</v>
      </c>
      <c r="D359" s="12"/>
      <c r="E359" s="12" t="s">
        <v>6</v>
      </c>
    </row>
    <row r="360" ht="15.75" customHeight="1">
      <c r="A360" s="12"/>
      <c r="B360" s="12"/>
      <c r="C360" s="12" t="s">
        <v>6</v>
      </c>
      <c r="D360" s="12"/>
      <c r="E360" s="12" t="s">
        <v>6</v>
      </c>
    </row>
    <row r="361" ht="15.75" customHeight="1">
      <c r="A361" s="12"/>
      <c r="B361" s="12"/>
      <c r="C361" s="12" t="s">
        <v>6</v>
      </c>
      <c r="D361" s="12"/>
      <c r="E361" s="12" t="s">
        <v>6</v>
      </c>
    </row>
    <row r="362" ht="15.75" customHeight="1">
      <c r="A362" s="12"/>
      <c r="B362" s="12"/>
      <c r="C362" s="12" t="s">
        <v>6</v>
      </c>
      <c r="D362" s="12"/>
      <c r="E362" s="12" t="s">
        <v>6</v>
      </c>
    </row>
    <row r="363" ht="15.75" customHeight="1">
      <c r="A363" s="12"/>
      <c r="B363" s="12"/>
      <c r="C363" s="12" t="s">
        <v>6</v>
      </c>
      <c r="D363" s="12"/>
      <c r="E363" s="12" t="s">
        <v>6</v>
      </c>
    </row>
    <row r="364" ht="15.75" customHeight="1">
      <c r="A364" s="12"/>
      <c r="B364" s="12"/>
      <c r="C364" s="12" t="s">
        <v>6</v>
      </c>
      <c r="D364" s="12"/>
      <c r="E364" s="12" t="s">
        <v>6</v>
      </c>
    </row>
    <row r="365" ht="15.75" customHeight="1">
      <c r="A365" s="12"/>
      <c r="B365" s="12"/>
      <c r="C365" s="12" t="s">
        <v>6</v>
      </c>
      <c r="D365" s="12"/>
      <c r="E365" s="12" t="s">
        <v>6</v>
      </c>
    </row>
    <row r="366" ht="15.75" customHeight="1">
      <c r="A366" s="12"/>
      <c r="B366" s="12"/>
      <c r="C366" s="12" t="s">
        <v>6</v>
      </c>
      <c r="D366" s="12"/>
      <c r="E366" s="12" t="s">
        <v>6</v>
      </c>
    </row>
    <row r="367" ht="15.75" customHeight="1">
      <c r="A367" s="12"/>
      <c r="B367" s="12"/>
      <c r="C367" s="12" t="s">
        <v>6</v>
      </c>
      <c r="D367" s="12"/>
      <c r="E367" s="12" t="s">
        <v>6</v>
      </c>
    </row>
    <row r="368" ht="15.75" customHeight="1">
      <c r="A368" s="12"/>
      <c r="B368" s="12"/>
      <c r="C368" s="12" t="s">
        <v>6</v>
      </c>
      <c r="D368" s="12"/>
      <c r="E368" s="12" t="s">
        <v>6</v>
      </c>
    </row>
    <row r="369" ht="15.75" customHeight="1">
      <c r="A369" s="12"/>
      <c r="B369" s="12"/>
      <c r="C369" s="12" t="s">
        <v>6</v>
      </c>
      <c r="D369" s="12"/>
      <c r="E369" s="12" t="s">
        <v>6</v>
      </c>
    </row>
    <row r="370" ht="15.75" customHeight="1">
      <c r="A370" s="12"/>
      <c r="B370" s="12"/>
      <c r="C370" s="12" t="s">
        <v>6</v>
      </c>
      <c r="D370" s="12"/>
      <c r="E370" s="12" t="s">
        <v>6</v>
      </c>
    </row>
    <row r="371" ht="15.75" customHeight="1">
      <c r="A371" s="12"/>
      <c r="B371" s="12"/>
      <c r="C371" s="12" t="s">
        <v>6</v>
      </c>
      <c r="D371" s="12"/>
      <c r="E371" s="12" t="s">
        <v>6</v>
      </c>
    </row>
    <row r="372" ht="15.75" customHeight="1">
      <c r="A372" s="12"/>
      <c r="B372" s="12"/>
      <c r="C372" s="12" t="s">
        <v>6</v>
      </c>
      <c r="D372" s="12"/>
      <c r="E372" s="12" t="s">
        <v>6</v>
      </c>
    </row>
    <row r="373" ht="15.75" customHeight="1">
      <c r="A373" s="12"/>
      <c r="B373" s="12"/>
      <c r="C373" s="12" t="s">
        <v>6</v>
      </c>
      <c r="D373" s="12"/>
      <c r="E373" s="12" t="s">
        <v>6</v>
      </c>
    </row>
    <row r="374" ht="15.75" customHeight="1">
      <c r="A374" s="12"/>
      <c r="B374" s="12"/>
      <c r="C374" s="12" t="s">
        <v>6</v>
      </c>
      <c r="D374" s="12"/>
      <c r="E374" s="12" t="s">
        <v>6</v>
      </c>
    </row>
    <row r="375" ht="15.75" customHeight="1">
      <c r="A375" s="12"/>
      <c r="B375" s="12"/>
      <c r="C375" s="12" t="s">
        <v>6</v>
      </c>
      <c r="D375" s="12"/>
      <c r="E375" s="12" t="s">
        <v>6</v>
      </c>
    </row>
    <row r="376" ht="15.75" customHeight="1">
      <c r="A376" s="12"/>
      <c r="B376" s="12"/>
      <c r="C376" s="12" t="s">
        <v>6</v>
      </c>
      <c r="D376" s="12"/>
      <c r="E376" s="12" t="s">
        <v>6</v>
      </c>
    </row>
    <row r="377" ht="15.75" customHeight="1">
      <c r="A377" s="12"/>
      <c r="B377" s="12"/>
      <c r="C377" s="12" t="s">
        <v>6</v>
      </c>
      <c r="D377" s="12"/>
      <c r="E377" s="12" t="s">
        <v>6</v>
      </c>
    </row>
    <row r="378" ht="15.75" customHeight="1">
      <c r="A378" s="12"/>
      <c r="B378" s="12"/>
      <c r="C378" s="12" t="s">
        <v>6</v>
      </c>
      <c r="D378" s="12"/>
      <c r="E378" s="12" t="s">
        <v>6</v>
      </c>
    </row>
    <row r="379" ht="15.75" customHeight="1">
      <c r="A379" s="12"/>
      <c r="B379" s="12"/>
      <c r="C379" s="12" t="s">
        <v>6</v>
      </c>
      <c r="D379" s="12"/>
      <c r="E379" s="12" t="s">
        <v>6</v>
      </c>
    </row>
    <row r="380" ht="15.75" customHeight="1">
      <c r="A380" s="12"/>
      <c r="B380" s="12"/>
      <c r="C380" s="12" t="s">
        <v>6</v>
      </c>
      <c r="D380" s="12"/>
      <c r="E380" s="12" t="s">
        <v>6</v>
      </c>
    </row>
    <row r="381" ht="15.75" customHeight="1">
      <c r="A381" s="12"/>
      <c r="B381" s="12"/>
      <c r="C381" s="12" t="s">
        <v>6</v>
      </c>
      <c r="D381" s="12"/>
      <c r="E381" s="12" t="s">
        <v>6</v>
      </c>
    </row>
    <row r="382" ht="15.75" customHeight="1">
      <c r="A382" s="12"/>
      <c r="B382" s="12"/>
      <c r="C382" s="12" t="s">
        <v>6</v>
      </c>
      <c r="D382" s="12"/>
      <c r="E382" s="12" t="s">
        <v>6</v>
      </c>
    </row>
    <row r="383" ht="15.75" customHeight="1">
      <c r="A383" s="12"/>
      <c r="B383" s="12"/>
      <c r="C383" s="12" t="s">
        <v>6</v>
      </c>
      <c r="D383" s="12"/>
      <c r="E383" s="12" t="s">
        <v>6</v>
      </c>
    </row>
    <row r="384" ht="15.75" customHeight="1">
      <c r="A384" s="12"/>
      <c r="B384" s="12"/>
      <c r="C384" s="12" t="s">
        <v>6</v>
      </c>
      <c r="D384" s="12"/>
      <c r="E384" s="12" t="s">
        <v>6</v>
      </c>
    </row>
    <row r="385" ht="15.75" customHeight="1">
      <c r="A385" s="12"/>
      <c r="B385" s="12"/>
      <c r="C385" s="12" t="s">
        <v>6</v>
      </c>
      <c r="D385" s="12"/>
      <c r="E385" s="12" t="s">
        <v>6</v>
      </c>
    </row>
    <row r="386" ht="15.75" customHeight="1">
      <c r="A386" s="12"/>
      <c r="B386" s="12"/>
      <c r="C386" s="12" t="s">
        <v>6</v>
      </c>
      <c r="D386" s="12"/>
      <c r="E386" s="12" t="s">
        <v>6</v>
      </c>
    </row>
    <row r="387" ht="15.75" customHeight="1">
      <c r="A387" s="12"/>
      <c r="B387" s="12"/>
      <c r="C387" s="12" t="s">
        <v>6</v>
      </c>
      <c r="D387" s="12"/>
      <c r="E387" s="12" t="s">
        <v>6</v>
      </c>
    </row>
    <row r="388" ht="15.75" customHeight="1">
      <c r="A388" s="12"/>
      <c r="B388" s="12"/>
      <c r="C388" s="12" t="s">
        <v>6</v>
      </c>
      <c r="D388" s="12"/>
      <c r="E388" s="12" t="s">
        <v>6</v>
      </c>
    </row>
    <row r="389" ht="15.75" customHeight="1">
      <c r="A389" s="12"/>
      <c r="B389" s="12"/>
      <c r="C389" s="12" t="s">
        <v>6</v>
      </c>
      <c r="D389" s="12"/>
      <c r="E389" s="12" t="s">
        <v>6</v>
      </c>
    </row>
    <row r="390" ht="15.75" customHeight="1">
      <c r="A390" s="12"/>
      <c r="B390" s="12"/>
      <c r="C390" s="12" t="s">
        <v>6</v>
      </c>
      <c r="D390" s="12"/>
      <c r="E390" s="12" t="s">
        <v>6</v>
      </c>
    </row>
    <row r="391" ht="15.75" customHeight="1">
      <c r="A391" s="12"/>
      <c r="B391" s="12"/>
      <c r="C391" s="12" t="s">
        <v>6</v>
      </c>
      <c r="D391" s="12"/>
      <c r="E391" s="12" t="s">
        <v>6</v>
      </c>
    </row>
    <row r="392" ht="15.75" customHeight="1">
      <c r="A392" s="12"/>
      <c r="B392" s="12"/>
      <c r="C392" s="12" t="s">
        <v>6</v>
      </c>
      <c r="D392" s="12"/>
      <c r="E392" s="12" t="s">
        <v>6</v>
      </c>
    </row>
    <row r="393" ht="15.75" customHeight="1">
      <c r="A393" s="12"/>
      <c r="B393" s="12"/>
      <c r="C393" s="12" t="s">
        <v>6</v>
      </c>
      <c r="D393" s="12"/>
      <c r="E393" s="12" t="s">
        <v>6</v>
      </c>
    </row>
    <row r="394" ht="15.75" customHeight="1">
      <c r="A394" s="12"/>
      <c r="B394" s="12"/>
      <c r="C394" s="12" t="s">
        <v>6</v>
      </c>
      <c r="D394" s="12"/>
      <c r="E394" s="12" t="s">
        <v>6</v>
      </c>
    </row>
    <row r="395" ht="15.75" customHeight="1">
      <c r="A395" s="12"/>
      <c r="B395" s="12"/>
      <c r="C395" s="12" t="s">
        <v>6</v>
      </c>
      <c r="D395" s="12"/>
      <c r="E395" s="12" t="s">
        <v>6</v>
      </c>
    </row>
    <row r="396" ht="15.75" customHeight="1">
      <c r="A396" s="12"/>
      <c r="B396" s="12"/>
      <c r="C396" s="12" t="s">
        <v>6</v>
      </c>
      <c r="D396" s="12"/>
      <c r="E396" s="12" t="s">
        <v>6</v>
      </c>
    </row>
    <row r="397" ht="15.75" customHeight="1">
      <c r="A397" s="12"/>
      <c r="B397" s="12"/>
      <c r="C397" s="12" t="s">
        <v>6</v>
      </c>
      <c r="D397" s="12"/>
      <c r="E397" s="12" t="s">
        <v>6</v>
      </c>
    </row>
    <row r="398" ht="15.75" customHeight="1">
      <c r="A398" s="12"/>
      <c r="B398" s="12"/>
      <c r="C398" s="12" t="s">
        <v>6</v>
      </c>
      <c r="D398" s="12"/>
      <c r="E398" s="12" t="s">
        <v>6</v>
      </c>
    </row>
    <row r="399" ht="15.75" customHeight="1">
      <c r="A399" s="12"/>
      <c r="B399" s="12"/>
      <c r="C399" s="12" t="s">
        <v>6</v>
      </c>
      <c r="D399" s="12"/>
      <c r="E399" s="12" t="s">
        <v>6</v>
      </c>
    </row>
    <row r="400" ht="15.75" customHeight="1">
      <c r="A400" s="12"/>
      <c r="B400" s="12"/>
      <c r="C400" s="12" t="s">
        <v>6</v>
      </c>
      <c r="D400" s="12"/>
      <c r="E400" s="12" t="s">
        <v>6</v>
      </c>
    </row>
    <row r="401" ht="15.75" customHeight="1">
      <c r="A401" s="12"/>
      <c r="B401" s="12"/>
      <c r="C401" s="12" t="s">
        <v>6</v>
      </c>
      <c r="D401" s="12"/>
      <c r="E401" s="12" t="s">
        <v>6</v>
      </c>
    </row>
    <row r="402" ht="15.75" customHeight="1">
      <c r="A402" s="12"/>
      <c r="B402" s="12"/>
      <c r="C402" s="12" t="s">
        <v>6</v>
      </c>
      <c r="D402" s="12"/>
      <c r="E402" s="12" t="s">
        <v>6</v>
      </c>
    </row>
    <row r="403" ht="15.75" customHeight="1">
      <c r="A403" s="12"/>
      <c r="B403" s="12"/>
      <c r="C403" s="12" t="s">
        <v>6</v>
      </c>
      <c r="D403" s="12"/>
      <c r="E403" s="12" t="s">
        <v>6</v>
      </c>
    </row>
    <row r="404" ht="15.75" customHeight="1">
      <c r="A404" s="12"/>
      <c r="B404" s="12"/>
      <c r="C404" s="12" t="s">
        <v>6</v>
      </c>
      <c r="D404" s="12"/>
      <c r="E404" s="12" t="s">
        <v>6</v>
      </c>
    </row>
    <row r="405" ht="15.75" customHeight="1">
      <c r="A405" s="12"/>
      <c r="B405" s="12"/>
      <c r="C405" s="12" t="s">
        <v>6</v>
      </c>
      <c r="D405" s="12"/>
      <c r="E405" s="12" t="s">
        <v>6</v>
      </c>
    </row>
    <row r="406" ht="15.75" customHeight="1">
      <c r="A406" s="12"/>
      <c r="B406" s="12"/>
      <c r="C406" s="12" t="s">
        <v>6</v>
      </c>
      <c r="D406" s="12"/>
      <c r="E406" s="12" t="s">
        <v>6</v>
      </c>
    </row>
    <row r="407" ht="15.75" customHeight="1">
      <c r="A407" s="12"/>
      <c r="B407" s="12"/>
      <c r="C407" s="12" t="s">
        <v>6</v>
      </c>
      <c r="D407" s="12"/>
      <c r="E407" s="12" t="s">
        <v>6</v>
      </c>
    </row>
    <row r="408" ht="15.75" customHeight="1">
      <c r="A408" s="12"/>
      <c r="B408" s="12"/>
      <c r="C408" s="12" t="s">
        <v>6</v>
      </c>
      <c r="D408" s="12"/>
      <c r="E408" s="12" t="s">
        <v>6</v>
      </c>
    </row>
    <row r="409" ht="15.75" customHeight="1">
      <c r="A409" s="12"/>
      <c r="B409" s="12"/>
      <c r="C409" s="12" t="s">
        <v>6</v>
      </c>
      <c r="D409" s="12"/>
      <c r="E409" s="12" t="s">
        <v>6</v>
      </c>
    </row>
    <row r="410" ht="15.75" customHeight="1">
      <c r="A410" s="12"/>
      <c r="B410" s="12"/>
      <c r="C410" s="12" t="s">
        <v>6</v>
      </c>
      <c r="D410" s="12"/>
      <c r="E410" s="12" t="s">
        <v>6</v>
      </c>
    </row>
    <row r="411" ht="15.75" customHeight="1">
      <c r="A411" s="12"/>
      <c r="B411" s="12"/>
      <c r="C411" s="12" t="s">
        <v>6</v>
      </c>
      <c r="D411" s="12"/>
      <c r="E411" s="12" t="s">
        <v>6</v>
      </c>
    </row>
    <row r="412" ht="15.75" customHeight="1">
      <c r="A412" s="12"/>
      <c r="B412" s="12"/>
      <c r="C412" s="12" t="s">
        <v>6</v>
      </c>
      <c r="D412" s="12"/>
      <c r="E412" s="12" t="s">
        <v>6</v>
      </c>
    </row>
    <row r="413" ht="15.75" customHeight="1">
      <c r="A413" s="12"/>
      <c r="B413" s="12"/>
      <c r="C413" s="12" t="s">
        <v>6</v>
      </c>
      <c r="D413" s="12"/>
      <c r="E413" s="12" t="s">
        <v>6</v>
      </c>
    </row>
    <row r="414" ht="15.75" customHeight="1">
      <c r="A414" s="12"/>
      <c r="B414" s="12"/>
      <c r="C414" s="12" t="s">
        <v>6</v>
      </c>
      <c r="D414" s="12"/>
      <c r="E414" s="12" t="s">
        <v>6</v>
      </c>
    </row>
    <row r="415" ht="15.75" customHeight="1">
      <c r="A415" s="12"/>
      <c r="B415" s="12"/>
      <c r="C415" s="12" t="s">
        <v>6</v>
      </c>
      <c r="D415" s="12"/>
      <c r="E415" s="12" t="s">
        <v>6</v>
      </c>
    </row>
    <row r="416" ht="15.75" customHeight="1">
      <c r="A416" s="12"/>
      <c r="B416" s="12"/>
      <c r="C416" s="12" t="s">
        <v>6</v>
      </c>
      <c r="D416" s="12"/>
      <c r="E416" s="12" t="s">
        <v>6</v>
      </c>
    </row>
    <row r="417" ht="15.75" customHeight="1">
      <c r="A417" s="12"/>
      <c r="B417" s="12"/>
      <c r="C417" s="12" t="s">
        <v>6</v>
      </c>
      <c r="D417" s="12"/>
      <c r="E417" s="12" t="s">
        <v>6</v>
      </c>
    </row>
    <row r="418" ht="15.75" customHeight="1">
      <c r="A418" s="12"/>
      <c r="B418" s="12"/>
      <c r="C418" s="12" t="s">
        <v>6</v>
      </c>
      <c r="D418" s="12"/>
      <c r="E418" s="12" t="s">
        <v>6</v>
      </c>
    </row>
    <row r="419" ht="15.75" customHeight="1">
      <c r="A419" s="12"/>
      <c r="B419" s="12"/>
      <c r="C419" s="12" t="s">
        <v>6</v>
      </c>
      <c r="D419" s="12"/>
      <c r="E419" s="12" t="s">
        <v>6</v>
      </c>
    </row>
    <row r="420" ht="15.75" customHeight="1">
      <c r="A420" s="12"/>
      <c r="B420" s="12"/>
      <c r="C420" s="12" t="s">
        <v>6</v>
      </c>
      <c r="D420" s="12"/>
      <c r="E420" s="12" t="s">
        <v>6</v>
      </c>
    </row>
    <row r="421" ht="15.75" customHeight="1">
      <c r="A421" s="12"/>
      <c r="B421" s="12"/>
      <c r="C421" s="12" t="s">
        <v>6</v>
      </c>
      <c r="D421" s="12"/>
      <c r="E421" s="12" t="s">
        <v>6</v>
      </c>
    </row>
    <row r="422" ht="15.75" customHeight="1">
      <c r="A422" s="12"/>
      <c r="B422" s="12"/>
      <c r="C422" s="12" t="s">
        <v>6</v>
      </c>
      <c r="D422" s="12"/>
      <c r="E422" s="12" t="s">
        <v>6</v>
      </c>
    </row>
    <row r="423" ht="15.75" customHeight="1">
      <c r="A423" s="12"/>
      <c r="B423" s="12"/>
      <c r="C423" s="12" t="s">
        <v>6</v>
      </c>
      <c r="D423" s="12"/>
      <c r="E423" s="12" t="s">
        <v>6</v>
      </c>
    </row>
    <row r="424" ht="15.75" customHeight="1">
      <c r="A424" s="12"/>
      <c r="B424" s="12"/>
      <c r="C424" s="12" t="s">
        <v>6</v>
      </c>
      <c r="D424" s="12"/>
      <c r="E424" s="12" t="s">
        <v>6</v>
      </c>
    </row>
    <row r="425" ht="15.75" customHeight="1">
      <c r="A425" s="12"/>
      <c r="B425" s="12"/>
      <c r="C425" s="12" t="s">
        <v>6</v>
      </c>
      <c r="D425" s="12"/>
      <c r="E425" s="12" t="s">
        <v>6</v>
      </c>
    </row>
    <row r="426" ht="15.75" customHeight="1">
      <c r="A426" s="12"/>
      <c r="B426" s="12"/>
      <c r="C426" s="12" t="s">
        <v>6</v>
      </c>
      <c r="D426" s="12"/>
      <c r="E426" s="12" t="s">
        <v>6</v>
      </c>
    </row>
    <row r="427" ht="15.75" customHeight="1">
      <c r="A427" s="12"/>
      <c r="B427" s="12"/>
      <c r="C427" s="12" t="s">
        <v>6</v>
      </c>
      <c r="D427" s="12"/>
      <c r="E427" s="12" t="s">
        <v>6</v>
      </c>
    </row>
    <row r="428" ht="15.75" customHeight="1">
      <c r="A428" s="12"/>
      <c r="B428" s="12"/>
      <c r="C428" s="12" t="s">
        <v>6</v>
      </c>
      <c r="D428" s="12"/>
      <c r="E428" s="12" t="s">
        <v>6</v>
      </c>
    </row>
    <row r="429" ht="15.75" customHeight="1">
      <c r="A429" s="12"/>
      <c r="B429" s="12"/>
      <c r="C429" s="12" t="s">
        <v>6</v>
      </c>
      <c r="D429" s="12"/>
      <c r="E429" s="12" t="s">
        <v>6</v>
      </c>
    </row>
    <row r="430" ht="15.75" customHeight="1">
      <c r="A430" s="12"/>
      <c r="B430" s="12"/>
      <c r="C430" s="12" t="s">
        <v>6</v>
      </c>
      <c r="D430" s="12"/>
      <c r="E430" s="12" t="s">
        <v>6</v>
      </c>
    </row>
    <row r="431" ht="15.75" customHeight="1">
      <c r="A431" s="12"/>
      <c r="B431" s="12"/>
      <c r="C431" s="12" t="s">
        <v>6</v>
      </c>
      <c r="D431" s="12"/>
      <c r="E431" s="12" t="s">
        <v>6</v>
      </c>
    </row>
    <row r="432" ht="15.75" customHeight="1">
      <c r="A432" s="12"/>
      <c r="B432" s="12"/>
      <c r="C432" s="12" t="s">
        <v>6</v>
      </c>
      <c r="D432" s="12"/>
      <c r="E432" s="12" t="s">
        <v>6</v>
      </c>
    </row>
    <row r="433" ht="15.75" customHeight="1">
      <c r="A433" s="12"/>
      <c r="B433" s="12"/>
      <c r="C433" s="12" t="s">
        <v>6</v>
      </c>
      <c r="D433" s="12"/>
      <c r="E433" s="12" t="s">
        <v>6</v>
      </c>
    </row>
    <row r="434" ht="15.75" customHeight="1">
      <c r="A434" s="12"/>
      <c r="B434" s="12"/>
      <c r="C434" s="12" t="s">
        <v>6</v>
      </c>
      <c r="D434" s="12"/>
      <c r="E434" s="12" t="s">
        <v>6</v>
      </c>
    </row>
    <row r="435" ht="15.75" customHeight="1">
      <c r="A435" s="12"/>
      <c r="B435" s="12"/>
      <c r="C435" s="12" t="s">
        <v>6</v>
      </c>
      <c r="D435" s="12"/>
      <c r="E435" s="12" t="s">
        <v>6</v>
      </c>
    </row>
    <row r="436" ht="15.75" customHeight="1">
      <c r="A436" s="12"/>
      <c r="B436" s="12"/>
      <c r="C436" s="12" t="s">
        <v>6</v>
      </c>
      <c r="D436" s="12"/>
      <c r="E436" s="12" t="s">
        <v>6</v>
      </c>
    </row>
    <row r="437" ht="15.75" customHeight="1">
      <c r="A437" s="12"/>
      <c r="B437" s="12"/>
      <c r="C437" s="12" t="s">
        <v>6</v>
      </c>
      <c r="D437" s="12"/>
      <c r="E437" s="12" t="s">
        <v>6</v>
      </c>
    </row>
    <row r="438" ht="15.75" customHeight="1">
      <c r="A438" s="12"/>
      <c r="B438" s="12"/>
      <c r="C438" s="12" t="s">
        <v>6</v>
      </c>
      <c r="D438" s="12"/>
      <c r="E438" s="12" t="s">
        <v>6</v>
      </c>
    </row>
    <row r="439" ht="15.75" customHeight="1">
      <c r="A439" s="12"/>
      <c r="B439" s="12"/>
      <c r="C439" s="12" t="s">
        <v>6</v>
      </c>
      <c r="D439" s="12"/>
      <c r="E439" s="12" t="s">
        <v>6</v>
      </c>
    </row>
    <row r="440" ht="15.75" customHeight="1">
      <c r="A440" s="12"/>
      <c r="B440" s="12"/>
      <c r="C440" s="12" t="s">
        <v>6</v>
      </c>
      <c r="D440" s="12"/>
      <c r="E440" s="12" t="s">
        <v>6</v>
      </c>
    </row>
    <row r="441" ht="15.75" customHeight="1">
      <c r="A441" s="12"/>
      <c r="B441" s="12"/>
      <c r="C441" s="12" t="s">
        <v>6</v>
      </c>
      <c r="D441" s="12"/>
      <c r="E441" s="12" t="s">
        <v>6</v>
      </c>
    </row>
    <row r="442" ht="15.75" customHeight="1">
      <c r="A442" s="12"/>
      <c r="B442" s="12"/>
      <c r="C442" s="12" t="s">
        <v>6</v>
      </c>
      <c r="D442" s="12"/>
      <c r="E442" s="12" t="s">
        <v>6</v>
      </c>
    </row>
    <row r="443" ht="15.75" customHeight="1">
      <c r="A443" s="12"/>
      <c r="B443" s="12"/>
      <c r="C443" s="12" t="s">
        <v>6</v>
      </c>
      <c r="D443" s="12"/>
      <c r="E443" s="12" t="s">
        <v>6</v>
      </c>
    </row>
    <row r="444" ht="15.75" customHeight="1">
      <c r="A444" s="12"/>
      <c r="B444" s="12"/>
      <c r="C444" s="12" t="s">
        <v>6</v>
      </c>
      <c r="D444" s="12"/>
      <c r="E444" s="12" t="s">
        <v>6</v>
      </c>
    </row>
    <row r="445" ht="15.75" customHeight="1">
      <c r="A445" s="12"/>
      <c r="B445" s="12"/>
      <c r="C445" s="12" t="s">
        <v>6</v>
      </c>
      <c r="D445" s="12"/>
      <c r="E445" s="12" t="s">
        <v>6</v>
      </c>
    </row>
    <row r="446" ht="15.75" customHeight="1">
      <c r="A446" s="12"/>
      <c r="B446" s="12"/>
      <c r="C446" s="12" t="s">
        <v>6</v>
      </c>
      <c r="D446" s="12"/>
      <c r="E446" s="12" t="s">
        <v>6</v>
      </c>
    </row>
    <row r="447" ht="15.75" customHeight="1">
      <c r="A447" s="12"/>
      <c r="B447" s="12"/>
      <c r="C447" s="12" t="s">
        <v>6</v>
      </c>
      <c r="D447" s="12"/>
      <c r="E447" s="12" t="s">
        <v>6</v>
      </c>
    </row>
    <row r="448" ht="15.75" customHeight="1">
      <c r="A448" s="12"/>
      <c r="B448" s="12"/>
      <c r="C448" s="12" t="s">
        <v>6</v>
      </c>
      <c r="D448" s="12"/>
      <c r="E448" s="12" t="s">
        <v>6</v>
      </c>
    </row>
    <row r="449" ht="15.75" customHeight="1">
      <c r="A449" s="12"/>
      <c r="B449" s="12"/>
      <c r="C449" s="12" t="s">
        <v>6</v>
      </c>
      <c r="D449" s="12"/>
      <c r="E449" s="12" t="s">
        <v>6</v>
      </c>
    </row>
    <row r="450" ht="15.75" customHeight="1">
      <c r="A450" s="12"/>
      <c r="B450" s="12"/>
      <c r="C450" s="12" t="s">
        <v>6</v>
      </c>
      <c r="D450" s="12"/>
      <c r="E450" s="12" t="s">
        <v>6</v>
      </c>
    </row>
    <row r="451" ht="15.75" customHeight="1">
      <c r="A451" s="12"/>
      <c r="B451" s="12"/>
      <c r="C451" s="12" t="s">
        <v>6</v>
      </c>
      <c r="D451" s="12"/>
      <c r="E451" s="12" t="s">
        <v>6</v>
      </c>
    </row>
    <row r="452" ht="15.75" customHeight="1">
      <c r="A452" s="12"/>
      <c r="B452" s="12"/>
      <c r="C452" s="12" t="s">
        <v>6</v>
      </c>
      <c r="D452" s="12"/>
      <c r="E452" s="12" t="s">
        <v>6</v>
      </c>
    </row>
    <row r="453" ht="15.75" customHeight="1">
      <c r="A453" s="12"/>
      <c r="B453" s="12"/>
      <c r="C453" s="12" t="s">
        <v>6</v>
      </c>
      <c r="D453" s="12"/>
      <c r="E453" s="12" t="s">
        <v>6</v>
      </c>
    </row>
    <row r="454" ht="15.75" customHeight="1">
      <c r="A454" s="12"/>
      <c r="B454" s="12"/>
      <c r="C454" s="12" t="s">
        <v>6</v>
      </c>
      <c r="D454" s="12"/>
      <c r="E454" s="12" t="s">
        <v>6</v>
      </c>
    </row>
    <row r="455" ht="15.75" customHeight="1">
      <c r="A455" s="12"/>
      <c r="B455" s="12"/>
      <c r="C455" s="12" t="s">
        <v>6</v>
      </c>
      <c r="D455" s="12"/>
      <c r="E455" s="12" t="s">
        <v>6</v>
      </c>
    </row>
    <row r="456" ht="15.75" customHeight="1">
      <c r="A456" s="12"/>
      <c r="B456" s="12"/>
      <c r="C456" s="12" t="s">
        <v>6</v>
      </c>
      <c r="D456" s="12"/>
      <c r="E456" s="12" t="s">
        <v>6</v>
      </c>
    </row>
    <row r="457" ht="15.75" customHeight="1">
      <c r="A457" s="12"/>
      <c r="B457" s="12"/>
      <c r="C457" s="12" t="s">
        <v>6</v>
      </c>
      <c r="D457" s="12"/>
      <c r="E457" s="12" t="s">
        <v>6</v>
      </c>
    </row>
    <row r="458" ht="15.75" customHeight="1">
      <c r="A458" s="12"/>
      <c r="B458" s="12"/>
      <c r="C458" s="12" t="s">
        <v>6</v>
      </c>
      <c r="D458" s="12"/>
      <c r="E458" s="12" t="s">
        <v>6</v>
      </c>
    </row>
    <row r="459" ht="15.75" customHeight="1">
      <c r="A459" s="12"/>
      <c r="B459" s="12"/>
      <c r="C459" s="12" t="s">
        <v>6</v>
      </c>
      <c r="D459" s="12"/>
      <c r="E459" s="12" t="s">
        <v>6</v>
      </c>
    </row>
    <row r="460" ht="15.75" customHeight="1">
      <c r="A460" s="12"/>
      <c r="B460" s="12"/>
      <c r="C460" s="12" t="s">
        <v>6</v>
      </c>
      <c r="D460" s="12"/>
      <c r="E460" s="12" t="s">
        <v>6</v>
      </c>
    </row>
    <row r="461" ht="15.75" customHeight="1">
      <c r="A461" s="12"/>
      <c r="B461" s="12"/>
      <c r="C461" s="12" t="s">
        <v>6</v>
      </c>
      <c r="D461" s="12"/>
      <c r="E461" s="12" t="s">
        <v>6</v>
      </c>
    </row>
    <row r="462" ht="15.75" customHeight="1">
      <c r="A462" s="12"/>
      <c r="B462" s="12"/>
      <c r="C462" s="12" t="s">
        <v>6</v>
      </c>
      <c r="D462" s="12"/>
      <c r="E462" s="12" t="s">
        <v>6</v>
      </c>
    </row>
    <row r="463" ht="15.75" customHeight="1">
      <c r="A463" s="12"/>
      <c r="B463" s="12"/>
      <c r="C463" s="12" t="s">
        <v>6</v>
      </c>
      <c r="D463" s="12"/>
      <c r="E463" s="12" t="s">
        <v>6</v>
      </c>
    </row>
    <row r="464" ht="15.75" customHeight="1">
      <c r="A464" s="12"/>
      <c r="B464" s="12"/>
      <c r="C464" s="12" t="s">
        <v>6</v>
      </c>
      <c r="D464" s="12"/>
      <c r="E464" s="12" t="s">
        <v>6</v>
      </c>
    </row>
    <row r="465" ht="15.75" customHeight="1">
      <c r="A465" s="12"/>
      <c r="B465" s="12"/>
      <c r="C465" s="12" t="s">
        <v>6</v>
      </c>
      <c r="D465" s="12"/>
      <c r="E465" s="12" t="s">
        <v>6</v>
      </c>
    </row>
    <row r="466" ht="15.75" customHeight="1">
      <c r="A466" s="12"/>
      <c r="B466" s="12"/>
      <c r="C466" s="12" t="s">
        <v>6</v>
      </c>
      <c r="D466" s="12"/>
      <c r="E466" s="12" t="s">
        <v>6</v>
      </c>
    </row>
    <row r="467" ht="15.75" customHeight="1">
      <c r="A467" s="12"/>
      <c r="B467" s="12"/>
      <c r="C467" s="12" t="s">
        <v>6</v>
      </c>
      <c r="D467" s="12"/>
      <c r="E467" s="12" t="s">
        <v>6</v>
      </c>
    </row>
    <row r="468" ht="15.75" customHeight="1">
      <c r="A468" s="12"/>
      <c r="B468" s="12"/>
      <c r="C468" s="12" t="s">
        <v>6</v>
      </c>
      <c r="D468" s="12"/>
      <c r="E468" s="12" t="s">
        <v>6</v>
      </c>
    </row>
    <row r="469" ht="15.75" customHeight="1">
      <c r="A469" s="12"/>
      <c r="B469" s="12"/>
      <c r="C469" s="12" t="s">
        <v>6</v>
      </c>
      <c r="D469" s="12"/>
      <c r="E469" s="12" t="s">
        <v>6</v>
      </c>
    </row>
    <row r="470" ht="15.75" customHeight="1">
      <c r="A470" s="12"/>
      <c r="B470" s="12"/>
      <c r="C470" s="12" t="s">
        <v>6</v>
      </c>
      <c r="D470" s="12"/>
      <c r="E470" s="12" t="s">
        <v>6</v>
      </c>
    </row>
    <row r="471" ht="15.75" customHeight="1">
      <c r="A471" s="12"/>
      <c r="B471" s="12"/>
      <c r="C471" s="12" t="s">
        <v>6</v>
      </c>
      <c r="D471" s="12"/>
      <c r="E471" s="12" t="s">
        <v>6</v>
      </c>
    </row>
    <row r="472" ht="15.75" customHeight="1">
      <c r="A472" s="12"/>
      <c r="B472" s="12"/>
      <c r="C472" s="12" t="s">
        <v>6</v>
      </c>
      <c r="D472" s="12"/>
      <c r="E472" s="12" t="s">
        <v>6</v>
      </c>
    </row>
    <row r="473" ht="15.75" customHeight="1">
      <c r="A473" s="12"/>
      <c r="B473" s="12"/>
      <c r="C473" s="12" t="s">
        <v>6</v>
      </c>
      <c r="D473" s="12"/>
      <c r="E473" s="12" t="s">
        <v>6</v>
      </c>
    </row>
    <row r="474" ht="15.75" customHeight="1">
      <c r="A474" s="12"/>
      <c r="B474" s="12"/>
      <c r="C474" s="12" t="s">
        <v>6</v>
      </c>
      <c r="D474" s="12"/>
      <c r="E474" s="12" t="s">
        <v>6</v>
      </c>
    </row>
    <row r="475" ht="15.75" customHeight="1">
      <c r="A475" s="12"/>
      <c r="B475" s="12"/>
      <c r="C475" s="12" t="s">
        <v>6</v>
      </c>
      <c r="D475" s="12"/>
      <c r="E475" s="12" t="s">
        <v>6</v>
      </c>
    </row>
    <row r="476" ht="15.75" customHeight="1">
      <c r="A476" s="12"/>
      <c r="B476" s="12"/>
      <c r="C476" s="12" t="s">
        <v>6</v>
      </c>
      <c r="D476" s="12"/>
      <c r="E476" s="12" t="s">
        <v>6</v>
      </c>
    </row>
    <row r="477" ht="15.75" customHeight="1">
      <c r="A477" s="12"/>
      <c r="B477" s="12"/>
      <c r="C477" s="12" t="s">
        <v>6</v>
      </c>
      <c r="D477" s="12"/>
      <c r="E477" s="12" t="s">
        <v>6</v>
      </c>
    </row>
    <row r="478" ht="15.75" customHeight="1">
      <c r="A478" s="12"/>
      <c r="B478" s="12"/>
      <c r="C478" s="12" t="s">
        <v>6</v>
      </c>
      <c r="D478" s="12"/>
      <c r="E478" s="12" t="s">
        <v>6</v>
      </c>
    </row>
    <row r="479" ht="15.75" customHeight="1">
      <c r="A479" s="12"/>
      <c r="B479" s="12"/>
      <c r="C479" s="12" t="s">
        <v>6</v>
      </c>
      <c r="D479" s="12"/>
      <c r="E479" s="12" t="s">
        <v>6</v>
      </c>
    </row>
    <row r="480" ht="15.75" customHeight="1">
      <c r="A480" s="12"/>
      <c r="B480" s="12"/>
      <c r="C480" s="12" t="s">
        <v>6</v>
      </c>
      <c r="D480" s="12"/>
      <c r="E480" s="12" t="s">
        <v>6</v>
      </c>
    </row>
    <row r="481" ht="15.75" customHeight="1">
      <c r="A481" s="12"/>
      <c r="B481" s="12"/>
      <c r="C481" s="12" t="s">
        <v>6</v>
      </c>
      <c r="D481" s="12"/>
      <c r="E481" s="12" t="s">
        <v>6</v>
      </c>
    </row>
    <row r="482" ht="15.75" customHeight="1">
      <c r="A482" s="12"/>
      <c r="B482" s="12"/>
      <c r="C482" s="12" t="s">
        <v>6</v>
      </c>
      <c r="D482" s="12"/>
      <c r="E482" s="12" t="s">
        <v>6</v>
      </c>
    </row>
    <row r="483" ht="15.75" customHeight="1">
      <c r="A483" s="12"/>
      <c r="B483" s="12"/>
      <c r="C483" s="12" t="s">
        <v>6</v>
      </c>
      <c r="D483" s="12"/>
      <c r="E483" s="12" t="s">
        <v>6</v>
      </c>
    </row>
    <row r="484" ht="15.75" customHeight="1">
      <c r="A484" s="12"/>
      <c r="B484" s="12"/>
      <c r="C484" s="12" t="s">
        <v>6</v>
      </c>
      <c r="D484" s="12"/>
      <c r="E484" s="12" t="s">
        <v>6</v>
      </c>
    </row>
    <row r="485" ht="15.75" customHeight="1">
      <c r="A485" s="12"/>
      <c r="B485" s="12"/>
      <c r="C485" s="12" t="s">
        <v>6</v>
      </c>
      <c r="D485" s="12"/>
      <c r="E485" s="12" t="s">
        <v>6</v>
      </c>
    </row>
    <row r="486" ht="15.75" customHeight="1">
      <c r="A486" s="12"/>
      <c r="B486" s="12"/>
      <c r="C486" s="12" t="s">
        <v>6</v>
      </c>
      <c r="D486" s="12"/>
      <c r="E486" s="12" t="s">
        <v>6</v>
      </c>
    </row>
    <row r="487" ht="15.75" customHeight="1">
      <c r="A487" s="12"/>
      <c r="B487" s="12"/>
      <c r="C487" s="12" t="s">
        <v>6</v>
      </c>
      <c r="D487" s="12"/>
      <c r="E487" s="12" t="s">
        <v>6</v>
      </c>
    </row>
    <row r="488" ht="15.75" customHeight="1">
      <c r="A488" s="12"/>
      <c r="B488" s="12"/>
      <c r="C488" s="12" t="s">
        <v>6</v>
      </c>
      <c r="D488" s="12"/>
      <c r="E488" s="12" t="s">
        <v>6</v>
      </c>
    </row>
    <row r="489" ht="15.75" customHeight="1">
      <c r="A489" s="12"/>
      <c r="B489" s="12"/>
      <c r="C489" s="12" t="s">
        <v>6</v>
      </c>
      <c r="D489" s="12"/>
      <c r="E489" s="12" t="s">
        <v>6</v>
      </c>
    </row>
    <row r="490" ht="15.75" customHeight="1">
      <c r="A490" s="12"/>
      <c r="B490" s="12"/>
      <c r="C490" s="12" t="s">
        <v>6</v>
      </c>
      <c r="D490" s="12"/>
      <c r="E490" s="12" t="s">
        <v>6</v>
      </c>
    </row>
    <row r="491" ht="15.75" customHeight="1">
      <c r="A491" s="12"/>
      <c r="B491" s="12"/>
      <c r="C491" s="12" t="s">
        <v>6</v>
      </c>
      <c r="D491" s="12"/>
      <c r="E491" s="12" t="s">
        <v>6</v>
      </c>
    </row>
    <row r="492" ht="15.75" customHeight="1">
      <c r="A492" s="12"/>
      <c r="B492" s="12"/>
      <c r="C492" s="12" t="s">
        <v>6</v>
      </c>
      <c r="D492" s="12"/>
      <c r="E492" s="12" t="s">
        <v>6</v>
      </c>
    </row>
    <row r="493" ht="15.75" customHeight="1">
      <c r="A493" s="12"/>
      <c r="B493" s="12"/>
      <c r="C493" s="12" t="s">
        <v>6</v>
      </c>
      <c r="D493" s="12"/>
      <c r="E493" s="12" t="s">
        <v>6</v>
      </c>
    </row>
    <row r="494" ht="15.75" customHeight="1">
      <c r="A494" s="12"/>
      <c r="B494" s="12"/>
      <c r="C494" s="12" t="s">
        <v>6</v>
      </c>
      <c r="D494" s="12"/>
      <c r="E494" s="12" t="s">
        <v>6</v>
      </c>
    </row>
    <row r="495" ht="15.75" customHeight="1">
      <c r="A495" s="12"/>
      <c r="B495" s="12"/>
      <c r="C495" s="12" t="s">
        <v>6</v>
      </c>
      <c r="D495" s="12"/>
      <c r="E495" s="12" t="s">
        <v>6</v>
      </c>
    </row>
    <row r="496" ht="15.75" customHeight="1">
      <c r="A496" s="12"/>
      <c r="B496" s="12"/>
      <c r="C496" s="12" t="s">
        <v>6</v>
      </c>
      <c r="D496" s="12"/>
      <c r="E496" s="12" t="s">
        <v>6</v>
      </c>
    </row>
    <row r="497" ht="15.75" customHeight="1">
      <c r="A497" s="12"/>
      <c r="B497" s="12"/>
      <c r="C497" s="12" t="s">
        <v>6</v>
      </c>
      <c r="D497" s="12"/>
      <c r="E497" s="12" t="s">
        <v>6</v>
      </c>
    </row>
    <row r="498" ht="15.75" customHeight="1">
      <c r="A498" s="12"/>
      <c r="B498" s="12"/>
      <c r="C498" s="12" t="s">
        <v>6</v>
      </c>
      <c r="D498" s="12"/>
      <c r="E498" s="12" t="s">
        <v>6</v>
      </c>
    </row>
    <row r="499" ht="15.75" customHeight="1">
      <c r="A499" s="12"/>
      <c r="B499" s="12"/>
      <c r="C499" s="12" t="s">
        <v>6</v>
      </c>
      <c r="D499" s="12"/>
      <c r="E499" s="12" t="s">
        <v>6</v>
      </c>
    </row>
    <row r="500" ht="15.75" customHeight="1">
      <c r="A500" s="12"/>
      <c r="B500" s="12"/>
      <c r="C500" s="12" t="s">
        <v>6</v>
      </c>
      <c r="D500" s="12"/>
      <c r="E500" s="12" t="s">
        <v>6</v>
      </c>
    </row>
    <row r="501" ht="15.75" customHeight="1">
      <c r="A501" s="12"/>
      <c r="B501" s="12"/>
      <c r="C501" s="12" t="s">
        <v>6</v>
      </c>
      <c r="D501" s="12"/>
      <c r="E501" s="12" t="s">
        <v>6</v>
      </c>
    </row>
    <row r="502" ht="15.75" customHeight="1">
      <c r="A502" s="12"/>
      <c r="B502" s="12"/>
      <c r="C502" s="12" t="s">
        <v>6</v>
      </c>
      <c r="D502" s="12"/>
      <c r="E502" s="12" t="s">
        <v>6</v>
      </c>
    </row>
    <row r="503" ht="15.75" customHeight="1">
      <c r="A503" s="12"/>
      <c r="B503" s="12"/>
      <c r="C503" s="12" t="s">
        <v>6</v>
      </c>
      <c r="D503" s="12"/>
      <c r="E503" s="12" t="s">
        <v>6</v>
      </c>
    </row>
    <row r="504" ht="15.75" customHeight="1">
      <c r="A504" s="12"/>
      <c r="B504" s="12"/>
      <c r="C504" s="12" t="s">
        <v>6</v>
      </c>
      <c r="D504" s="12"/>
      <c r="E504" s="12" t="s">
        <v>6</v>
      </c>
    </row>
    <row r="505" ht="15.75" customHeight="1">
      <c r="A505" s="12"/>
      <c r="B505" s="12"/>
      <c r="C505" s="12" t="s">
        <v>6</v>
      </c>
      <c r="D505" s="12"/>
      <c r="E505" s="12" t="s">
        <v>6</v>
      </c>
    </row>
    <row r="506" ht="15.75" customHeight="1">
      <c r="A506" s="12"/>
      <c r="B506" s="12"/>
      <c r="C506" s="12" t="s">
        <v>6</v>
      </c>
      <c r="D506" s="12"/>
      <c r="E506" s="12" t="s">
        <v>6</v>
      </c>
    </row>
    <row r="507" ht="15.75" customHeight="1">
      <c r="A507" s="12"/>
      <c r="B507" s="12"/>
      <c r="C507" s="12" t="s">
        <v>6</v>
      </c>
      <c r="D507" s="12"/>
      <c r="E507" s="12" t="s">
        <v>6</v>
      </c>
    </row>
    <row r="508" ht="15.75" customHeight="1">
      <c r="A508" s="12"/>
      <c r="B508" s="12"/>
      <c r="C508" s="12" t="s">
        <v>6</v>
      </c>
      <c r="D508" s="12"/>
      <c r="E508" s="12" t="s">
        <v>6</v>
      </c>
    </row>
    <row r="509" ht="15.75" customHeight="1">
      <c r="A509" s="12"/>
      <c r="B509" s="12"/>
      <c r="C509" s="12" t="s">
        <v>6</v>
      </c>
      <c r="D509" s="12"/>
      <c r="E509" s="12" t="s">
        <v>6</v>
      </c>
    </row>
    <row r="510" ht="15.75" customHeight="1">
      <c r="A510" s="12"/>
      <c r="B510" s="12"/>
      <c r="C510" s="12" t="s">
        <v>6</v>
      </c>
      <c r="D510" s="12"/>
      <c r="E510" s="12" t="s">
        <v>6</v>
      </c>
    </row>
    <row r="511" ht="15.75" customHeight="1">
      <c r="A511" s="12"/>
      <c r="B511" s="12"/>
      <c r="C511" s="12" t="s">
        <v>6</v>
      </c>
      <c r="D511" s="12"/>
      <c r="E511" s="12" t="s">
        <v>6</v>
      </c>
    </row>
    <row r="512" ht="15.75" customHeight="1">
      <c r="A512" s="12"/>
      <c r="B512" s="12"/>
      <c r="C512" s="12" t="s">
        <v>6</v>
      </c>
      <c r="D512" s="12"/>
      <c r="E512" s="12" t="s">
        <v>6</v>
      </c>
    </row>
    <row r="513" ht="15.75" customHeight="1">
      <c r="A513" s="12"/>
      <c r="B513" s="12"/>
      <c r="C513" s="12" t="s">
        <v>6</v>
      </c>
      <c r="D513" s="12"/>
      <c r="E513" s="12" t="s">
        <v>6</v>
      </c>
    </row>
    <row r="514" ht="15.75" customHeight="1">
      <c r="A514" s="12"/>
      <c r="B514" s="12"/>
      <c r="C514" s="12" t="s">
        <v>6</v>
      </c>
      <c r="D514" s="12"/>
      <c r="E514" s="12" t="s">
        <v>6</v>
      </c>
    </row>
    <row r="515" ht="15.75" customHeight="1">
      <c r="A515" s="12"/>
      <c r="B515" s="12"/>
      <c r="C515" s="12" t="s">
        <v>6</v>
      </c>
      <c r="D515" s="12"/>
      <c r="E515" s="12" t="s">
        <v>6</v>
      </c>
    </row>
    <row r="516" ht="15.75" customHeight="1">
      <c r="A516" s="12"/>
      <c r="B516" s="12"/>
      <c r="C516" s="12" t="s">
        <v>6</v>
      </c>
      <c r="D516" s="12"/>
      <c r="E516" s="12" t="s">
        <v>6</v>
      </c>
    </row>
    <row r="517" ht="15.75" customHeight="1">
      <c r="A517" s="12"/>
      <c r="B517" s="12"/>
      <c r="C517" s="12" t="s">
        <v>6</v>
      </c>
      <c r="D517" s="12"/>
      <c r="E517" s="12" t="s">
        <v>6</v>
      </c>
    </row>
    <row r="518" ht="15.75" customHeight="1">
      <c r="A518" s="12"/>
      <c r="B518" s="12"/>
      <c r="C518" s="12" t="s">
        <v>6</v>
      </c>
      <c r="D518" s="12"/>
      <c r="E518" s="12" t="s">
        <v>6</v>
      </c>
    </row>
    <row r="519" ht="15.75" customHeight="1">
      <c r="A519" s="12"/>
      <c r="B519" s="12"/>
      <c r="C519" s="12" t="s">
        <v>6</v>
      </c>
      <c r="D519" s="12"/>
      <c r="E519" s="12" t="s">
        <v>6</v>
      </c>
    </row>
    <row r="520" ht="15.75" customHeight="1">
      <c r="A520" s="12"/>
      <c r="B520" s="12"/>
      <c r="C520" s="12" t="s">
        <v>6</v>
      </c>
      <c r="D520" s="12"/>
      <c r="E520" s="12" t="s">
        <v>6</v>
      </c>
    </row>
    <row r="521" ht="15.75" customHeight="1">
      <c r="A521" s="12"/>
      <c r="B521" s="12"/>
      <c r="C521" s="12" t="s">
        <v>6</v>
      </c>
      <c r="D521" s="12"/>
      <c r="E521" s="12" t="s">
        <v>6</v>
      </c>
    </row>
    <row r="522" ht="15.75" customHeight="1">
      <c r="A522" s="12"/>
      <c r="B522" s="12"/>
      <c r="C522" s="12" t="s">
        <v>6</v>
      </c>
      <c r="D522" s="12"/>
      <c r="E522" s="12" t="s">
        <v>6</v>
      </c>
    </row>
    <row r="523" ht="15.75" customHeight="1">
      <c r="A523" s="12"/>
      <c r="B523" s="12"/>
      <c r="C523" s="12" t="s">
        <v>6</v>
      </c>
      <c r="D523" s="12"/>
      <c r="E523" s="12" t="s">
        <v>6</v>
      </c>
    </row>
    <row r="524" ht="15.75" customHeight="1">
      <c r="A524" s="12"/>
      <c r="B524" s="12"/>
      <c r="C524" s="12" t="s">
        <v>6</v>
      </c>
      <c r="D524" s="12"/>
      <c r="E524" s="12" t="s">
        <v>6</v>
      </c>
    </row>
    <row r="525" ht="15.75" customHeight="1">
      <c r="A525" s="12"/>
      <c r="B525" s="12"/>
      <c r="C525" s="12" t="s">
        <v>6</v>
      </c>
      <c r="D525" s="12"/>
      <c r="E525" s="12" t="s">
        <v>6</v>
      </c>
    </row>
    <row r="526" ht="15.75" customHeight="1">
      <c r="A526" s="12"/>
      <c r="B526" s="12"/>
      <c r="C526" s="12" t="s">
        <v>6</v>
      </c>
      <c r="D526" s="12"/>
      <c r="E526" s="12" t="s">
        <v>6</v>
      </c>
    </row>
    <row r="527" ht="15.75" customHeight="1">
      <c r="A527" s="12"/>
      <c r="B527" s="12"/>
      <c r="C527" s="12" t="s">
        <v>6</v>
      </c>
      <c r="D527" s="12"/>
      <c r="E527" s="12" t="s">
        <v>6</v>
      </c>
    </row>
    <row r="528" ht="15.75" customHeight="1">
      <c r="A528" s="12"/>
      <c r="B528" s="12"/>
      <c r="C528" s="12" t="s">
        <v>6</v>
      </c>
      <c r="D528" s="12"/>
      <c r="E528" s="12" t="s">
        <v>6</v>
      </c>
    </row>
    <row r="529" ht="15.75" customHeight="1">
      <c r="A529" s="12"/>
      <c r="B529" s="12"/>
      <c r="C529" s="12" t="s">
        <v>6</v>
      </c>
      <c r="D529" s="12"/>
      <c r="E529" s="12" t="s">
        <v>6</v>
      </c>
    </row>
    <row r="530" ht="15.75" customHeight="1">
      <c r="A530" s="12"/>
      <c r="B530" s="12"/>
      <c r="C530" s="12" t="s">
        <v>6</v>
      </c>
      <c r="D530" s="12"/>
      <c r="E530" s="12" t="s">
        <v>6</v>
      </c>
    </row>
    <row r="531" ht="15.75" customHeight="1">
      <c r="A531" s="12"/>
      <c r="B531" s="12"/>
      <c r="C531" s="12" t="s">
        <v>6</v>
      </c>
      <c r="D531" s="12"/>
      <c r="E531" s="12" t="s">
        <v>6</v>
      </c>
    </row>
    <row r="532" ht="15.75" customHeight="1">
      <c r="A532" s="12"/>
      <c r="B532" s="12"/>
      <c r="C532" s="12" t="s">
        <v>6</v>
      </c>
      <c r="D532" s="12"/>
      <c r="E532" s="12" t="s">
        <v>6</v>
      </c>
    </row>
    <row r="533" ht="15.75" customHeight="1">
      <c r="A533" s="12"/>
      <c r="B533" s="12"/>
      <c r="C533" s="12" t="s">
        <v>6</v>
      </c>
      <c r="D533" s="12"/>
      <c r="E533" s="12" t="s">
        <v>6</v>
      </c>
    </row>
    <row r="534" ht="15.75" customHeight="1">
      <c r="A534" s="12"/>
      <c r="B534" s="12"/>
      <c r="C534" s="12" t="s">
        <v>6</v>
      </c>
      <c r="D534" s="12"/>
      <c r="E534" s="12" t="s">
        <v>6</v>
      </c>
    </row>
    <row r="535" ht="15.75" customHeight="1">
      <c r="A535" s="12"/>
      <c r="B535" s="12"/>
      <c r="C535" s="12" t="s">
        <v>6</v>
      </c>
      <c r="D535" s="12"/>
      <c r="E535" s="12" t="s">
        <v>6</v>
      </c>
    </row>
    <row r="536" ht="15.75" customHeight="1">
      <c r="A536" s="12"/>
      <c r="B536" s="12"/>
      <c r="C536" s="12" t="s">
        <v>6</v>
      </c>
      <c r="D536" s="12"/>
      <c r="E536" s="12" t="s">
        <v>6</v>
      </c>
    </row>
    <row r="537" ht="15.75" customHeight="1">
      <c r="A537" s="12"/>
      <c r="B537" s="12"/>
      <c r="C537" s="12" t="s">
        <v>6</v>
      </c>
      <c r="D537" s="12"/>
      <c r="E537" s="12" t="s">
        <v>6</v>
      </c>
    </row>
    <row r="538" ht="15.75" customHeight="1">
      <c r="A538" s="12"/>
      <c r="B538" s="12"/>
      <c r="C538" s="12" t="s">
        <v>6</v>
      </c>
      <c r="D538" s="12"/>
      <c r="E538" s="12" t="s">
        <v>6</v>
      </c>
    </row>
    <row r="539" ht="15.75" customHeight="1">
      <c r="A539" s="12"/>
      <c r="B539" s="12"/>
      <c r="C539" s="12" t="s">
        <v>6</v>
      </c>
      <c r="D539" s="12"/>
      <c r="E539" s="12" t="s">
        <v>6</v>
      </c>
    </row>
    <row r="540" ht="15.75" customHeight="1">
      <c r="A540" s="12"/>
      <c r="B540" s="12"/>
      <c r="C540" s="12" t="s">
        <v>6</v>
      </c>
      <c r="D540" s="12"/>
      <c r="E540" s="12" t="s">
        <v>6</v>
      </c>
    </row>
    <row r="541" ht="15.75" customHeight="1">
      <c r="A541" s="12"/>
      <c r="B541" s="12"/>
      <c r="C541" s="12" t="s">
        <v>6</v>
      </c>
      <c r="D541" s="12"/>
      <c r="E541" s="12" t="s">
        <v>6</v>
      </c>
    </row>
    <row r="542" ht="15.75" customHeight="1">
      <c r="A542" s="12"/>
      <c r="B542" s="12"/>
      <c r="C542" s="12" t="s">
        <v>6</v>
      </c>
      <c r="D542" s="12"/>
      <c r="E542" s="12" t="s">
        <v>6</v>
      </c>
    </row>
    <row r="543" ht="15.75" customHeight="1">
      <c r="A543" s="12"/>
      <c r="B543" s="12"/>
      <c r="C543" s="12" t="s">
        <v>6</v>
      </c>
      <c r="D543" s="12"/>
      <c r="E543" s="12" t="s">
        <v>6</v>
      </c>
    </row>
    <row r="544" ht="15.75" customHeight="1">
      <c r="A544" s="12"/>
      <c r="B544" s="12"/>
      <c r="C544" s="12" t="s">
        <v>6</v>
      </c>
      <c r="D544" s="12"/>
      <c r="E544" s="12" t="s">
        <v>6</v>
      </c>
    </row>
    <row r="545" ht="15.75" customHeight="1">
      <c r="A545" s="12"/>
      <c r="B545" s="12"/>
      <c r="C545" s="12" t="s">
        <v>6</v>
      </c>
      <c r="D545" s="12"/>
      <c r="E545" s="12" t="s">
        <v>6</v>
      </c>
    </row>
    <row r="546" ht="15.75" customHeight="1">
      <c r="A546" s="12"/>
      <c r="B546" s="12"/>
      <c r="C546" s="12" t="s">
        <v>6</v>
      </c>
      <c r="D546" s="12"/>
      <c r="E546" s="12" t="s">
        <v>6</v>
      </c>
    </row>
    <row r="547" ht="15.75" customHeight="1">
      <c r="A547" s="12"/>
      <c r="B547" s="12"/>
      <c r="C547" s="12" t="s">
        <v>6</v>
      </c>
      <c r="D547" s="12"/>
      <c r="E547" s="12" t="s">
        <v>6</v>
      </c>
    </row>
    <row r="548" ht="15.75" customHeight="1">
      <c r="A548" s="12"/>
      <c r="B548" s="12"/>
      <c r="C548" s="12" t="s">
        <v>6</v>
      </c>
      <c r="D548" s="12"/>
      <c r="E548" s="12" t="s">
        <v>6</v>
      </c>
    </row>
    <row r="549" ht="15.75" customHeight="1">
      <c r="A549" s="12"/>
      <c r="B549" s="12"/>
      <c r="C549" s="12" t="s">
        <v>6</v>
      </c>
      <c r="D549" s="12"/>
      <c r="E549" s="12" t="s">
        <v>6</v>
      </c>
    </row>
    <row r="550" ht="15.75" customHeight="1">
      <c r="A550" s="12"/>
      <c r="B550" s="12"/>
      <c r="C550" s="12" t="s">
        <v>6</v>
      </c>
      <c r="D550" s="12"/>
      <c r="E550" s="12" t="s">
        <v>6</v>
      </c>
    </row>
    <row r="551" ht="15.75" customHeight="1">
      <c r="A551" s="12"/>
      <c r="B551" s="12"/>
      <c r="C551" s="12" t="s">
        <v>6</v>
      </c>
      <c r="D551" s="12"/>
      <c r="E551" s="12" t="s">
        <v>6</v>
      </c>
    </row>
    <row r="552" ht="15.75" customHeight="1">
      <c r="A552" s="12"/>
      <c r="B552" s="12"/>
      <c r="C552" s="12" t="s">
        <v>6</v>
      </c>
      <c r="D552" s="12"/>
      <c r="E552" s="12" t="s">
        <v>6</v>
      </c>
    </row>
    <row r="553" ht="15.75" customHeight="1">
      <c r="A553" s="12"/>
      <c r="B553" s="12"/>
      <c r="C553" s="12" t="s">
        <v>6</v>
      </c>
      <c r="D553" s="12"/>
      <c r="E553" s="12" t="s">
        <v>6</v>
      </c>
    </row>
    <row r="554" ht="15.75" customHeight="1">
      <c r="A554" s="12"/>
      <c r="B554" s="12"/>
      <c r="C554" s="12" t="s">
        <v>6</v>
      </c>
      <c r="D554" s="12"/>
      <c r="E554" s="12" t="s">
        <v>6</v>
      </c>
    </row>
    <row r="555" ht="15.75" customHeight="1">
      <c r="A555" s="12"/>
      <c r="B555" s="12"/>
      <c r="C555" s="12" t="s">
        <v>6</v>
      </c>
      <c r="D555" s="12"/>
      <c r="E555" s="12" t="s">
        <v>6</v>
      </c>
    </row>
    <row r="556" ht="15.75" customHeight="1">
      <c r="A556" s="12"/>
      <c r="B556" s="12"/>
      <c r="C556" s="12" t="s">
        <v>6</v>
      </c>
      <c r="D556" s="12"/>
      <c r="E556" s="12" t="s">
        <v>6</v>
      </c>
    </row>
    <row r="557" ht="15.75" customHeight="1">
      <c r="A557" s="12"/>
      <c r="B557" s="12"/>
      <c r="C557" s="12" t="s">
        <v>6</v>
      </c>
      <c r="D557" s="12"/>
      <c r="E557" s="12" t="s">
        <v>6</v>
      </c>
    </row>
    <row r="558" ht="15.75" customHeight="1">
      <c r="A558" s="12"/>
      <c r="B558" s="12"/>
      <c r="C558" s="12" t="s">
        <v>6</v>
      </c>
      <c r="D558" s="12"/>
      <c r="E558" s="12" t="s">
        <v>6</v>
      </c>
    </row>
    <row r="559" ht="15.75" customHeight="1">
      <c r="A559" s="12"/>
      <c r="B559" s="12"/>
      <c r="C559" s="12" t="s">
        <v>6</v>
      </c>
      <c r="D559" s="12"/>
      <c r="E559" s="12" t="s">
        <v>6</v>
      </c>
    </row>
    <row r="560" ht="15.75" customHeight="1">
      <c r="A560" s="12"/>
      <c r="B560" s="12"/>
      <c r="C560" s="12" t="s">
        <v>6</v>
      </c>
      <c r="D560" s="12"/>
      <c r="E560" s="12" t="s">
        <v>6</v>
      </c>
    </row>
    <row r="561" ht="15.75" customHeight="1">
      <c r="A561" s="12"/>
      <c r="B561" s="12"/>
      <c r="C561" s="12" t="s">
        <v>6</v>
      </c>
      <c r="D561" s="12"/>
      <c r="E561" s="12" t="s">
        <v>6</v>
      </c>
    </row>
    <row r="562" ht="15.75" customHeight="1">
      <c r="A562" s="12"/>
      <c r="B562" s="12"/>
      <c r="C562" s="12" t="s">
        <v>6</v>
      </c>
      <c r="D562" s="12"/>
      <c r="E562" s="12" t="s">
        <v>6</v>
      </c>
    </row>
    <row r="563" ht="15.75" customHeight="1">
      <c r="A563" s="12"/>
      <c r="B563" s="12"/>
      <c r="C563" s="12" t="s">
        <v>6</v>
      </c>
      <c r="D563" s="12"/>
      <c r="E563" s="12" t="s">
        <v>6</v>
      </c>
    </row>
    <row r="564" ht="15.75" customHeight="1">
      <c r="A564" s="12"/>
      <c r="B564" s="12"/>
      <c r="C564" s="12" t="s">
        <v>6</v>
      </c>
      <c r="D564" s="12"/>
      <c r="E564" s="12" t="s">
        <v>6</v>
      </c>
    </row>
    <row r="565" ht="15.75" customHeight="1">
      <c r="A565" s="12"/>
      <c r="B565" s="12"/>
      <c r="C565" s="12" t="s">
        <v>6</v>
      </c>
      <c r="D565" s="12"/>
      <c r="E565" s="12" t="s">
        <v>6</v>
      </c>
    </row>
    <row r="566" ht="15.75" customHeight="1">
      <c r="A566" s="12"/>
      <c r="B566" s="12"/>
      <c r="C566" s="12" t="s">
        <v>6</v>
      </c>
      <c r="D566" s="12"/>
      <c r="E566" s="12" t="s">
        <v>6</v>
      </c>
    </row>
    <row r="567" ht="15.75" customHeight="1">
      <c r="A567" s="12"/>
      <c r="B567" s="12"/>
      <c r="C567" s="12" t="s">
        <v>6</v>
      </c>
      <c r="D567" s="12"/>
      <c r="E567" s="12" t="s">
        <v>6</v>
      </c>
    </row>
    <row r="568" ht="15.75" customHeight="1">
      <c r="A568" s="12"/>
      <c r="B568" s="12"/>
      <c r="C568" s="12" t="s">
        <v>6</v>
      </c>
      <c r="D568" s="12"/>
      <c r="E568" s="12" t="s">
        <v>6</v>
      </c>
    </row>
    <row r="569" ht="15.75" customHeight="1">
      <c r="A569" s="12"/>
      <c r="B569" s="12"/>
      <c r="C569" s="12" t="s">
        <v>6</v>
      </c>
      <c r="D569" s="12"/>
      <c r="E569" s="12" t="s">
        <v>6</v>
      </c>
    </row>
    <row r="570" ht="15.75" customHeight="1">
      <c r="A570" s="12"/>
      <c r="B570" s="12"/>
      <c r="C570" s="12" t="s">
        <v>6</v>
      </c>
      <c r="D570" s="12"/>
      <c r="E570" s="12" t="s">
        <v>6</v>
      </c>
    </row>
    <row r="571" ht="15.75" customHeight="1">
      <c r="A571" s="12"/>
      <c r="B571" s="12"/>
      <c r="C571" s="12" t="s">
        <v>6</v>
      </c>
      <c r="D571" s="12"/>
      <c r="E571" s="12" t="s">
        <v>6</v>
      </c>
    </row>
    <row r="572" ht="15.75" customHeight="1">
      <c r="A572" s="12"/>
      <c r="B572" s="12"/>
      <c r="C572" s="12" t="s">
        <v>6</v>
      </c>
      <c r="D572" s="12"/>
      <c r="E572" s="12" t="s">
        <v>6</v>
      </c>
    </row>
    <row r="573" ht="15.75" customHeight="1">
      <c r="A573" s="12"/>
      <c r="B573" s="12"/>
      <c r="C573" s="12" t="s">
        <v>6</v>
      </c>
      <c r="D573" s="12"/>
      <c r="E573" s="12" t="s">
        <v>6</v>
      </c>
    </row>
    <row r="574" ht="15.75" customHeight="1">
      <c r="A574" s="12"/>
      <c r="B574" s="12"/>
      <c r="C574" s="12" t="s">
        <v>6</v>
      </c>
      <c r="D574" s="12"/>
      <c r="E574" s="12" t="s">
        <v>6</v>
      </c>
    </row>
    <row r="575" ht="15.75" customHeight="1">
      <c r="A575" s="12"/>
      <c r="B575" s="12"/>
      <c r="C575" s="12" t="s">
        <v>6</v>
      </c>
      <c r="D575" s="12"/>
      <c r="E575" s="12" t="s">
        <v>6</v>
      </c>
    </row>
    <row r="576" ht="15.75" customHeight="1">
      <c r="A576" s="12"/>
      <c r="B576" s="12"/>
      <c r="C576" s="12" t="s">
        <v>6</v>
      </c>
      <c r="D576" s="12"/>
      <c r="E576" s="12" t="s">
        <v>6</v>
      </c>
    </row>
    <row r="577" ht="15.75" customHeight="1">
      <c r="A577" s="12"/>
      <c r="B577" s="12"/>
      <c r="C577" s="12" t="s">
        <v>6</v>
      </c>
      <c r="D577" s="12"/>
      <c r="E577" s="12" t="s">
        <v>6</v>
      </c>
    </row>
    <row r="578" ht="15.75" customHeight="1">
      <c r="A578" s="12"/>
      <c r="B578" s="12"/>
      <c r="C578" s="12" t="s">
        <v>6</v>
      </c>
      <c r="D578" s="12"/>
      <c r="E578" s="12" t="s">
        <v>6</v>
      </c>
    </row>
    <row r="579" ht="15.75" customHeight="1">
      <c r="A579" s="12"/>
      <c r="B579" s="12"/>
      <c r="C579" s="12" t="s">
        <v>6</v>
      </c>
      <c r="D579" s="12"/>
      <c r="E579" s="12" t="s">
        <v>6</v>
      </c>
    </row>
    <row r="580" ht="15.75" customHeight="1">
      <c r="A580" s="12"/>
      <c r="B580" s="12"/>
      <c r="C580" s="12" t="s">
        <v>6</v>
      </c>
      <c r="D580" s="12"/>
      <c r="E580" s="12" t="s">
        <v>6</v>
      </c>
    </row>
    <row r="581" ht="15.75" customHeight="1">
      <c r="A581" s="12"/>
      <c r="B581" s="12"/>
      <c r="C581" s="12" t="s">
        <v>6</v>
      </c>
      <c r="D581" s="12"/>
      <c r="E581" s="12" t="s">
        <v>6</v>
      </c>
    </row>
    <row r="582" ht="15.75" customHeight="1">
      <c r="A582" s="12"/>
      <c r="B582" s="12"/>
      <c r="C582" s="12" t="s">
        <v>6</v>
      </c>
      <c r="D582" s="12"/>
      <c r="E582" s="12" t="s">
        <v>6</v>
      </c>
    </row>
    <row r="583" ht="15.75" customHeight="1">
      <c r="A583" s="12"/>
      <c r="B583" s="12"/>
      <c r="C583" s="12" t="s">
        <v>6</v>
      </c>
      <c r="D583" s="12"/>
      <c r="E583" s="12" t="s">
        <v>6</v>
      </c>
    </row>
    <row r="584" ht="15.75" customHeight="1">
      <c r="A584" s="12"/>
      <c r="B584" s="12"/>
      <c r="C584" s="12" t="s">
        <v>6</v>
      </c>
      <c r="D584" s="12"/>
      <c r="E584" s="12" t="s">
        <v>6</v>
      </c>
    </row>
    <row r="585" ht="15.75" customHeight="1">
      <c r="A585" s="12"/>
      <c r="B585" s="12"/>
      <c r="C585" s="12" t="s">
        <v>6</v>
      </c>
      <c r="D585" s="12"/>
      <c r="E585" s="12" t="s">
        <v>6</v>
      </c>
    </row>
    <row r="586" ht="15.75" customHeight="1">
      <c r="A586" s="12"/>
      <c r="B586" s="12"/>
      <c r="C586" s="12" t="s">
        <v>6</v>
      </c>
      <c r="D586" s="12"/>
      <c r="E586" s="12" t="s">
        <v>6</v>
      </c>
    </row>
    <row r="587" ht="15.75" customHeight="1">
      <c r="A587" s="12"/>
      <c r="B587" s="12"/>
      <c r="C587" s="12" t="s">
        <v>6</v>
      </c>
      <c r="D587" s="12"/>
      <c r="E587" s="12" t="s">
        <v>6</v>
      </c>
    </row>
    <row r="588" ht="15.75" customHeight="1">
      <c r="A588" s="12"/>
      <c r="B588" s="12"/>
      <c r="C588" s="12" t="s">
        <v>6</v>
      </c>
      <c r="D588" s="12"/>
      <c r="E588" s="12" t="s">
        <v>6</v>
      </c>
    </row>
    <row r="589" ht="15.75" customHeight="1">
      <c r="A589" s="12"/>
      <c r="B589" s="12"/>
      <c r="C589" s="12" t="s">
        <v>6</v>
      </c>
      <c r="D589" s="12"/>
      <c r="E589" s="12" t="s">
        <v>6</v>
      </c>
    </row>
    <row r="590" ht="15.75" customHeight="1">
      <c r="A590" s="12"/>
      <c r="B590" s="12"/>
      <c r="C590" s="12" t="s">
        <v>6</v>
      </c>
      <c r="D590" s="12"/>
      <c r="E590" s="12" t="s">
        <v>6</v>
      </c>
    </row>
    <row r="591" ht="15.75" customHeight="1">
      <c r="A591" s="12"/>
      <c r="B591" s="12"/>
      <c r="C591" s="12" t="s">
        <v>6</v>
      </c>
      <c r="D591" s="12"/>
      <c r="E591" s="12" t="s">
        <v>6</v>
      </c>
    </row>
    <row r="592" ht="15.75" customHeight="1">
      <c r="A592" s="12"/>
      <c r="B592" s="12"/>
      <c r="C592" s="12" t="s">
        <v>6</v>
      </c>
      <c r="D592" s="12"/>
      <c r="E592" s="12" t="s">
        <v>6</v>
      </c>
    </row>
    <row r="593" ht="15.75" customHeight="1">
      <c r="A593" s="12"/>
      <c r="B593" s="12"/>
      <c r="C593" s="12" t="s">
        <v>6</v>
      </c>
      <c r="D593" s="12"/>
      <c r="E593" s="12" t="s">
        <v>6</v>
      </c>
    </row>
    <row r="594" ht="15.75" customHeight="1">
      <c r="A594" s="12"/>
      <c r="B594" s="12"/>
      <c r="C594" s="12" t="s">
        <v>6</v>
      </c>
      <c r="D594" s="12"/>
      <c r="E594" s="12" t="s">
        <v>6</v>
      </c>
    </row>
    <row r="595" ht="15.75" customHeight="1">
      <c r="A595" s="12"/>
      <c r="B595" s="12"/>
      <c r="C595" s="12" t="s">
        <v>6</v>
      </c>
      <c r="D595" s="12"/>
      <c r="E595" s="12" t="s">
        <v>6</v>
      </c>
    </row>
    <row r="596" ht="15.75" customHeight="1">
      <c r="A596" s="12"/>
      <c r="B596" s="12"/>
      <c r="C596" s="12" t="s">
        <v>6</v>
      </c>
      <c r="D596" s="12"/>
      <c r="E596" s="12" t="s">
        <v>6</v>
      </c>
    </row>
    <row r="597" ht="15.75" customHeight="1">
      <c r="A597" s="12"/>
      <c r="B597" s="12"/>
      <c r="C597" s="12" t="s">
        <v>6</v>
      </c>
      <c r="D597" s="12"/>
      <c r="E597" s="12" t="s">
        <v>6</v>
      </c>
    </row>
    <row r="598" ht="15.75" customHeight="1">
      <c r="A598" s="12"/>
      <c r="B598" s="12"/>
      <c r="C598" s="12" t="s">
        <v>6</v>
      </c>
      <c r="D598" s="12"/>
      <c r="E598" s="12" t="s">
        <v>6</v>
      </c>
    </row>
    <row r="599" ht="15.75" customHeight="1">
      <c r="A599" s="12"/>
      <c r="B599" s="12"/>
      <c r="C599" s="12" t="s">
        <v>6</v>
      </c>
      <c r="D599" s="12"/>
      <c r="E599" s="12" t="s">
        <v>6</v>
      </c>
    </row>
    <row r="600" ht="15.75" customHeight="1">
      <c r="A600" s="12"/>
      <c r="B600" s="12"/>
      <c r="C600" s="12" t="s">
        <v>6</v>
      </c>
      <c r="D600" s="12"/>
      <c r="E600" s="12" t="s">
        <v>6</v>
      </c>
    </row>
    <row r="601" ht="15.75" customHeight="1">
      <c r="A601" s="12"/>
      <c r="B601" s="12"/>
      <c r="C601" s="12" t="s">
        <v>6</v>
      </c>
      <c r="D601" s="12"/>
      <c r="E601" s="12" t="s">
        <v>6</v>
      </c>
    </row>
    <row r="602" ht="15.75" customHeight="1">
      <c r="A602" s="12"/>
      <c r="B602" s="12"/>
      <c r="C602" s="12" t="s">
        <v>6</v>
      </c>
      <c r="D602" s="12"/>
      <c r="E602" s="12" t="s">
        <v>6</v>
      </c>
    </row>
    <row r="603" ht="15.75" customHeight="1">
      <c r="A603" s="12"/>
      <c r="B603" s="12"/>
      <c r="C603" s="12" t="s">
        <v>6</v>
      </c>
      <c r="D603" s="12"/>
      <c r="E603" s="12" t="s">
        <v>6</v>
      </c>
    </row>
    <row r="604" ht="15.75" customHeight="1">
      <c r="A604" s="12"/>
      <c r="B604" s="12"/>
      <c r="C604" s="12" t="s">
        <v>6</v>
      </c>
      <c r="D604" s="12"/>
      <c r="E604" s="12" t="s">
        <v>6</v>
      </c>
    </row>
    <row r="605" ht="15.75" customHeight="1">
      <c r="A605" s="12"/>
      <c r="B605" s="12"/>
      <c r="C605" s="12" t="s">
        <v>6</v>
      </c>
      <c r="D605" s="12"/>
      <c r="E605" s="12" t="s">
        <v>6</v>
      </c>
    </row>
    <row r="606" ht="15.75" customHeight="1">
      <c r="A606" s="12"/>
      <c r="B606" s="12"/>
      <c r="C606" s="12" t="s">
        <v>6</v>
      </c>
      <c r="D606" s="12"/>
      <c r="E606" s="12" t="s">
        <v>6</v>
      </c>
    </row>
    <row r="607" ht="15.75" customHeight="1">
      <c r="A607" s="12"/>
      <c r="B607" s="12"/>
      <c r="C607" s="12" t="s">
        <v>6</v>
      </c>
      <c r="D607" s="12"/>
      <c r="E607" s="12" t="s">
        <v>6</v>
      </c>
    </row>
    <row r="608" ht="15.75" customHeight="1">
      <c r="A608" s="12"/>
      <c r="B608" s="12"/>
      <c r="C608" s="12" t="s">
        <v>6</v>
      </c>
      <c r="D608" s="12"/>
      <c r="E608" s="12" t="s">
        <v>6</v>
      </c>
    </row>
    <row r="609" ht="15.75" customHeight="1">
      <c r="A609" s="12"/>
      <c r="B609" s="12"/>
      <c r="C609" s="12" t="s">
        <v>6</v>
      </c>
      <c r="D609" s="12"/>
      <c r="E609" s="12" t="s">
        <v>6</v>
      </c>
    </row>
    <row r="610" ht="15.75" customHeight="1">
      <c r="A610" s="12"/>
      <c r="B610" s="12"/>
      <c r="C610" s="12" t="s">
        <v>6</v>
      </c>
      <c r="D610" s="12"/>
      <c r="E610" s="12" t="s">
        <v>6</v>
      </c>
    </row>
    <row r="611" ht="15.75" customHeight="1">
      <c r="A611" s="12"/>
      <c r="B611" s="12"/>
      <c r="C611" s="12" t="s">
        <v>6</v>
      </c>
      <c r="D611" s="12"/>
      <c r="E611" s="12" t="s">
        <v>6</v>
      </c>
    </row>
    <row r="612" ht="15.75" customHeight="1">
      <c r="A612" s="12"/>
      <c r="B612" s="12"/>
      <c r="C612" s="12" t="s">
        <v>6</v>
      </c>
      <c r="D612" s="12"/>
      <c r="E612" s="12" t="s">
        <v>6</v>
      </c>
    </row>
    <row r="613" ht="15.75" customHeight="1">
      <c r="A613" s="12"/>
      <c r="B613" s="12"/>
      <c r="C613" s="12" t="s">
        <v>6</v>
      </c>
      <c r="D613" s="12"/>
      <c r="E613" s="12" t="s">
        <v>6</v>
      </c>
    </row>
    <row r="614" ht="15.75" customHeight="1">
      <c r="A614" s="12"/>
      <c r="B614" s="12"/>
      <c r="C614" s="12" t="s">
        <v>6</v>
      </c>
      <c r="D614" s="12"/>
      <c r="E614" s="12" t="s">
        <v>6</v>
      </c>
    </row>
    <row r="615" ht="15.75" customHeight="1">
      <c r="A615" s="12"/>
      <c r="B615" s="12"/>
      <c r="C615" s="12" t="s">
        <v>6</v>
      </c>
      <c r="D615" s="12"/>
      <c r="E615" s="12" t="s">
        <v>6</v>
      </c>
    </row>
    <row r="616" ht="15.75" customHeight="1">
      <c r="A616" s="12"/>
      <c r="B616" s="12"/>
      <c r="C616" s="12" t="s">
        <v>6</v>
      </c>
      <c r="D616" s="12"/>
      <c r="E616" s="12" t="s">
        <v>6</v>
      </c>
    </row>
    <row r="617" ht="15.75" customHeight="1">
      <c r="A617" s="12"/>
      <c r="B617" s="12"/>
      <c r="C617" s="12" t="s">
        <v>6</v>
      </c>
      <c r="D617" s="12"/>
      <c r="E617" s="12" t="s">
        <v>6</v>
      </c>
    </row>
    <row r="618" ht="15.75" customHeight="1">
      <c r="A618" s="12"/>
      <c r="B618" s="12"/>
      <c r="C618" s="12" t="s">
        <v>6</v>
      </c>
      <c r="D618" s="12"/>
      <c r="E618" s="12" t="s">
        <v>6</v>
      </c>
    </row>
    <row r="619" ht="15.75" customHeight="1">
      <c r="A619" s="12"/>
      <c r="B619" s="12"/>
      <c r="C619" s="12" t="s">
        <v>6</v>
      </c>
      <c r="D619" s="12"/>
      <c r="E619" s="12" t="s">
        <v>6</v>
      </c>
    </row>
    <row r="620" ht="15.75" customHeight="1">
      <c r="A620" s="12"/>
      <c r="B620" s="12"/>
      <c r="C620" s="12" t="s">
        <v>6</v>
      </c>
      <c r="D620" s="12"/>
      <c r="E620" s="12" t="s">
        <v>6</v>
      </c>
    </row>
    <row r="621" ht="15.75" customHeight="1">
      <c r="A621" s="12"/>
      <c r="B621" s="12"/>
      <c r="C621" s="12" t="s">
        <v>6</v>
      </c>
      <c r="D621" s="12"/>
      <c r="E621" s="12" t="s">
        <v>6</v>
      </c>
    </row>
    <row r="622" ht="15.75" customHeight="1">
      <c r="A622" s="12"/>
      <c r="B622" s="12"/>
      <c r="C622" s="12" t="s">
        <v>6</v>
      </c>
      <c r="D622" s="12"/>
      <c r="E622" s="12" t="s">
        <v>6</v>
      </c>
    </row>
    <row r="623" ht="15.75" customHeight="1">
      <c r="A623" s="12"/>
      <c r="B623" s="12"/>
      <c r="C623" s="12" t="s">
        <v>6</v>
      </c>
      <c r="D623" s="12"/>
      <c r="E623" s="12" t="s">
        <v>6</v>
      </c>
    </row>
    <row r="624" ht="15.75" customHeight="1">
      <c r="A624" s="12"/>
      <c r="B624" s="12"/>
      <c r="C624" s="12" t="s">
        <v>6</v>
      </c>
      <c r="D624" s="12"/>
      <c r="E624" s="12" t="s">
        <v>6</v>
      </c>
    </row>
    <row r="625" ht="15.75" customHeight="1">
      <c r="A625" s="12"/>
      <c r="B625" s="12"/>
      <c r="C625" s="12" t="s">
        <v>6</v>
      </c>
      <c r="D625" s="12"/>
      <c r="E625" s="12" t="s">
        <v>6</v>
      </c>
    </row>
    <row r="626" ht="15.75" customHeight="1">
      <c r="A626" s="12"/>
      <c r="B626" s="12"/>
      <c r="C626" s="12" t="s">
        <v>6</v>
      </c>
      <c r="D626" s="12"/>
      <c r="E626" s="12" t="s">
        <v>6</v>
      </c>
    </row>
    <row r="627" ht="15.75" customHeight="1">
      <c r="A627" s="12"/>
      <c r="B627" s="12"/>
      <c r="C627" s="12" t="s">
        <v>6</v>
      </c>
      <c r="D627" s="12"/>
      <c r="E627" s="12" t="s">
        <v>6</v>
      </c>
    </row>
    <row r="628" ht="15.75" customHeight="1">
      <c r="A628" s="12"/>
      <c r="B628" s="12"/>
      <c r="C628" s="12" t="s">
        <v>6</v>
      </c>
      <c r="D628" s="12"/>
      <c r="E628" s="12" t="s">
        <v>6</v>
      </c>
    </row>
    <row r="629" ht="15.75" customHeight="1">
      <c r="A629" s="12"/>
      <c r="B629" s="12"/>
      <c r="C629" s="12" t="s">
        <v>6</v>
      </c>
      <c r="D629" s="12"/>
      <c r="E629" s="12" t="s">
        <v>6</v>
      </c>
    </row>
    <row r="630" ht="15.75" customHeight="1">
      <c r="A630" s="12"/>
      <c r="B630" s="12"/>
      <c r="C630" s="12" t="s">
        <v>6</v>
      </c>
      <c r="D630" s="12"/>
      <c r="E630" s="12" t="s">
        <v>6</v>
      </c>
    </row>
    <row r="631" ht="15.75" customHeight="1">
      <c r="A631" s="12"/>
      <c r="B631" s="12"/>
      <c r="C631" s="12" t="s">
        <v>6</v>
      </c>
      <c r="D631" s="12"/>
      <c r="E631" s="12" t="s">
        <v>6</v>
      </c>
    </row>
    <row r="632" ht="15.75" customHeight="1">
      <c r="A632" s="12"/>
      <c r="B632" s="12"/>
      <c r="C632" s="12" t="s">
        <v>6</v>
      </c>
      <c r="D632" s="12"/>
      <c r="E632" s="12" t="s">
        <v>6</v>
      </c>
    </row>
    <row r="633" ht="15.75" customHeight="1">
      <c r="A633" s="12"/>
      <c r="B633" s="12"/>
      <c r="C633" s="12" t="s">
        <v>6</v>
      </c>
      <c r="D633" s="12"/>
      <c r="E633" s="12" t="s">
        <v>6</v>
      </c>
    </row>
    <row r="634" ht="15.75" customHeight="1">
      <c r="A634" s="12"/>
      <c r="B634" s="12"/>
      <c r="C634" s="12" t="s">
        <v>6</v>
      </c>
      <c r="D634" s="12"/>
      <c r="E634" s="12" t="s">
        <v>6</v>
      </c>
    </row>
    <row r="635" ht="15.75" customHeight="1">
      <c r="A635" s="12"/>
      <c r="B635" s="12"/>
      <c r="C635" s="12" t="s">
        <v>6</v>
      </c>
      <c r="D635" s="12"/>
      <c r="E635" s="12" t="s">
        <v>6</v>
      </c>
    </row>
    <row r="636" ht="15.75" customHeight="1">
      <c r="A636" s="12"/>
      <c r="B636" s="12"/>
      <c r="C636" s="12" t="s">
        <v>6</v>
      </c>
      <c r="D636" s="12"/>
      <c r="E636" s="12" t="s">
        <v>6</v>
      </c>
    </row>
    <row r="637" ht="15.75" customHeight="1">
      <c r="A637" s="12"/>
      <c r="B637" s="12"/>
      <c r="C637" s="12" t="s">
        <v>6</v>
      </c>
      <c r="D637" s="12"/>
      <c r="E637" s="12" t="s">
        <v>6</v>
      </c>
    </row>
    <row r="638" ht="15.75" customHeight="1">
      <c r="A638" s="12"/>
      <c r="B638" s="12"/>
      <c r="C638" s="12" t="s">
        <v>6</v>
      </c>
      <c r="D638" s="12"/>
      <c r="E638" s="12" t="s">
        <v>6</v>
      </c>
    </row>
    <row r="639" ht="15.75" customHeight="1">
      <c r="A639" s="12"/>
      <c r="B639" s="12"/>
      <c r="C639" s="12" t="s">
        <v>6</v>
      </c>
      <c r="D639" s="12"/>
      <c r="E639" s="12" t="s">
        <v>6</v>
      </c>
    </row>
    <row r="640" ht="15.75" customHeight="1">
      <c r="A640" s="12"/>
      <c r="B640" s="12"/>
      <c r="C640" s="12" t="s">
        <v>6</v>
      </c>
      <c r="D640" s="12"/>
      <c r="E640" s="12" t="s">
        <v>6</v>
      </c>
    </row>
    <row r="641" ht="15.75" customHeight="1">
      <c r="A641" s="12"/>
      <c r="B641" s="12"/>
      <c r="C641" s="12" t="s">
        <v>6</v>
      </c>
      <c r="D641" s="12"/>
      <c r="E641" s="12" t="s">
        <v>6</v>
      </c>
    </row>
    <row r="642" ht="15.75" customHeight="1">
      <c r="A642" s="12"/>
      <c r="B642" s="12"/>
      <c r="C642" s="12" t="s">
        <v>6</v>
      </c>
      <c r="D642" s="12"/>
      <c r="E642" s="12" t="s">
        <v>6</v>
      </c>
    </row>
    <row r="643" ht="15.75" customHeight="1">
      <c r="A643" s="12"/>
      <c r="B643" s="12"/>
      <c r="C643" s="12" t="s">
        <v>6</v>
      </c>
      <c r="D643" s="12"/>
      <c r="E643" s="12" t="s">
        <v>6</v>
      </c>
    </row>
    <row r="644" ht="15.75" customHeight="1">
      <c r="A644" s="12"/>
      <c r="B644" s="12"/>
      <c r="C644" s="12" t="s">
        <v>6</v>
      </c>
      <c r="D644" s="12"/>
      <c r="E644" s="12" t="s">
        <v>6</v>
      </c>
    </row>
    <row r="645" ht="15.75" customHeight="1">
      <c r="A645" s="12"/>
      <c r="B645" s="12"/>
      <c r="C645" s="12" t="s">
        <v>6</v>
      </c>
      <c r="D645" s="12"/>
      <c r="E645" s="12" t="s">
        <v>6</v>
      </c>
    </row>
    <row r="646" ht="15.75" customHeight="1">
      <c r="A646" s="12"/>
      <c r="B646" s="12"/>
      <c r="C646" s="12" t="s">
        <v>6</v>
      </c>
      <c r="D646" s="12"/>
      <c r="E646" s="12" t="s">
        <v>6</v>
      </c>
    </row>
    <row r="647" ht="15.75" customHeight="1">
      <c r="A647" s="12"/>
      <c r="B647" s="12"/>
      <c r="C647" s="12" t="s">
        <v>6</v>
      </c>
      <c r="D647" s="12"/>
      <c r="E647" s="12" t="s">
        <v>6</v>
      </c>
    </row>
    <row r="648" ht="15.75" customHeight="1">
      <c r="A648" s="12"/>
      <c r="B648" s="12"/>
      <c r="C648" s="12" t="s">
        <v>6</v>
      </c>
      <c r="D648" s="12"/>
      <c r="E648" s="12" t="s">
        <v>6</v>
      </c>
    </row>
    <row r="649" ht="15.75" customHeight="1">
      <c r="A649" s="12"/>
      <c r="B649" s="12"/>
      <c r="C649" s="12" t="s">
        <v>6</v>
      </c>
      <c r="D649" s="12"/>
      <c r="E649" s="12" t="s">
        <v>6</v>
      </c>
    </row>
    <row r="650" ht="15.75" customHeight="1">
      <c r="A650" s="12"/>
      <c r="B650" s="12"/>
      <c r="C650" s="12" t="s">
        <v>6</v>
      </c>
      <c r="D650" s="12"/>
      <c r="E650" s="12" t="s">
        <v>6</v>
      </c>
    </row>
    <row r="651" ht="15.75" customHeight="1">
      <c r="A651" s="12"/>
      <c r="B651" s="12"/>
      <c r="C651" s="12" t="s">
        <v>6</v>
      </c>
      <c r="D651" s="12"/>
      <c r="E651" s="12" t="s">
        <v>6</v>
      </c>
    </row>
    <row r="652" ht="15.75" customHeight="1">
      <c r="A652" s="12"/>
      <c r="B652" s="12"/>
      <c r="C652" s="12" t="s">
        <v>6</v>
      </c>
      <c r="D652" s="12"/>
      <c r="E652" s="12" t="s">
        <v>6</v>
      </c>
    </row>
    <row r="653" ht="15.75" customHeight="1">
      <c r="A653" s="12"/>
      <c r="B653" s="12"/>
      <c r="C653" s="12" t="s">
        <v>6</v>
      </c>
      <c r="D653" s="12"/>
      <c r="E653" s="12" t="s">
        <v>6</v>
      </c>
    </row>
    <row r="654" ht="15.75" customHeight="1">
      <c r="A654" s="12"/>
      <c r="B654" s="12"/>
      <c r="C654" s="12" t="s">
        <v>6</v>
      </c>
      <c r="D654" s="12"/>
      <c r="E654" s="12" t="s">
        <v>6</v>
      </c>
    </row>
    <row r="655" ht="15.75" customHeight="1">
      <c r="A655" s="12"/>
      <c r="B655" s="12"/>
      <c r="C655" s="12" t="s">
        <v>6</v>
      </c>
      <c r="D655" s="12"/>
      <c r="E655" s="12" t="s">
        <v>6</v>
      </c>
    </row>
    <row r="656" ht="15.75" customHeight="1">
      <c r="A656" s="12"/>
      <c r="B656" s="12"/>
      <c r="C656" s="12" t="s">
        <v>6</v>
      </c>
      <c r="D656" s="12"/>
      <c r="E656" s="12" t="s">
        <v>6</v>
      </c>
    </row>
    <row r="657" ht="15.75" customHeight="1">
      <c r="A657" s="12"/>
      <c r="B657" s="12"/>
      <c r="C657" s="12" t="s">
        <v>6</v>
      </c>
      <c r="D657" s="12"/>
      <c r="E657" s="12" t="s">
        <v>6</v>
      </c>
    </row>
    <row r="658" ht="15.75" customHeight="1">
      <c r="A658" s="12"/>
      <c r="B658" s="12"/>
      <c r="C658" s="12" t="s">
        <v>6</v>
      </c>
      <c r="D658" s="12"/>
      <c r="E658" s="12" t="s">
        <v>6</v>
      </c>
    </row>
    <row r="659" ht="15.75" customHeight="1">
      <c r="A659" s="12"/>
      <c r="B659" s="12"/>
      <c r="C659" s="12" t="s">
        <v>6</v>
      </c>
      <c r="D659" s="12"/>
      <c r="E659" s="12" t="s">
        <v>6</v>
      </c>
    </row>
    <row r="660" ht="15.75" customHeight="1">
      <c r="A660" s="12"/>
      <c r="B660" s="12"/>
      <c r="C660" s="12" t="s">
        <v>6</v>
      </c>
      <c r="D660" s="12"/>
      <c r="E660" s="12" t="s">
        <v>6</v>
      </c>
    </row>
    <row r="661" ht="15.75" customHeight="1">
      <c r="A661" s="12"/>
      <c r="B661" s="12"/>
      <c r="C661" s="12" t="s">
        <v>6</v>
      </c>
      <c r="D661" s="12"/>
      <c r="E661" s="12" t="s">
        <v>6</v>
      </c>
    </row>
    <row r="662" ht="15.75" customHeight="1">
      <c r="A662" s="12"/>
      <c r="B662" s="12"/>
      <c r="C662" s="12" t="s">
        <v>6</v>
      </c>
      <c r="D662" s="12"/>
      <c r="E662" s="12" t="s">
        <v>6</v>
      </c>
    </row>
    <row r="663" ht="15.75" customHeight="1">
      <c r="A663" s="12"/>
      <c r="B663" s="12"/>
      <c r="C663" s="12" t="s">
        <v>6</v>
      </c>
      <c r="D663" s="12"/>
      <c r="E663" s="12" t="s">
        <v>6</v>
      </c>
    </row>
    <row r="664" ht="15.75" customHeight="1">
      <c r="A664" s="12"/>
      <c r="B664" s="12"/>
      <c r="C664" s="12" t="s">
        <v>6</v>
      </c>
      <c r="D664" s="12"/>
      <c r="E664" s="12" t="s">
        <v>6</v>
      </c>
    </row>
    <row r="665" ht="15.75" customHeight="1">
      <c r="A665" s="12"/>
      <c r="B665" s="12"/>
      <c r="C665" s="12" t="s">
        <v>6</v>
      </c>
      <c r="D665" s="12"/>
      <c r="E665" s="12" t="s">
        <v>6</v>
      </c>
    </row>
    <row r="666" ht="15.75" customHeight="1">
      <c r="A666" s="12"/>
      <c r="B666" s="12"/>
      <c r="C666" s="12" t="s">
        <v>6</v>
      </c>
      <c r="D666" s="12"/>
      <c r="E666" s="12" t="s">
        <v>6</v>
      </c>
    </row>
    <row r="667" ht="15.75" customHeight="1">
      <c r="A667" s="12"/>
      <c r="B667" s="12"/>
      <c r="C667" s="12" t="s">
        <v>6</v>
      </c>
      <c r="D667" s="12"/>
      <c r="E667" s="12" t="s">
        <v>6</v>
      </c>
    </row>
    <row r="668" ht="15.75" customHeight="1">
      <c r="A668" s="12"/>
      <c r="B668" s="12"/>
      <c r="C668" s="12" t="s">
        <v>6</v>
      </c>
      <c r="D668" s="12"/>
      <c r="E668" s="12" t="s">
        <v>6</v>
      </c>
    </row>
    <row r="669" ht="15.75" customHeight="1">
      <c r="A669" s="12"/>
      <c r="B669" s="12"/>
      <c r="C669" s="12" t="s">
        <v>6</v>
      </c>
      <c r="D669" s="12"/>
      <c r="E669" s="12" t="s">
        <v>6</v>
      </c>
    </row>
    <row r="670" ht="15.75" customHeight="1">
      <c r="A670" s="12"/>
      <c r="B670" s="12"/>
      <c r="C670" s="12" t="s">
        <v>6</v>
      </c>
      <c r="D670" s="12"/>
      <c r="E670" s="12" t="s">
        <v>6</v>
      </c>
    </row>
    <row r="671" ht="15.75" customHeight="1">
      <c r="A671" s="12"/>
      <c r="B671" s="12"/>
      <c r="C671" s="12" t="s">
        <v>6</v>
      </c>
      <c r="D671" s="12"/>
      <c r="E671" s="12" t="s">
        <v>6</v>
      </c>
    </row>
    <row r="672" ht="15.75" customHeight="1">
      <c r="A672" s="12"/>
      <c r="B672" s="12"/>
      <c r="C672" s="12" t="s">
        <v>6</v>
      </c>
      <c r="D672" s="12"/>
      <c r="E672" s="12" t="s">
        <v>6</v>
      </c>
    </row>
    <row r="673" ht="15.75" customHeight="1">
      <c r="A673" s="12"/>
      <c r="B673" s="12"/>
      <c r="C673" s="12" t="s">
        <v>6</v>
      </c>
      <c r="D673" s="12"/>
      <c r="E673" s="12" t="s">
        <v>6</v>
      </c>
    </row>
    <row r="674" ht="15.75" customHeight="1">
      <c r="A674" s="12"/>
      <c r="B674" s="12"/>
      <c r="C674" s="12" t="s">
        <v>6</v>
      </c>
      <c r="D674" s="12"/>
      <c r="E674" s="12" t="s">
        <v>6</v>
      </c>
    </row>
    <row r="675" ht="15.75" customHeight="1">
      <c r="A675" s="12"/>
      <c r="B675" s="12"/>
      <c r="C675" s="12" t="s">
        <v>6</v>
      </c>
      <c r="D675" s="12"/>
      <c r="E675" s="12" t="s">
        <v>6</v>
      </c>
    </row>
    <row r="676" ht="15.75" customHeight="1">
      <c r="A676" s="12"/>
      <c r="B676" s="12"/>
      <c r="C676" s="12" t="s">
        <v>6</v>
      </c>
      <c r="D676" s="12"/>
      <c r="E676" s="12" t="s">
        <v>6</v>
      </c>
    </row>
    <row r="677" ht="15.75" customHeight="1">
      <c r="A677" s="12"/>
      <c r="B677" s="12"/>
      <c r="C677" s="12" t="s">
        <v>6</v>
      </c>
      <c r="D677" s="12"/>
      <c r="E677" s="12" t="s">
        <v>6</v>
      </c>
    </row>
    <row r="678" ht="15.75" customHeight="1">
      <c r="A678" s="12"/>
      <c r="B678" s="12"/>
      <c r="C678" s="12" t="s">
        <v>6</v>
      </c>
      <c r="D678" s="12"/>
      <c r="E678" s="12" t="s">
        <v>6</v>
      </c>
    </row>
    <row r="679" ht="15.75" customHeight="1">
      <c r="A679" s="12"/>
      <c r="B679" s="12"/>
      <c r="C679" s="12" t="s">
        <v>6</v>
      </c>
      <c r="D679" s="12"/>
      <c r="E679" s="12" t="s">
        <v>6</v>
      </c>
    </row>
    <row r="680" ht="15.75" customHeight="1">
      <c r="A680" s="12"/>
      <c r="B680" s="12"/>
      <c r="C680" s="12" t="s">
        <v>6</v>
      </c>
      <c r="D680" s="12"/>
      <c r="E680" s="12" t="s">
        <v>6</v>
      </c>
    </row>
    <row r="681" ht="15.75" customHeight="1">
      <c r="A681" s="12"/>
      <c r="B681" s="12"/>
      <c r="C681" s="12" t="s">
        <v>6</v>
      </c>
      <c r="D681" s="12"/>
      <c r="E681" s="12" t="s">
        <v>6</v>
      </c>
    </row>
    <row r="682" ht="15.75" customHeight="1">
      <c r="A682" s="12"/>
      <c r="B682" s="12"/>
      <c r="C682" s="12" t="s">
        <v>6</v>
      </c>
      <c r="D682" s="12"/>
      <c r="E682" s="12" t="s">
        <v>6</v>
      </c>
    </row>
    <row r="683" ht="15.75" customHeight="1">
      <c r="A683" s="12"/>
      <c r="B683" s="12"/>
      <c r="C683" s="12" t="s">
        <v>6</v>
      </c>
      <c r="D683" s="12"/>
      <c r="E683" s="12" t="s">
        <v>6</v>
      </c>
    </row>
    <row r="684" ht="15.75" customHeight="1">
      <c r="A684" s="12"/>
      <c r="B684" s="12"/>
      <c r="C684" s="12" t="s">
        <v>6</v>
      </c>
      <c r="D684" s="12"/>
      <c r="E684" s="12" t="s">
        <v>6</v>
      </c>
    </row>
    <row r="685" ht="15.75" customHeight="1">
      <c r="A685" s="12"/>
      <c r="B685" s="12"/>
      <c r="C685" s="12" t="s">
        <v>6</v>
      </c>
      <c r="D685" s="12"/>
      <c r="E685" s="12" t="s">
        <v>6</v>
      </c>
    </row>
    <row r="686" ht="15.75" customHeight="1">
      <c r="A686" s="12"/>
      <c r="B686" s="12"/>
      <c r="C686" s="12" t="s">
        <v>6</v>
      </c>
      <c r="D686" s="12"/>
      <c r="E686" s="12" t="s">
        <v>6</v>
      </c>
    </row>
    <row r="687" ht="15.75" customHeight="1">
      <c r="A687" s="12"/>
      <c r="B687" s="12"/>
      <c r="C687" s="12" t="s">
        <v>6</v>
      </c>
      <c r="D687" s="12"/>
      <c r="E687" s="12" t="s">
        <v>6</v>
      </c>
    </row>
    <row r="688" ht="15.75" customHeight="1">
      <c r="A688" s="12"/>
      <c r="B688" s="12"/>
      <c r="C688" s="12" t="s">
        <v>6</v>
      </c>
      <c r="D688" s="12"/>
      <c r="E688" s="12" t="s">
        <v>6</v>
      </c>
    </row>
    <row r="689" ht="15.75" customHeight="1">
      <c r="A689" s="12"/>
      <c r="B689" s="12"/>
      <c r="C689" s="12" t="s">
        <v>6</v>
      </c>
      <c r="D689" s="12"/>
      <c r="E689" s="12" t="s">
        <v>6</v>
      </c>
    </row>
    <row r="690" ht="15.75" customHeight="1">
      <c r="A690" s="12"/>
      <c r="B690" s="12"/>
      <c r="C690" s="12" t="s">
        <v>6</v>
      </c>
      <c r="D690" s="12"/>
      <c r="E690" s="12" t="s">
        <v>6</v>
      </c>
    </row>
    <row r="691" ht="15.75" customHeight="1">
      <c r="A691" s="12"/>
      <c r="B691" s="12"/>
      <c r="C691" s="12" t="s">
        <v>6</v>
      </c>
      <c r="D691" s="12"/>
      <c r="E691" s="12" t="s">
        <v>6</v>
      </c>
    </row>
    <row r="692" ht="15.75" customHeight="1">
      <c r="A692" s="12"/>
      <c r="B692" s="12"/>
      <c r="C692" s="12" t="s">
        <v>6</v>
      </c>
      <c r="D692" s="12"/>
      <c r="E692" s="12" t="s">
        <v>6</v>
      </c>
    </row>
    <row r="693" ht="15.75" customHeight="1">
      <c r="A693" s="12"/>
      <c r="B693" s="12"/>
      <c r="C693" s="12" t="s">
        <v>6</v>
      </c>
      <c r="D693" s="12"/>
      <c r="E693" s="12" t="s">
        <v>6</v>
      </c>
    </row>
    <row r="694" ht="15.75" customHeight="1">
      <c r="A694" s="12"/>
      <c r="B694" s="12"/>
      <c r="C694" s="12" t="s">
        <v>6</v>
      </c>
      <c r="D694" s="12"/>
      <c r="E694" s="12" t="s">
        <v>6</v>
      </c>
    </row>
    <row r="695" ht="15.75" customHeight="1">
      <c r="A695" s="12"/>
      <c r="B695" s="12"/>
      <c r="C695" s="12" t="s">
        <v>6</v>
      </c>
      <c r="D695" s="12"/>
      <c r="E695" s="12" t="s">
        <v>6</v>
      </c>
    </row>
    <row r="696" ht="15.75" customHeight="1">
      <c r="A696" s="12"/>
      <c r="B696" s="12"/>
      <c r="C696" s="12" t="s">
        <v>6</v>
      </c>
      <c r="D696" s="12"/>
      <c r="E696" s="12" t="s">
        <v>6</v>
      </c>
    </row>
    <row r="697" ht="15.75" customHeight="1">
      <c r="A697" s="12"/>
      <c r="B697" s="12"/>
      <c r="C697" s="12" t="s">
        <v>6</v>
      </c>
      <c r="D697" s="12"/>
      <c r="E697" s="12" t="s">
        <v>6</v>
      </c>
    </row>
    <row r="698" ht="15.75" customHeight="1">
      <c r="A698" s="12"/>
      <c r="B698" s="12"/>
      <c r="C698" s="12" t="s">
        <v>6</v>
      </c>
      <c r="D698" s="12"/>
      <c r="E698" s="12" t="s">
        <v>6</v>
      </c>
    </row>
    <row r="699" ht="15.75" customHeight="1">
      <c r="A699" s="12"/>
      <c r="B699" s="12"/>
      <c r="C699" s="12" t="s">
        <v>6</v>
      </c>
      <c r="D699" s="12"/>
      <c r="E699" s="12" t="s">
        <v>6</v>
      </c>
    </row>
    <row r="700" ht="15.75" customHeight="1">
      <c r="A700" s="12"/>
      <c r="B700" s="12"/>
      <c r="C700" s="12" t="s">
        <v>6</v>
      </c>
      <c r="D700" s="12"/>
      <c r="E700" s="12" t="s">
        <v>6</v>
      </c>
    </row>
    <row r="701" ht="15.75" customHeight="1">
      <c r="A701" s="12"/>
      <c r="B701" s="12"/>
      <c r="C701" s="12" t="s">
        <v>6</v>
      </c>
      <c r="D701" s="12"/>
      <c r="E701" s="12" t="s">
        <v>6</v>
      </c>
    </row>
    <row r="702" ht="15.75" customHeight="1">
      <c r="A702" s="12"/>
      <c r="B702" s="12"/>
      <c r="C702" s="12" t="s">
        <v>6</v>
      </c>
      <c r="D702" s="12"/>
      <c r="E702" s="12" t="s">
        <v>6</v>
      </c>
    </row>
    <row r="703" ht="15.75" customHeight="1">
      <c r="A703" s="12"/>
      <c r="B703" s="12"/>
      <c r="C703" s="12" t="s">
        <v>6</v>
      </c>
      <c r="D703" s="12"/>
      <c r="E703" s="12" t="s">
        <v>6</v>
      </c>
    </row>
    <row r="704" ht="15.75" customHeight="1">
      <c r="A704" s="12"/>
      <c r="B704" s="12"/>
      <c r="C704" s="12" t="s">
        <v>6</v>
      </c>
      <c r="D704" s="12"/>
      <c r="E704" s="12" t="s">
        <v>6</v>
      </c>
    </row>
    <row r="705" ht="15.75" customHeight="1">
      <c r="A705" s="12"/>
      <c r="B705" s="12"/>
      <c r="C705" s="12" t="s">
        <v>6</v>
      </c>
      <c r="D705" s="12"/>
      <c r="E705" s="12" t="s">
        <v>6</v>
      </c>
    </row>
    <row r="706" ht="15.75" customHeight="1">
      <c r="A706" s="12"/>
      <c r="B706" s="12"/>
      <c r="C706" s="12" t="s">
        <v>6</v>
      </c>
      <c r="D706" s="12"/>
      <c r="E706" s="12" t="s">
        <v>6</v>
      </c>
    </row>
    <row r="707" ht="15.75" customHeight="1">
      <c r="A707" s="12"/>
      <c r="B707" s="12"/>
      <c r="C707" s="12" t="s">
        <v>6</v>
      </c>
      <c r="D707" s="12"/>
      <c r="E707" s="12" t="s">
        <v>6</v>
      </c>
    </row>
    <row r="708" ht="15.75" customHeight="1">
      <c r="A708" s="12"/>
      <c r="B708" s="12"/>
      <c r="C708" s="12" t="s">
        <v>6</v>
      </c>
      <c r="D708" s="12"/>
      <c r="E708" s="12" t="s">
        <v>6</v>
      </c>
    </row>
    <row r="709" ht="15.75" customHeight="1">
      <c r="A709" s="12"/>
      <c r="B709" s="12"/>
      <c r="C709" s="12" t="s">
        <v>6</v>
      </c>
      <c r="D709" s="12"/>
      <c r="E709" s="12" t="s">
        <v>6</v>
      </c>
    </row>
    <row r="710" ht="15.75" customHeight="1">
      <c r="A710" s="12"/>
      <c r="B710" s="12"/>
      <c r="C710" s="12" t="s">
        <v>6</v>
      </c>
      <c r="D710" s="12"/>
      <c r="E710" s="12" t="s">
        <v>6</v>
      </c>
    </row>
    <row r="711" ht="15.75" customHeight="1">
      <c r="A711" s="12"/>
      <c r="B711" s="12"/>
      <c r="C711" s="12" t="s">
        <v>6</v>
      </c>
      <c r="D711" s="12"/>
      <c r="E711" s="12" t="s">
        <v>6</v>
      </c>
    </row>
    <row r="712" ht="15.75" customHeight="1">
      <c r="A712" s="12"/>
      <c r="B712" s="12"/>
      <c r="C712" s="12" t="s">
        <v>6</v>
      </c>
      <c r="D712" s="12"/>
      <c r="E712" s="12" t="s">
        <v>6</v>
      </c>
    </row>
    <row r="713" ht="15.75" customHeight="1">
      <c r="A713" s="12"/>
      <c r="B713" s="12"/>
      <c r="C713" s="12" t="s">
        <v>6</v>
      </c>
      <c r="D713" s="12"/>
      <c r="E713" s="12" t="s">
        <v>6</v>
      </c>
    </row>
    <row r="714" ht="15.75" customHeight="1">
      <c r="A714" s="12"/>
      <c r="B714" s="12"/>
      <c r="C714" s="12" t="s">
        <v>6</v>
      </c>
      <c r="D714" s="12"/>
      <c r="E714" s="12" t="s">
        <v>6</v>
      </c>
    </row>
    <row r="715" ht="15.75" customHeight="1">
      <c r="A715" s="12"/>
      <c r="B715" s="12"/>
      <c r="C715" s="12" t="s">
        <v>6</v>
      </c>
      <c r="D715" s="12"/>
      <c r="E715" s="12" t="s">
        <v>6</v>
      </c>
    </row>
    <row r="716" ht="15.75" customHeight="1">
      <c r="A716" s="12"/>
      <c r="B716" s="12"/>
      <c r="C716" s="12" t="s">
        <v>6</v>
      </c>
      <c r="D716" s="12"/>
      <c r="E716" s="12" t="s">
        <v>6</v>
      </c>
    </row>
    <row r="717" ht="15.75" customHeight="1">
      <c r="A717" s="12"/>
      <c r="B717" s="12"/>
      <c r="C717" s="12" t="s">
        <v>6</v>
      </c>
      <c r="D717" s="12"/>
      <c r="E717" s="12" t="s">
        <v>6</v>
      </c>
    </row>
    <row r="718" ht="15.75" customHeight="1">
      <c r="A718" s="12"/>
      <c r="B718" s="12"/>
      <c r="C718" s="12" t="s">
        <v>6</v>
      </c>
      <c r="D718" s="12"/>
      <c r="E718" s="12" t="s">
        <v>6</v>
      </c>
    </row>
    <row r="719" ht="15.75" customHeight="1">
      <c r="A719" s="12"/>
      <c r="B719" s="12"/>
      <c r="C719" s="12" t="s">
        <v>6</v>
      </c>
      <c r="D719" s="12"/>
      <c r="E719" s="12" t="s">
        <v>6</v>
      </c>
    </row>
    <row r="720" ht="15.75" customHeight="1">
      <c r="A720" s="12"/>
      <c r="B720" s="12"/>
      <c r="C720" s="12" t="s">
        <v>6</v>
      </c>
      <c r="D720" s="12"/>
      <c r="E720" s="12" t="s">
        <v>6</v>
      </c>
    </row>
    <row r="721" ht="15.75" customHeight="1">
      <c r="A721" s="12"/>
      <c r="B721" s="12"/>
      <c r="C721" s="12" t="s">
        <v>6</v>
      </c>
      <c r="D721" s="12"/>
      <c r="E721" s="12" t="s">
        <v>6</v>
      </c>
    </row>
    <row r="722" ht="15.75" customHeight="1">
      <c r="A722" s="12"/>
      <c r="B722" s="12"/>
      <c r="C722" s="12" t="s">
        <v>6</v>
      </c>
      <c r="D722" s="12"/>
      <c r="E722" s="12" t="s">
        <v>6</v>
      </c>
    </row>
    <row r="723" ht="15.75" customHeight="1">
      <c r="A723" s="12"/>
      <c r="B723" s="12"/>
      <c r="C723" s="12" t="s">
        <v>6</v>
      </c>
      <c r="D723" s="12"/>
      <c r="E723" s="12" t="s">
        <v>6</v>
      </c>
    </row>
    <row r="724" ht="15.75" customHeight="1">
      <c r="A724" s="12"/>
      <c r="B724" s="12"/>
      <c r="C724" s="12" t="s">
        <v>6</v>
      </c>
      <c r="D724" s="12"/>
      <c r="E724" s="12" t="s">
        <v>6</v>
      </c>
    </row>
    <row r="725" ht="15.75" customHeight="1">
      <c r="A725" s="12"/>
      <c r="B725" s="12"/>
      <c r="C725" s="12" t="s">
        <v>6</v>
      </c>
      <c r="D725" s="12"/>
      <c r="E725" s="12" t="s">
        <v>6</v>
      </c>
    </row>
    <row r="726" ht="15.75" customHeight="1">
      <c r="A726" s="12"/>
      <c r="B726" s="12"/>
      <c r="C726" s="12" t="s">
        <v>6</v>
      </c>
      <c r="D726" s="12"/>
      <c r="E726" s="12" t="s">
        <v>6</v>
      </c>
    </row>
    <row r="727" ht="15.75" customHeight="1">
      <c r="A727" s="12"/>
      <c r="B727" s="12"/>
      <c r="C727" s="12" t="s">
        <v>6</v>
      </c>
      <c r="D727" s="12"/>
      <c r="E727" s="12" t="s">
        <v>6</v>
      </c>
    </row>
    <row r="728" ht="15.75" customHeight="1">
      <c r="A728" s="12"/>
      <c r="B728" s="12"/>
      <c r="C728" s="12" t="s">
        <v>6</v>
      </c>
      <c r="D728" s="12"/>
      <c r="E728" s="12" t="s">
        <v>6</v>
      </c>
    </row>
    <row r="729" ht="15.75" customHeight="1">
      <c r="A729" s="12"/>
      <c r="B729" s="12"/>
      <c r="C729" s="12" t="s">
        <v>6</v>
      </c>
      <c r="D729" s="12"/>
      <c r="E729" s="12" t="s">
        <v>6</v>
      </c>
    </row>
    <row r="730" ht="15.75" customHeight="1">
      <c r="A730" s="12"/>
      <c r="B730" s="12"/>
      <c r="C730" s="12" t="s">
        <v>6</v>
      </c>
      <c r="D730" s="12"/>
      <c r="E730" s="12" t="s">
        <v>6</v>
      </c>
    </row>
    <row r="731" ht="15.75" customHeight="1">
      <c r="A731" s="12"/>
      <c r="B731" s="12"/>
      <c r="C731" s="12" t="s">
        <v>6</v>
      </c>
      <c r="D731" s="12"/>
      <c r="E731" s="12" t="s">
        <v>6</v>
      </c>
    </row>
    <row r="732" ht="15.75" customHeight="1">
      <c r="A732" s="12"/>
      <c r="B732" s="12"/>
      <c r="C732" s="12" t="s">
        <v>6</v>
      </c>
      <c r="D732" s="12"/>
      <c r="E732" s="12" t="s">
        <v>6</v>
      </c>
    </row>
    <row r="733" ht="15.75" customHeight="1">
      <c r="A733" s="12"/>
      <c r="B733" s="12"/>
      <c r="C733" s="12" t="s">
        <v>6</v>
      </c>
      <c r="D733" s="12"/>
      <c r="E733" s="12" t="s">
        <v>6</v>
      </c>
    </row>
    <row r="734" ht="15.75" customHeight="1">
      <c r="A734" s="12"/>
      <c r="B734" s="12"/>
      <c r="C734" s="12" t="s">
        <v>6</v>
      </c>
      <c r="D734" s="12"/>
      <c r="E734" s="12" t="s">
        <v>6</v>
      </c>
    </row>
    <row r="735" ht="15.75" customHeight="1">
      <c r="A735" s="12"/>
      <c r="B735" s="12"/>
      <c r="C735" s="12" t="s">
        <v>6</v>
      </c>
      <c r="D735" s="12"/>
      <c r="E735" s="12" t="s">
        <v>6</v>
      </c>
    </row>
    <row r="736" ht="15.75" customHeight="1">
      <c r="A736" s="12"/>
      <c r="B736" s="12"/>
      <c r="C736" s="12" t="s">
        <v>6</v>
      </c>
      <c r="D736" s="12"/>
      <c r="E736" s="12" t="s">
        <v>6</v>
      </c>
    </row>
    <row r="737" ht="15.75" customHeight="1">
      <c r="A737" s="12"/>
      <c r="B737" s="12"/>
      <c r="C737" s="12" t="s">
        <v>6</v>
      </c>
      <c r="D737" s="12"/>
      <c r="E737" s="12" t="s">
        <v>6</v>
      </c>
    </row>
    <row r="738" ht="15.75" customHeight="1">
      <c r="A738" s="12"/>
      <c r="B738" s="12"/>
      <c r="C738" s="12" t="s">
        <v>6</v>
      </c>
      <c r="D738" s="12"/>
      <c r="E738" s="12" t="s">
        <v>6</v>
      </c>
    </row>
    <row r="739" ht="15.75" customHeight="1">
      <c r="A739" s="12"/>
      <c r="B739" s="12"/>
      <c r="C739" s="12" t="s">
        <v>6</v>
      </c>
      <c r="D739" s="12"/>
      <c r="E739" s="12" t="s">
        <v>6</v>
      </c>
    </row>
    <row r="740" ht="15.75" customHeight="1">
      <c r="A740" s="12"/>
      <c r="B740" s="12"/>
      <c r="C740" s="12" t="s">
        <v>6</v>
      </c>
      <c r="D740" s="12"/>
      <c r="E740" s="12" t="s">
        <v>6</v>
      </c>
    </row>
    <row r="741" ht="15.75" customHeight="1">
      <c r="A741" s="12"/>
      <c r="B741" s="12"/>
      <c r="C741" s="12" t="s">
        <v>6</v>
      </c>
      <c r="D741" s="12"/>
      <c r="E741" s="12" t="s">
        <v>6</v>
      </c>
    </row>
    <row r="742" ht="15.75" customHeight="1">
      <c r="A742" s="12"/>
      <c r="B742" s="12"/>
      <c r="C742" s="12" t="s">
        <v>6</v>
      </c>
      <c r="D742" s="12"/>
      <c r="E742" s="12" t="s">
        <v>6</v>
      </c>
    </row>
    <row r="743" ht="15.75" customHeight="1">
      <c r="A743" s="12"/>
      <c r="B743" s="12"/>
      <c r="C743" s="12" t="s">
        <v>6</v>
      </c>
      <c r="D743" s="12"/>
      <c r="E743" s="12" t="s">
        <v>6</v>
      </c>
    </row>
    <row r="744" ht="15.75" customHeight="1">
      <c r="A744" s="12"/>
      <c r="B744" s="12"/>
      <c r="C744" s="12" t="s">
        <v>6</v>
      </c>
      <c r="D744" s="12"/>
      <c r="E744" s="12" t="s">
        <v>6</v>
      </c>
    </row>
    <row r="745" ht="15.75" customHeight="1">
      <c r="A745" s="12"/>
      <c r="B745" s="12"/>
      <c r="C745" s="12" t="s">
        <v>6</v>
      </c>
      <c r="D745" s="12"/>
      <c r="E745" s="12" t="s">
        <v>6</v>
      </c>
    </row>
    <row r="746" ht="15.75" customHeight="1">
      <c r="A746" s="12"/>
      <c r="B746" s="12"/>
      <c r="C746" s="12" t="s">
        <v>6</v>
      </c>
      <c r="D746" s="12"/>
      <c r="E746" s="12" t="s">
        <v>6</v>
      </c>
    </row>
    <row r="747" ht="15.75" customHeight="1">
      <c r="A747" s="12"/>
      <c r="B747" s="12"/>
      <c r="C747" s="12" t="s">
        <v>6</v>
      </c>
      <c r="D747" s="12"/>
      <c r="E747" s="12" t="s">
        <v>6</v>
      </c>
    </row>
    <row r="748" ht="15.75" customHeight="1">
      <c r="A748" s="12"/>
      <c r="B748" s="12"/>
      <c r="C748" s="12" t="s">
        <v>6</v>
      </c>
      <c r="D748" s="12"/>
      <c r="E748" s="12" t="s">
        <v>6</v>
      </c>
    </row>
    <row r="749" ht="15.75" customHeight="1">
      <c r="A749" s="12"/>
      <c r="B749" s="12"/>
      <c r="C749" s="12" t="s">
        <v>6</v>
      </c>
      <c r="D749" s="12"/>
      <c r="E749" s="12" t="s">
        <v>6</v>
      </c>
    </row>
    <row r="750" ht="15.75" customHeight="1">
      <c r="A750" s="12"/>
      <c r="B750" s="12"/>
      <c r="C750" s="12" t="s">
        <v>6</v>
      </c>
      <c r="D750" s="12"/>
      <c r="E750" s="12" t="s">
        <v>6</v>
      </c>
    </row>
    <row r="751" ht="15.75" customHeight="1">
      <c r="A751" s="12"/>
      <c r="B751" s="12"/>
      <c r="C751" s="12" t="s">
        <v>6</v>
      </c>
      <c r="D751" s="12"/>
      <c r="E751" s="12" t="s">
        <v>6</v>
      </c>
    </row>
    <row r="752" ht="15.75" customHeight="1">
      <c r="A752" s="12"/>
      <c r="B752" s="12"/>
      <c r="C752" s="12" t="s">
        <v>6</v>
      </c>
      <c r="D752" s="12"/>
      <c r="E752" s="12" t="s">
        <v>6</v>
      </c>
    </row>
    <row r="753" ht="15.75" customHeight="1">
      <c r="A753" s="12"/>
      <c r="B753" s="12"/>
      <c r="C753" s="12" t="s">
        <v>6</v>
      </c>
      <c r="D753" s="12"/>
      <c r="E753" s="12" t="s">
        <v>6</v>
      </c>
    </row>
    <row r="754" ht="15.75" customHeight="1">
      <c r="A754" s="12"/>
      <c r="B754" s="12"/>
      <c r="C754" s="12" t="s">
        <v>6</v>
      </c>
      <c r="D754" s="12"/>
      <c r="E754" s="12" t="s">
        <v>6</v>
      </c>
    </row>
    <row r="755" ht="15.75" customHeight="1">
      <c r="A755" s="12"/>
      <c r="B755" s="12"/>
      <c r="C755" s="12" t="s">
        <v>6</v>
      </c>
      <c r="D755" s="12"/>
      <c r="E755" s="12" t="s">
        <v>6</v>
      </c>
    </row>
    <row r="756" ht="15.75" customHeight="1">
      <c r="A756" s="12"/>
      <c r="B756" s="12"/>
      <c r="C756" s="12" t="s">
        <v>6</v>
      </c>
      <c r="D756" s="12"/>
      <c r="E756" s="12" t="s">
        <v>6</v>
      </c>
    </row>
    <row r="757" ht="15.75" customHeight="1">
      <c r="A757" s="12"/>
      <c r="B757" s="12"/>
      <c r="C757" s="12" t="s">
        <v>6</v>
      </c>
      <c r="D757" s="12"/>
      <c r="E757" s="12" t="s">
        <v>6</v>
      </c>
    </row>
    <row r="758" ht="15.75" customHeight="1">
      <c r="A758" s="12"/>
      <c r="B758" s="12"/>
      <c r="C758" s="12" t="s">
        <v>6</v>
      </c>
      <c r="D758" s="12"/>
      <c r="E758" s="12" t="s">
        <v>6</v>
      </c>
    </row>
    <row r="759" ht="15.75" customHeight="1">
      <c r="A759" s="12"/>
      <c r="B759" s="12"/>
      <c r="C759" s="12" t="s">
        <v>6</v>
      </c>
      <c r="D759" s="12"/>
      <c r="E759" s="12" t="s">
        <v>6</v>
      </c>
    </row>
    <row r="760" ht="15.75" customHeight="1">
      <c r="A760" s="12"/>
      <c r="B760" s="12"/>
      <c r="C760" s="12" t="s">
        <v>6</v>
      </c>
      <c r="D760" s="12"/>
      <c r="E760" s="12" t="s">
        <v>6</v>
      </c>
    </row>
    <row r="761" ht="15.75" customHeight="1">
      <c r="A761" s="12"/>
      <c r="B761" s="12"/>
      <c r="C761" s="12" t="s">
        <v>6</v>
      </c>
      <c r="D761" s="12"/>
      <c r="E761" s="12" t="s">
        <v>6</v>
      </c>
    </row>
    <row r="762" ht="15.75" customHeight="1">
      <c r="A762" s="12"/>
      <c r="B762" s="12"/>
      <c r="C762" s="12" t="s">
        <v>6</v>
      </c>
      <c r="D762" s="12"/>
      <c r="E762" s="12" t="s">
        <v>6</v>
      </c>
    </row>
    <row r="763" ht="15.75" customHeight="1">
      <c r="A763" s="12"/>
      <c r="B763" s="12"/>
      <c r="C763" s="12" t="s">
        <v>6</v>
      </c>
      <c r="D763" s="12"/>
      <c r="E763" s="12" t="s">
        <v>6</v>
      </c>
    </row>
    <row r="764" ht="15.75" customHeight="1">
      <c r="A764" s="12"/>
      <c r="B764" s="12"/>
      <c r="C764" s="12" t="s">
        <v>6</v>
      </c>
      <c r="D764" s="12"/>
      <c r="E764" s="12" t="s">
        <v>6</v>
      </c>
    </row>
    <row r="765" ht="15.75" customHeight="1">
      <c r="A765" s="12"/>
      <c r="B765" s="12"/>
      <c r="C765" s="12" t="s">
        <v>6</v>
      </c>
      <c r="D765" s="12"/>
      <c r="E765" s="12" t="s">
        <v>6</v>
      </c>
    </row>
    <row r="766" ht="15.75" customHeight="1">
      <c r="A766" s="12"/>
      <c r="B766" s="12"/>
      <c r="C766" s="12" t="s">
        <v>6</v>
      </c>
      <c r="D766" s="12"/>
      <c r="E766" s="12" t="s">
        <v>6</v>
      </c>
    </row>
    <row r="767" ht="15.75" customHeight="1">
      <c r="A767" s="12"/>
      <c r="B767" s="12"/>
      <c r="C767" s="12" t="s">
        <v>6</v>
      </c>
      <c r="D767" s="12"/>
      <c r="E767" s="12" t="s">
        <v>6</v>
      </c>
    </row>
    <row r="768" ht="15.75" customHeight="1">
      <c r="A768" s="12"/>
      <c r="B768" s="12"/>
      <c r="C768" s="12" t="s">
        <v>6</v>
      </c>
      <c r="D768" s="12"/>
      <c r="E768" s="12" t="s">
        <v>6</v>
      </c>
    </row>
    <row r="769" ht="15.75" customHeight="1">
      <c r="A769" s="12"/>
      <c r="B769" s="12"/>
      <c r="C769" s="12" t="s">
        <v>6</v>
      </c>
      <c r="D769" s="12"/>
      <c r="E769" s="12" t="s">
        <v>6</v>
      </c>
    </row>
    <row r="770" ht="15.75" customHeight="1">
      <c r="A770" s="12"/>
      <c r="B770" s="12"/>
      <c r="C770" s="12" t="s">
        <v>6</v>
      </c>
      <c r="D770" s="12"/>
      <c r="E770" s="12" t="s">
        <v>6</v>
      </c>
    </row>
    <row r="771" ht="15.75" customHeight="1">
      <c r="A771" s="12"/>
      <c r="B771" s="12"/>
      <c r="C771" s="12" t="s">
        <v>6</v>
      </c>
      <c r="D771" s="12"/>
      <c r="E771" s="12" t="s">
        <v>6</v>
      </c>
    </row>
    <row r="772" ht="15.75" customHeight="1">
      <c r="A772" s="12"/>
      <c r="B772" s="12"/>
      <c r="C772" s="12" t="s">
        <v>6</v>
      </c>
      <c r="D772" s="12"/>
      <c r="E772" s="12" t="s">
        <v>6</v>
      </c>
    </row>
    <row r="773" ht="15.75" customHeight="1">
      <c r="A773" s="12"/>
      <c r="B773" s="12"/>
      <c r="C773" s="12" t="s">
        <v>6</v>
      </c>
      <c r="D773" s="12"/>
      <c r="E773" s="12" t="s">
        <v>6</v>
      </c>
    </row>
    <row r="774" ht="15.75" customHeight="1">
      <c r="A774" s="12"/>
      <c r="B774" s="12"/>
      <c r="C774" s="12" t="s">
        <v>6</v>
      </c>
      <c r="D774" s="12"/>
      <c r="E774" s="12" t="s">
        <v>6</v>
      </c>
    </row>
    <row r="775" ht="15.75" customHeight="1">
      <c r="A775" s="12"/>
      <c r="B775" s="12"/>
      <c r="C775" s="12" t="s">
        <v>6</v>
      </c>
      <c r="D775" s="12"/>
      <c r="E775" s="12" t="s">
        <v>6</v>
      </c>
    </row>
    <row r="776" ht="15.75" customHeight="1">
      <c r="A776" s="12"/>
      <c r="B776" s="12"/>
      <c r="C776" s="12" t="s">
        <v>6</v>
      </c>
      <c r="D776" s="12"/>
      <c r="E776" s="12" t="s">
        <v>6</v>
      </c>
    </row>
    <row r="777" ht="15.75" customHeight="1">
      <c r="A777" s="12"/>
      <c r="B777" s="12"/>
      <c r="C777" s="12" t="s">
        <v>6</v>
      </c>
      <c r="D777" s="12"/>
      <c r="E777" s="12" t="s">
        <v>6</v>
      </c>
    </row>
    <row r="778" ht="15.75" customHeight="1">
      <c r="A778" s="12"/>
      <c r="B778" s="12"/>
      <c r="C778" s="12" t="s">
        <v>6</v>
      </c>
      <c r="D778" s="12"/>
      <c r="E778" s="12" t="s">
        <v>6</v>
      </c>
    </row>
    <row r="779" ht="15.75" customHeight="1">
      <c r="A779" s="12"/>
      <c r="B779" s="12"/>
      <c r="C779" s="12" t="s">
        <v>6</v>
      </c>
      <c r="D779" s="12"/>
      <c r="E779" s="12" t="s">
        <v>6</v>
      </c>
    </row>
    <row r="780" ht="15.75" customHeight="1">
      <c r="A780" s="12"/>
      <c r="B780" s="12"/>
      <c r="C780" s="12" t="s">
        <v>6</v>
      </c>
      <c r="D780" s="12"/>
      <c r="E780" s="12" t="s">
        <v>6</v>
      </c>
    </row>
    <row r="781" ht="15.75" customHeight="1">
      <c r="A781" s="12"/>
      <c r="B781" s="12"/>
      <c r="C781" s="12" t="s">
        <v>6</v>
      </c>
      <c r="D781" s="12"/>
      <c r="E781" s="12" t="s">
        <v>6</v>
      </c>
    </row>
    <row r="782" ht="15.75" customHeight="1">
      <c r="A782" s="12"/>
      <c r="B782" s="12"/>
      <c r="C782" s="12" t="s">
        <v>6</v>
      </c>
      <c r="D782" s="12"/>
      <c r="E782" s="12" t="s">
        <v>6</v>
      </c>
    </row>
    <row r="783" ht="15.75" customHeight="1">
      <c r="A783" s="12"/>
      <c r="B783" s="12"/>
      <c r="C783" s="12" t="s">
        <v>6</v>
      </c>
      <c r="D783" s="12"/>
      <c r="E783" s="12" t="s">
        <v>6</v>
      </c>
    </row>
    <row r="784" ht="15.75" customHeight="1">
      <c r="A784" s="12"/>
      <c r="B784" s="12"/>
      <c r="C784" s="12" t="s">
        <v>6</v>
      </c>
      <c r="D784" s="12"/>
      <c r="E784" s="12" t="s">
        <v>6</v>
      </c>
    </row>
    <row r="785" ht="15.75" customHeight="1">
      <c r="A785" s="12"/>
      <c r="B785" s="12"/>
      <c r="C785" s="12" t="s">
        <v>6</v>
      </c>
      <c r="D785" s="12"/>
      <c r="E785" s="12" t="s">
        <v>6</v>
      </c>
    </row>
    <row r="786" ht="15.75" customHeight="1">
      <c r="A786" s="12"/>
      <c r="B786" s="12"/>
      <c r="C786" s="12" t="s">
        <v>6</v>
      </c>
      <c r="D786" s="12"/>
      <c r="E786" s="12" t="s">
        <v>6</v>
      </c>
    </row>
    <row r="787" ht="15.75" customHeight="1">
      <c r="A787" s="12"/>
      <c r="B787" s="12"/>
      <c r="C787" s="12" t="s">
        <v>6</v>
      </c>
      <c r="D787" s="12"/>
      <c r="E787" s="12" t="s">
        <v>6</v>
      </c>
    </row>
    <row r="788" ht="15.75" customHeight="1">
      <c r="A788" s="12"/>
      <c r="B788" s="12"/>
      <c r="C788" s="12" t="s">
        <v>6</v>
      </c>
      <c r="D788" s="12"/>
      <c r="E788" s="12" t="s">
        <v>6</v>
      </c>
    </row>
    <row r="789" ht="15.75" customHeight="1">
      <c r="A789" s="12"/>
      <c r="B789" s="12"/>
      <c r="C789" s="12" t="s">
        <v>6</v>
      </c>
      <c r="D789" s="12"/>
      <c r="E789" s="12" t="s">
        <v>6</v>
      </c>
    </row>
    <row r="790" ht="15.75" customHeight="1">
      <c r="A790" s="12"/>
      <c r="B790" s="12"/>
      <c r="C790" s="12" t="s">
        <v>6</v>
      </c>
      <c r="D790" s="12"/>
      <c r="E790" s="12" t="s">
        <v>6</v>
      </c>
    </row>
    <row r="791" ht="15.75" customHeight="1">
      <c r="A791" s="12"/>
      <c r="B791" s="12"/>
      <c r="C791" s="12" t="s">
        <v>6</v>
      </c>
      <c r="D791" s="12"/>
      <c r="E791" s="12" t="s">
        <v>6</v>
      </c>
    </row>
    <row r="792" ht="15.75" customHeight="1">
      <c r="A792" s="12"/>
      <c r="B792" s="12"/>
      <c r="C792" s="12" t="s">
        <v>6</v>
      </c>
      <c r="D792" s="12"/>
      <c r="E792" s="12" t="s">
        <v>6</v>
      </c>
    </row>
    <row r="793" ht="15.75" customHeight="1">
      <c r="A793" s="12"/>
      <c r="B793" s="12"/>
      <c r="C793" s="12" t="s">
        <v>6</v>
      </c>
      <c r="D793" s="12"/>
      <c r="E793" s="12" t="s">
        <v>6</v>
      </c>
    </row>
    <row r="794" ht="15.75" customHeight="1">
      <c r="A794" s="12"/>
      <c r="B794" s="12"/>
      <c r="C794" s="12" t="s">
        <v>6</v>
      </c>
      <c r="D794" s="12"/>
      <c r="E794" s="12" t="s">
        <v>6</v>
      </c>
    </row>
    <row r="795" ht="15.75" customHeight="1">
      <c r="A795" s="12"/>
      <c r="B795" s="12"/>
      <c r="C795" s="12" t="s">
        <v>6</v>
      </c>
      <c r="D795" s="12"/>
      <c r="E795" s="12" t="s">
        <v>6</v>
      </c>
    </row>
    <row r="796" ht="15.75" customHeight="1">
      <c r="A796" s="12"/>
      <c r="B796" s="12"/>
      <c r="C796" s="12" t="s">
        <v>6</v>
      </c>
      <c r="D796" s="12"/>
      <c r="E796" s="12" t="s">
        <v>6</v>
      </c>
    </row>
    <row r="797" ht="15.75" customHeight="1">
      <c r="A797" s="12"/>
      <c r="B797" s="12"/>
      <c r="C797" s="12" t="s">
        <v>6</v>
      </c>
      <c r="D797" s="12"/>
      <c r="E797" s="12" t="s">
        <v>6</v>
      </c>
    </row>
    <row r="798" ht="15.75" customHeight="1">
      <c r="A798" s="12"/>
      <c r="B798" s="12"/>
      <c r="C798" s="12" t="s">
        <v>6</v>
      </c>
      <c r="D798" s="12"/>
      <c r="E798" s="12" t="s">
        <v>6</v>
      </c>
    </row>
    <row r="799" ht="15.75" customHeight="1">
      <c r="A799" s="12"/>
      <c r="B799" s="12"/>
      <c r="C799" s="12" t="s">
        <v>6</v>
      </c>
      <c r="D799" s="12"/>
      <c r="E799" s="12" t="s">
        <v>6</v>
      </c>
    </row>
    <row r="800" ht="15.75" customHeight="1">
      <c r="A800" s="12"/>
      <c r="B800" s="12"/>
      <c r="C800" s="12" t="s">
        <v>6</v>
      </c>
      <c r="D800" s="12"/>
      <c r="E800" s="12" t="s">
        <v>6</v>
      </c>
    </row>
    <row r="801" ht="15.75" customHeight="1">
      <c r="A801" s="12"/>
      <c r="B801" s="12"/>
      <c r="C801" s="12" t="s">
        <v>6</v>
      </c>
      <c r="D801" s="12"/>
      <c r="E801" s="12" t="s">
        <v>6</v>
      </c>
    </row>
    <row r="802" ht="15.75" customHeight="1">
      <c r="A802" s="12"/>
      <c r="B802" s="12"/>
      <c r="C802" s="12" t="s">
        <v>6</v>
      </c>
      <c r="D802" s="12"/>
      <c r="E802" s="12" t="s">
        <v>6</v>
      </c>
    </row>
    <row r="803" ht="15.75" customHeight="1">
      <c r="A803" s="12"/>
      <c r="B803" s="12"/>
      <c r="C803" s="12" t="s">
        <v>6</v>
      </c>
      <c r="D803" s="12"/>
      <c r="E803" s="12" t="s">
        <v>6</v>
      </c>
    </row>
    <row r="804" ht="15.75" customHeight="1">
      <c r="A804" s="12"/>
      <c r="B804" s="12"/>
      <c r="C804" s="12" t="s">
        <v>6</v>
      </c>
      <c r="D804" s="12"/>
      <c r="E804" s="12" t="s">
        <v>6</v>
      </c>
    </row>
    <row r="805" ht="15.75" customHeight="1">
      <c r="A805" s="12"/>
      <c r="B805" s="12"/>
      <c r="C805" s="12" t="s">
        <v>6</v>
      </c>
      <c r="D805" s="12"/>
      <c r="E805" s="12" t="s">
        <v>6</v>
      </c>
    </row>
    <row r="806" ht="15.75" customHeight="1">
      <c r="A806" s="12"/>
      <c r="B806" s="12"/>
      <c r="C806" s="12" t="s">
        <v>6</v>
      </c>
      <c r="D806" s="12"/>
      <c r="E806" s="12" t="s">
        <v>6</v>
      </c>
    </row>
    <row r="807" ht="15.75" customHeight="1">
      <c r="A807" s="12"/>
      <c r="B807" s="12"/>
      <c r="C807" s="12" t="s">
        <v>6</v>
      </c>
      <c r="D807" s="12"/>
      <c r="E807" s="12" t="s">
        <v>6</v>
      </c>
    </row>
    <row r="808" ht="15.75" customHeight="1">
      <c r="A808" s="12"/>
      <c r="B808" s="12"/>
      <c r="C808" s="12" t="s">
        <v>6</v>
      </c>
      <c r="D808" s="12"/>
      <c r="E808" s="12" t="s">
        <v>6</v>
      </c>
    </row>
    <row r="809" ht="15.75" customHeight="1">
      <c r="A809" s="12"/>
      <c r="B809" s="12"/>
      <c r="C809" s="12" t="s">
        <v>6</v>
      </c>
      <c r="D809" s="12"/>
      <c r="E809" s="12" t="s">
        <v>6</v>
      </c>
    </row>
    <row r="810" ht="15.75" customHeight="1">
      <c r="A810" s="12"/>
      <c r="B810" s="12"/>
      <c r="C810" s="12" t="s">
        <v>6</v>
      </c>
      <c r="D810" s="12"/>
      <c r="E810" s="12" t="s">
        <v>6</v>
      </c>
    </row>
    <row r="811" ht="15.75" customHeight="1">
      <c r="A811" s="12"/>
      <c r="B811" s="12"/>
      <c r="C811" s="12" t="s">
        <v>6</v>
      </c>
      <c r="D811" s="12"/>
      <c r="E811" s="12" t="s">
        <v>6</v>
      </c>
    </row>
    <row r="812" ht="15.75" customHeight="1">
      <c r="A812" s="12"/>
      <c r="B812" s="12"/>
      <c r="C812" s="12" t="s">
        <v>6</v>
      </c>
      <c r="D812" s="12"/>
      <c r="E812" s="12" t="s">
        <v>6</v>
      </c>
    </row>
    <row r="813" ht="15.75" customHeight="1">
      <c r="A813" s="12"/>
      <c r="B813" s="12"/>
      <c r="C813" s="12" t="s">
        <v>6</v>
      </c>
      <c r="D813" s="12"/>
      <c r="E813" s="12" t="s">
        <v>6</v>
      </c>
    </row>
    <row r="814" ht="15.75" customHeight="1">
      <c r="A814" s="12"/>
      <c r="B814" s="12"/>
      <c r="C814" s="12" t="s">
        <v>6</v>
      </c>
      <c r="D814" s="12"/>
      <c r="E814" s="12" t="s">
        <v>6</v>
      </c>
    </row>
    <row r="815" ht="15.75" customHeight="1">
      <c r="A815" s="12"/>
      <c r="B815" s="12"/>
      <c r="C815" s="12" t="s">
        <v>6</v>
      </c>
      <c r="D815" s="12"/>
      <c r="E815" s="12" t="s">
        <v>6</v>
      </c>
    </row>
    <row r="816" ht="15.75" customHeight="1">
      <c r="A816" s="12"/>
      <c r="B816" s="12"/>
      <c r="C816" s="12" t="s">
        <v>6</v>
      </c>
      <c r="D816" s="12"/>
      <c r="E816" s="12" t="s">
        <v>6</v>
      </c>
    </row>
    <row r="817" ht="15.75" customHeight="1">
      <c r="A817" s="12"/>
      <c r="B817" s="12"/>
      <c r="C817" s="12" t="s">
        <v>6</v>
      </c>
      <c r="D817" s="12"/>
      <c r="E817" s="12" t="s">
        <v>6</v>
      </c>
    </row>
    <row r="818" ht="15.75" customHeight="1">
      <c r="A818" s="12"/>
      <c r="B818" s="12"/>
      <c r="C818" s="12" t="s">
        <v>6</v>
      </c>
      <c r="D818" s="12"/>
      <c r="E818" s="12" t="s">
        <v>6</v>
      </c>
    </row>
    <row r="819" ht="15.75" customHeight="1">
      <c r="A819" s="12"/>
      <c r="B819" s="12"/>
      <c r="C819" s="12" t="s">
        <v>6</v>
      </c>
      <c r="D819" s="12"/>
      <c r="E819" s="12" t="s">
        <v>6</v>
      </c>
    </row>
    <row r="820" ht="15.75" customHeight="1">
      <c r="A820" s="12"/>
      <c r="B820" s="12"/>
      <c r="C820" s="12" t="s">
        <v>6</v>
      </c>
      <c r="D820" s="12"/>
      <c r="E820" s="12" t="s">
        <v>6</v>
      </c>
    </row>
    <row r="821" ht="15.75" customHeight="1">
      <c r="A821" s="12"/>
      <c r="B821" s="12"/>
      <c r="C821" s="12" t="s">
        <v>6</v>
      </c>
      <c r="D821" s="12"/>
      <c r="E821" s="12" t="s">
        <v>6</v>
      </c>
    </row>
    <row r="822" ht="15.75" customHeight="1">
      <c r="A822" s="12"/>
      <c r="B822" s="12"/>
      <c r="C822" s="12" t="s">
        <v>6</v>
      </c>
      <c r="D822" s="12"/>
      <c r="E822" s="12" t="s">
        <v>6</v>
      </c>
    </row>
    <row r="823" ht="15.75" customHeight="1">
      <c r="A823" s="12"/>
      <c r="B823" s="12"/>
      <c r="C823" s="12" t="s">
        <v>6</v>
      </c>
      <c r="D823" s="12"/>
      <c r="E823" s="12" t="s">
        <v>6</v>
      </c>
    </row>
    <row r="824" ht="15.75" customHeight="1">
      <c r="A824" s="12"/>
      <c r="B824" s="12"/>
      <c r="C824" s="12" t="s">
        <v>6</v>
      </c>
      <c r="D824" s="12"/>
      <c r="E824" s="12" t="s">
        <v>6</v>
      </c>
    </row>
    <row r="825" ht="15.75" customHeight="1">
      <c r="A825" s="12"/>
      <c r="B825" s="12"/>
      <c r="C825" s="12" t="s">
        <v>6</v>
      </c>
      <c r="D825" s="12"/>
      <c r="E825" s="12" t="s">
        <v>6</v>
      </c>
    </row>
    <row r="826" ht="15.75" customHeight="1">
      <c r="A826" s="12"/>
      <c r="B826" s="12"/>
      <c r="C826" s="12" t="s">
        <v>6</v>
      </c>
      <c r="D826" s="12"/>
      <c r="E826" s="12" t="s">
        <v>6</v>
      </c>
    </row>
    <row r="827" ht="15.75" customHeight="1">
      <c r="A827" s="12"/>
      <c r="B827" s="12"/>
      <c r="C827" s="12" t="s">
        <v>6</v>
      </c>
      <c r="D827" s="12"/>
      <c r="E827" s="12" t="s">
        <v>6</v>
      </c>
    </row>
    <row r="828" ht="15.75" customHeight="1">
      <c r="A828" s="12"/>
      <c r="B828" s="12"/>
      <c r="C828" s="12" t="s">
        <v>6</v>
      </c>
      <c r="D828" s="12"/>
      <c r="E828" s="12" t="s">
        <v>6</v>
      </c>
    </row>
    <row r="829" ht="15.75" customHeight="1">
      <c r="A829" s="12"/>
      <c r="B829" s="12"/>
      <c r="C829" s="12" t="s">
        <v>6</v>
      </c>
      <c r="D829" s="12"/>
      <c r="E829" s="12" t="s">
        <v>6</v>
      </c>
    </row>
    <row r="830" ht="15.75" customHeight="1">
      <c r="A830" s="12"/>
      <c r="B830" s="12"/>
      <c r="C830" s="12" t="s">
        <v>6</v>
      </c>
      <c r="D830" s="12"/>
      <c r="E830" s="12" t="s">
        <v>6</v>
      </c>
    </row>
    <row r="831" ht="15.75" customHeight="1">
      <c r="A831" s="12"/>
      <c r="B831" s="12"/>
      <c r="C831" s="12" t="s">
        <v>6</v>
      </c>
      <c r="D831" s="12"/>
      <c r="E831" s="12" t="s">
        <v>6</v>
      </c>
    </row>
    <row r="832" ht="15.75" customHeight="1">
      <c r="A832" s="12"/>
      <c r="B832" s="12"/>
      <c r="C832" s="12" t="s">
        <v>6</v>
      </c>
      <c r="D832" s="12"/>
      <c r="E832" s="12" t="s">
        <v>6</v>
      </c>
    </row>
    <row r="833" ht="15.75" customHeight="1">
      <c r="A833" s="12"/>
      <c r="B833" s="12"/>
      <c r="C833" s="12" t="s">
        <v>6</v>
      </c>
      <c r="D833" s="12"/>
      <c r="E833" s="12" t="s">
        <v>6</v>
      </c>
    </row>
    <row r="834" ht="15.75" customHeight="1">
      <c r="A834" s="12"/>
      <c r="B834" s="12"/>
      <c r="C834" s="12" t="s">
        <v>6</v>
      </c>
      <c r="D834" s="12"/>
      <c r="E834" s="12" t="s">
        <v>6</v>
      </c>
    </row>
    <row r="835" ht="15.75" customHeight="1">
      <c r="A835" s="12"/>
      <c r="B835" s="12"/>
      <c r="C835" s="12" t="s">
        <v>6</v>
      </c>
      <c r="D835" s="12"/>
      <c r="E835" s="12" t="s">
        <v>6</v>
      </c>
    </row>
    <row r="836" ht="15.75" customHeight="1">
      <c r="A836" s="12"/>
      <c r="B836" s="12"/>
      <c r="C836" s="12" t="s">
        <v>6</v>
      </c>
      <c r="D836" s="12"/>
      <c r="E836" s="12" t="s">
        <v>6</v>
      </c>
    </row>
    <row r="837" ht="15.75" customHeight="1">
      <c r="A837" s="12"/>
      <c r="B837" s="12"/>
      <c r="C837" s="12" t="s">
        <v>6</v>
      </c>
      <c r="D837" s="12"/>
      <c r="E837" s="12" t="s">
        <v>6</v>
      </c>
    </row>
    <row r="838" ht="15.75" customHeight="1">
      <c r="A838" s="12"/>
      <c r="B838" s="12"/>
      <c r="C838" s="12" t="s">
        <v>6</v>
      </c>
      <c r="D838" s="12"/>
      <c r="E838" s="12" t="s">
        <v>6</v>
      </c>
    </row>
    <row r="839" ht="15.75" customHeight="1">
      <c r="A839" s="12"/>
      <c r="B839" s="12"/>
      <c r="C839" s="12" t="s">
        <v>6</v>
      </c>
      <c r="D839" s="12"/>
      <c r="E839" s="12" t="s">
        <v>6</v>
      </c>
    </row>
    <row r="840" ht="15.75" customHeight="1">
      <c r="A840" s="12"/>
      <c r="B840" s="12"/>
      <c r="C840" s="12" t="s">
        <v>6</v>
      </c>
      <c r="D840" s="12"/>
      <c r="E840" s="12" t="s">
        <v>6</v>
      </c>
    </row>
    <row r="841" ht="15.75" customHeight="1">
      <c r="A841" s="12"/>
      <c r="B841" s="12"/>
      <c r="C841" s="12" t="s">
        <v>6</v>
      </c>
      <c r="D841" s="12"/>
      <c r="E841" s="12" t="s">
        <v>6</v>
      </c>
    </row>
    <row r="842" ht="15.75" customHeight="1">
      <c r="A842" s="12"/>
      <c r="B842" s="12"/>
      <c r="C842" s="12" t="s">
        <v>6</v>
      </c>
      <c r="D842" s="12"/>
      <c r="E842" s="12" t="s">
        <v>6</v>
      </c>
    </row>
    <row r="843" ht="15.75" customHeight="1">
      <c r="A843" s="12"/>
      <c r="B843" s="12"/>
      <c r="C843" s="12" t="s">
        <v>6</v>
      </c>
      <c r="D843" s="12"/>
      <c r="E843" s="12" t="s">
        <v>6</v>
      </c>
    </row>
    <row r="844" ht="15.75" customHeight="1">
      <c r="A844" s="12"/>
      <c r="B844" s="12"/>
      <c r="C844" s="12" t="s">
        <v>6</v>
      </c>
      <c r="D844" s="12"/>
      <c r="E844" s="12" t="s">
        <v>6</v>
      </c>
    </row>
    <row r="845" ht="15.75" customHeight="1">
      <c r="A845" s="12"/>
      <c r="B845" s="12"/>
      <c r="C845" s="12" t="s">
        <v>6</v>
      </c>
      <c r="D845" s="12"/>
      <c r="E845" s="12" t="s">
        <v>6</v>
      </c>
    </row>
    <row r="846" ht="15.75" customHeight="1">
      <c r="A846" s="12"/>
      <c r="B846" s="12"/>
      <c r="C846" s="12" t="s">
        <v>6</v>
      </c>
      <c r="D846" s="12"/>
      <c r="E846" s="12" t="s">
        <v>6</v>
      </c>
    </row>
    <row r="847" ht="15.75" customHeight="1">
      <c r="A847" s="12"/>
      <c r="B847" s="12"/>
      <c r="C847" s="12" t="s">
        <v>6</v>
      </c>
      <c r="D847" s="12"/>
      <c r="E847" s="12" t="s">
        <v>6</v>
      </c>
    </row>
    <row r="848" ht="15.75" customHeight="1">
      <c r="A848" s="12"/>
      <c r="B848" s="12"/>
      <c r="C848" s="12" t="s">
        <v>6</v>
      </c>
      <c r="D848" s="12"/>
      <c r="E848" s="12" t="s">
        <v>6</v>
      </c>
    </row>
    <row r="849" ht="15.75" customHeight="1">
      <c r="A849" s="12"/>
      <c r="B849" s="12"/>
      <c r="C849" s="12" t="s">
        <v>6</v>
      </c>
      <c r="D849" s="12"/>
      <c r="E849" s="12" t="s">
        <v>6</v>
      </c>
    </row>
    <row r="850" ht="15.75" customHeight="1">
      <c r="A850" s="12"/>
      <c r="B850" s="12"/>
      <c r="C850" s="12" t="s">
        <v>6</v>
      </c>
      <c r="D850" s="12"/>
      <c r="E850" s="12" t="s">
        <v>6</v>
      </c>
    </row>
    <row r="851" ht="15.75" customHeight="1">
      <c r="A851" s="12"/>
      <c r="B851" s="12"/>
      <c r="C851" s="12" t="s">
        <v>6</v>
      </c>
      <c r="D851" s="12"/>
      <c r="E851" s="12" t="s">
        <v>6</v>
      </c>
    </row>
    <row r="852" ht="15.75" customHeight="1">
      <c r="A852" s="12"/>
      <c r="B852" s="12"/>
      <c r="C852" s="12" t="s">
        <v>6</v>
      </c>
      <c r="D852" s="12"/>
      <c r="E852" s="12" t="s">
        <v>6</v>
      </c>
    </row>
    <row r="853" ht="15.75" customHeight="1">
      <c r="A853" s="12"/>
      <c r="B853" s="12"/>
      <c r="C853" s="12" t="s">
        <v>6</v>
      </c>
      <c r="D853" s="12"/>
      <c r="E853" s="12" t="s">
        <v>6</v>
      </c>
    </row>
    <row r="854" ht="15.75" customHeight="1">
      <c r="A854" s="12"/>
      <c r="B854" s="12"/>
      <c r="C854" s="12" t="s">
        <v>6</v>
      </c>
      <c r="D854" s="12"/>
      <c r="E854" s="12" t="s">
        <v>6</v>
      </c>
    </row>
    <row r="855" ht="15.75" customHeight="1">
      <c r="A855" s="12"/>
      <c r="B855" s="12"/>
      <c r="C855" s="12" t="s">
        <v>6</v>
      </c>
      <c r="D855" s="12"/>
      <c r="E855" s="12" t="s">
        <v>6</v>
      </c>
    </row>
    <row r="856" ht="15.75" customHeight="1">
      <c r="A856" s="12"/>
      <c r="B856" s="12"/>
      <c r="C856" s="12" t="s">
        <v>6</v>
      </c>
      <c r="D856" s="12"/>
      <c r="E856" s="12" t="s">
        <v>6</v>
      </c>
    </row>
    <row r="857" ht="15.75" customHeight="1">
      <c r="A857" s="12"/>
      <c r="B857" s="12"/>
      <c r="C857" s="12" t="s">
        <v>6</v>
      </c>
      <c r="D857" s="12"/>
      <c r="E857" s="12" t="s">
        <v>6</v>
      </c>
    </row>
    <row r="858" ht="15.75" customHeight="1">
      <c r="A858" s="12"/>
      <c r="B858" s="12"/>
      <c r="C858" s="12" t="s">
        <v>6</v>
      </c>
      <c r="D858" s="12"/>
      <c r="E858" s="12" t="s">
        <v>6</v>
      </c>
    </row>
    <row r="859" ht="15.75" customHeight="1">
      <c r="A859" s="12"/>
      <c r="B859" s="12"/>
      <c r="C859" s="12" t="s">
        <v>6</v>
      </c>
      <c r="D859" s="12"/>
      <c r="E859" s="12" t="s">
        <v>6</v>
      </c>
    </row>
    <row r="860" ht="15.75" customHeight="1">
      <c r="A860" s="12"/>
      <c r="B860" s="12"/>
      <c r="C860" s="12" t="s">
        <v>6</v>
      </c>
      <c r="D860" s="12"/>
      <c r="E860" s="12" t="s">
        <v>6</v>
      </c>
    </row>
    <row r="861" ht="15.75" customHeight="1">
      <c r="A861" s="12"/>
      <c r="B861" s="12"/>
      <c r="C861" s="12" t="s">
        <v>6</v>
      </c>
      <c r="D861" s="12"/>
      <c r="E861" s="12" t="s">
        <v>6</v>
      </c>
    </row>
    <row r="862" ht="15.75" customHeight="1">
      <c r="A862" s="12"/>
      <c r="B862" s="12"/>
      <c r="C862" s="12" t="s">
        <v>6</v>
      </c>
      <c r="D862" s="12"/>
      <c r="E862" s="12" t="s">
        <v>6</v>
      </c>
    </row>
    <row r="863" ht="15.75" customHeight="1">
      <c r="A863" s="12"/>
      <c r="B863" s="12"/>
      <c r="C863" s="12" t="s">
        <v>6</v>
      </c>
      <c r="D863" s="12"/>
      <c r="E863" s="12" t="s">
        <v>6</v>
      </c>
    </row>
    <row r="864" ht="15.75" customHeight="1">
      <c r="A864" s="12"/>
      <c r="B864" s="12"/>
      <c r="C864" s="12" t="s">
        <v>6</v>
      </c>
      <c r="D864" s="12"/>
      <c r="E864" s="12" t="s">
        <v>6</v>
      </c>
    </row>
    <row r="865" ht="15.75" customHeight="1">
      <c r="A865" s="12"/>
      <c r="B865" s="12"/>
      <c r="C865" s="12" t="s">
        <v>6</v>
      </c>
      <c r="D865" s="12"/>
      <c r="E865" s="12" t="s">
        <v>6</v>
      </c>
    </row>
    <row r="866" ht="15.75" customHeight="1">
      <c r="A866" s="12"/>
      <c r="B866" s="12"/>
      <c r="C866" s="12" t="s">
        <v>6</v>
      </c>
      <c r="D866" s="12"/>
      <c r="E866" s="12" t="s">
        <v>6</v>
      </c>
    </row>
    <row r="867" ht="15.75" customHeight="1">
      <c r="A867" s="12"/>
      <c r="B867" s="12"/>
      <c r="C867" s="12" t="s">
        <v>6</v>
      </c>
      <c r="D867" s="12"/>
      <c r="E867" s="12" t="s">
        <v>6</v>
      </c>
    </row>
    <row r="868" ht="15.75" customHeight="1">
      <c r="A868" s="12"/>
      <c r="B868" s="12"/>
      <c r="C868" s="12" t="s">
        <v>6</v>
      </c>
      <c r="D868" s="12"/>
      <c r="E868" s="12" t="s">
        <v>6</v>
      </c>
    </row>
    <row r="869" ht="15.75" customHeight="1">
      <c r="A869" s="12"/>
      <c r="B869" s="12"/>
      <c r="C869" s="12" t="s">
        <v>6</v>
      </c>
      <c r="D869" s="12"/>
      <c r="E869" s="12" t="s">
        <v>6</v>
      </c>
    </row>
    <row r="870" ht="15.75" customHeight="1">
      <c r="A870" s="12"/>
      <c r="B870" s="12"/>
      <c r="C870" s="12" t="s">
        <v>6</v>
      </c>
      <c r="D870" s="12"/>
      <c r="E870" s="12" t="s">
        <v>6</v>
      </c>
    </row>
    <row r="871" ht="15.75" customHeight="1">
      <c r="A871" s="12"/>
      <c r="B871" s="12"/>
      <c r="C871" s="12" t="s">
        <v>6</v>
      </c>
      <c r="D871" s="12"/>
      <c r="E871" s="12" t="s">
        <v>6</v>
      </c>
    </row>
    <row r="872" ht="15.75" customHeight="1">
      <c r="A872" s="12"/>
      <c r="B872" s="12"/>
      <c r="C872" s="12" t="s">
        <v>6</v>
      </c>
      <c r="D872" s="12"/>
      <c r="E872" s="12" t="s">
        <v>6</v>
      </c>
    </row>
    <row r="873" ht="15.75" customHeight="1">
      <c r="A873" s="12"/>
      <c r="B873" s="12"/>
      <c r="C873" s="12" t="s">
        <v>6</v>
      </c>
      <c r="D873" s="12"/>
      <c r="E873" s="12" t="s">
        <v>6</v>
      </c>
    </row>
    <row r="874" ht="15.75" customHeight="1">
      <c r="A874" s="12"/>
      <c r="B874" s="12"/>
      <c r="C874" s="12" t="s">
        <v>6</v>
      </c>
      <c r="D874" s="12"/>
      <c r="E874" s="12" t="s">
        <v>6</v>
      </c>
    </row>
    <row r="875" ht="15.75" customHeight="1">
      <c r="A875" s="12"/>
      <c r="B875" s="12"/>
      <c r="C875" s="12" t="s">
        <v>6</v>
      </c>
      <c r="D875" s="12"/>
      <c r="E875" s="12" t="s">
        <v>6</v>
      </c>
    </row>
    <row r="876" ht="15.75" customHeight="1">
      <c r="A876" s="12"/>
      <c r="B876" s="12"/>
      <c r="C876" s="12" t="s">
        <v>6</v>
      </c>
      <c r="D876" s="12"/>
      <c r="E876" s="12" t="s">
        <v>6</v>
      </c>
    </row>
    <row r="877" ht="15.75" customHeight="1">
      <c r="A877" s="12"/>
      <c r="B877" s="12"/>
      <c r="C877" s="12" t="s">
        <v>6</v>
      </c>
      <c r="D877" s="12"/>
      <c r="E877" s="12" t="s">
        <v>6</v>
      </c>
    </row>
    <row r="878" ht="15.75" customHeight="1">
      <c r="A878" s="12"/>
      <c r="B878" s="12"/>
      <c r="C878" s="12" t="s">
        <v>6</v>
      </c>
      <c r="D878" s="12"/>
      <c r="E878" s="12" t="s">
        <v>6</v>
      </c>
    </row>
    <row r="879" ht="15.75" customHeight="1">
      <c r="A879" s="12"/>
      <c r="B879" s="12"/>
      <c r="C879" s="12" t="s">
        <v>6</v>
      </c>
      <c r="D879" s="12"/>
      <c r="E879" s="12" t="s">
        <v>6</v>
      </c>
    </row>
    <row r="880" ht="15.75" customHeight="1">
      <c r="A880" s="12"/>
      <c r="B880" s="12"/>
      <c r="C880" s="12" t="s">
        <v>6</v>
      </c>
      <c r="D880" s="12"/>
      <c r="E880" s="12" t="s">
        <v>6</v>
      </c>
    </row>
    <row r="881" ht="15.75" customHeight="1">
      <c r="A881" s="12"/>
      <c r="B881" s="12"/>
      <c r="C881" s="12" t="s">
        <v>6</v>
      </c>
      <c r="D881" s="12"/>
      <c r="E881" s="12" t="s">
        <v>6</v>
      </c>
    </row>
    <row r="882" ht="15.75" customHeight="1">
      <c r="A882" s="12"/>
      <c r="B882" s="12"/>
      <c r="C882" s="12" t="s">
        <v>6</v>
      </c>
      <c r="D882" s="12"/>
      <c r="E882" s="12" t="s">
        <v>6</v>
      </c>
    </row>
    <row r="883" ht="15.75" customHeight="1">
      <c r="A883" s="12"/>
      <c r="B883" s="12"/>
      <c r="C883" s="12" t="s">
        <v>6</v>
      </c>
      <c r="D883" s="12"/>
      <c r="E883" s="12" t="s">
        <v>6</v>
      </c>
    </row>
    <row r="884" ht="15.75" customHeight="1">
      <c r="A884" s="12"/>
      <c r="B884" s="12"/>
      <c r="C884" s="12" t="s">
        <v>6</v>
      </c>
      <c r="D884" s="12"/>
      <c r="E884" s="12" t="s">
        <v>6</v>
      </c>
    </row>
    <row r="885" ht="15.75" customHeight="1">
      <c r="A885" s="12"/>
      <c r="B885" s="12"/>
      <c r="C885" s="12" t="s">
        <v>6</v>
      </c>
      <c r="D885" s="12"/>
      <c r="E885" s="12" t="s">
        <v>6</v>
      </c>
    </row>
    <row r="886" ht="15.75" customHeight="1">
      <c r="A886" s="12"/>
      <c r="B886" s="12"/>
      <c r="C886" s="12" t="s">
        <v>6</v>
      </c>
      <c r="D886" s="12"/>
      <c r="E886" s="12" t="s">
        <v>6</v>
      </c>
    </row>
    <row r="887" ht="15.75" customHeight="1">
      <c r="A887" s="12"/>
      <c r="B887" s="12"/>
      <c r="C887" s="12" t="s">
        <v>6</v>
      </c>
      <c r="D887" s="12"/>
      <c r="E887" s="12" t="s">
        <v>6</v>
      </c>
    </row>
    <row r="888" ht="15.75" customHeight="1">
      <c r="A888" s="12"/>
      <c r="B888" s="12"/>
      <c r="C888" s="12" t="s">
        <v>6</v>
      </c>
      <c r="D888" s="12"/>
      <c r="E888" s="12" t="s">
        <v>6</v>
      </c>
    </row>
    <row r="889" ht="15.75" customHeight="1">
      <c r="A889" s="12"/>
      <c r="B889" s="12"/>
      <c r="C889" s="12" t="s">
        <v>6</v>
      </c>
      <c r="D889" s="12"/>
      <c r="E889" s="12" t="s">
        <v>6</v>
      </c>
    </row>
    <row r="890" ht="15.75" customHeight="1">
      <c r="A890" s="12"/>
      <c r="B890" s="12"/>
      <c r="C890" s="12" t="s">
        <v>6</v>
      </c>
      <c r="D890" s="12"/>
      <c r="E890" s="12" t="s">
        <v>6</v>
      </c>
    </row>
    <row r="891" ht="15.75" customHeight="1">
      <c r="A891" s="12"/>
      <c r="B891" s="12"/>
      <c r="C891" s="12" t="s">
        <v>6</v>
      </c>
      <c r="D891" s="12"/>
      <c r="E891" s="12" t="s">
        <v>6</v>
      </c>
    </row>
    <row r="892" ht="15.75" customHeight="1">
      <c r="A892" s="12"/>
      <c r="B892" s="12"/>
      <c r="C892" s="12" t="s">
        <v>6</v>
      </c>
      <c r="D892" s="12"/>
      <c r="E892" s="12" t="s">
        <v>6</v>
      </c>
    </row>
    <row r="893" ht="15.75" customHeight="1">
      <c r="A893" s="12"/>
      <c r="B893" s="12"/>
      <c r="C893" s="12" t="s">
        <v>6</v>
      </c>
      <c r="D893" s="12"/>
      <c r="E893" s="12" t="s">
        <v>6</v>
      </c>
    </row>
    <row r="894" ht="15.75" customHeight="1">
      <c r="A894" s="12"/>
      <c r="B894" s="12"/>
      <c r="C894" s="12" t="s">
        <v>6</v>
      </c>
      <c r="D894" s="12"/>
      <c r="E894" s="12" t="s">
        <v>6</v>
      </c>
    </row>
    <row r="895" ht="15.75" customHeight="1">
      <c r="A895" s="12"/>
      <c r="B895" s="12"/>
      <c r="C895" s="12" t="s">
        <v>6</v>
      </c>
      <c r="D895" s="12"/>
      <c r="E895" s="12" t="s">
        <v>6</v>
      </c>
    </row>
    <row r="896" ht="15.75" customHeight="1">
      <c r="A896" s="12"/>
      <c r="B896" s="12"/>
      <c r="C896" s="12" t="s">
        <v>6</v>
      </c>
      <c r="D896" s="12"/>
      <c r="E896" s="12" t="s">
        <v>6</v>
      </c>
    </row>
    <row r="897" ht="15.75" customHeight="1">
      <c r="A897" s="12"/>
      <c r="B897" s="12"/>
      <c r="C897" s="12" t="s">
        <v>6</v>
      </c>
      <c r="D897" s="12"/>
      <c r="E897" s="12" t="s">
        <v>6</v>
      </c>
    </row>
    <row r="898" ht="15.75" customHeight="1">
      <c r="A898" s="12"/>
      <c r="B898" s="12"/>
      <c r="C898" s="12" t="s">
        <v>6</v>
      </c>
      <c r="D898" s="12"/>
      <c r="E898" s="12" t="s">
        <v>6</v>
      </c>
    </row>
    <row r="899" ht="15.75" customHeight="1">
      <c r="A899" s="12"/>
      <c r="B899" s="12"/>
      <c r="C899" s="12" t="s">
        <v>6</v>
      </c>
      <c r="D899" s="12"/>
      <c r="E899" s="12" t="s">
        <v>6</v>
      </c>
    </row>
    <row r="900" ht="15.75" customHeight="1">
      <c r="A900" s="12"/>
      <c r="B900" s="12"/>
      <c r="C900" s="12" t="s">
        <v>6</v>
      </c>
      <c r="D900" s="12"/>
      <c r="E900" s="12" t="s">
        <v>6</v>
      </c>
    </row>
    <row r="901" ht="15.75" customHeight="1">
      <c r="A901" s="12"/>
      <c r="B901" s="12"/>
      <c r="C901" s="12" t="s">
        <v>6</v>
      </c>
      <c r="D901" s="12"/>
      <c r="E901" s="12" t="s">
        <v>6</v>
      </c>
    </row>
    <row r="902" ht="15.75" customHeight="1">
      <c r="A902" s="12"/>
      <c r="B902" s="12"/>
      <c r="C902" s="12" t="s">
        <v>6</v>
      </c>
      <c r="D902" s="12"/>
      <c r="E902" s="12" t="s">
        <v>6</v>
      </c>
    </row>
    <row r="903" ht="15.75" customHeight="1">
      <c r="A903" s="12"/>
      <c r="B903" s="12"/>
      <c r="C903" s="12" t="s">
        <v>6</v>
      </c>
      <c r="D903" s="12"/>
      <c r="E903" s="12" t="s">
        <v>6</v>
      </c>
    </row>
    <row r="904" ht="15.75" customHeight="1">
      <c r="A904" s="12"/>
      <c r="B904" s="12"/>
      <c r="C904" s="12" t="s">
        <v>6</v>
      </c>
      <c r="D904" s="12"/>
      <c r="E904" s="12" t="s">
        <v>6</v>
      </c>
    </row>
    <row r="905" ht="15.75" customHeight="1">
      <c r="A905" s="12"/>
      <c r="B905" s="12"/>
      <c r="C905" s="12" t="s">
        <v>6</v>
      </c>
      <c r="D905" s="12"/>
      <c r="E905" s="12" t="s">
        <v>6</v>
      </c>
    </row>
    <row r="906" ht="15.75" customHeight="1">
      <c r="A906" s="12"/>
      <c r="B906" s="12"/>
      <c r="C906" s="12" t="s">
        <v>6</v>
      </c>
      <c r="D906" s="12"/>
      <c r="E906" s="12" t="s">
        <v>6</v>
      </c>
    </row>
    <row r="907" ht="15.75" customHeight="1">
      <c r="A907" s="12"/>
      <c r="B907" s="12"/>
      <c r="C907" s="12" t="s">
        <v>6</v>
      </c>
      <c r="D907" s="12"/>
      <c r="E907" s="12" t="s">
        <v>6</v>
      </c>
    </row>
    <row r="908" ht="15.75" customHeight="1">
      <c r="A908" s="12"/>
      <c r="B908" s="12"/>
      <c r="C908" s="12" t="s">
        <v>6</v>
      </c>
      <c r="D908" s="12"/>
      <c r="E908" s="12" t="s">
        <v>6</v>
      </c>
    </row>
    <row r="909" ht="15.75" customHeight="1">
      <c r="A909" s="12"/>
      <c r="B909" s="12"/>
      <c r="C909" s="12" t="s">
        <v>6</v>
      </c>
      <c r="D909" s="12"/>
      <c r="E909" s="12" t="s">
        <v>6</v>
      </c>
    </row>
    <row r="910" ht="15.75" customHeight="1">
      <c r="A910" s="12"/>
      <c r="B910" s="12"/>
      <c r="C910" s="12" t="s">
        <v>6</v>
      </c>
      <c r="D910" s="12"/>
      <c r="E910" s="12" t="s">
        <v>6</v>
      </c>
    </row>
    <row r="911" ht="15.75" customHeight="1">
      <c r="A911" s="12"/>
      <c r="B911" s="12"/>
      <c r="C911" s="12" t="s">
        <v>6</v>
      </c>
      <c r="D911" s="12"/>
      <c r="E911" s="12" t="s">
        <v>6</v>
      </c>
    </row>
    <row r="912" ht="15.75" customHeight="1">
      <c r="A912" s="12"/>
      <c r="B912" s="12"/>
      <c r="C912" s="12" t="s">
        <v>6</v>
      </c>
      <c r="D912" s="12"/>
      <c r="E912" s="12" t="s">
        <v>6</v>
      </c>
    </row>
    <row r="913" ht="15.75" customHeight="1">
      <c r="A913" s="12"/>
      <c r="B913" s="12"/>
      <c r="C913" s="12" t="s">
        <v>6</v>
      </c>
      <c r="D913" s="12"/>
      <c r="E913" s="12" t="s">
        <v>6</v>
      </c>
    </row>
    <row r="914" ht="15.75" customHeight="1">
      <c r="A914" s="12"/>
      <c r="B914" s="12"/>
      <c r="C914" s="12" t="s">
        <v>6</v>
      </c>
      <c r="D914" s="12"/>
      <c r="E914" s="12" t="s">
        <v>6</v>
      </c>
    </row>
    <row r="915" ht="15.75" customHeight="1">
      <c r="A915" s="12"/>
      <c r="B915" s="12"/>
      <c r="C915" s="12" t="s">
        <v>6</v>
      </c>
      <c r="D915" s="12"/>
      <c r="E915" s="12" t="s">
        <v>6</v>
      </c>
    </row>
    <row r="916" ht="15.75" customHeight="1">
      <c r="A916" s="12"/>
      <c r="B916" s="12"/>
      <c r="C916" s="12" t="s">
        <v>6</v>
      </c>
      <c r="D916" s="12"/>
      <c r="E916" s="12" t="s">
        <v>6</v>
      </c>
    </row>
    <row r="917" ht="15.75" customHeight="1">
      <c r="A917" s="12"/>
      <c r="B917" s="12"/>
      <c r="C917" s="12" t="s">
        <v>6</v>
      </c>
      <c r="D917" s="12"/>
      <c r="E917" s="12" t="s">
        <v>6</v>
      </c>
    </row>
    <row r="918" ht="15.75" customHeight="1">
      <c r="A918" s="12"/>
      <c r="B918" s="12"/>
      <c r="C918" s="12" t="s">
        <v>6</v>
      </c>
      <c r="D918" s="12"/>
      <c r="E918" s="12" t="s">
        <v>6</v>
      </c>
    </row>
    <row r="919" ht="15.75" customHeight="1">
      <c r="A919" s="12"/>
      <c r="B919" s="12"/>
      <c r="C919" s="12" t="s">
        <v>6</v>
      </c>
      <c r="D919" s="12"/>
      <c r="E919" s="12" t="s">
        <v>6</v>
      </c>
    </row>
    <row r="920" ht="15.75" customHeight="1">
      <c r="A920" s="12"/>
      <c r="B920" s="12"/>
      <c r="C920" s="12" t="s">
        <v>6</v>
      </c>
      <c r="D920" s="12"/>
      <c r="E920" s="12" t="s">
        <v>6</v>
      </c>
    </row>
    <row r="921" ht="15.75" customHeight="1">
      <c r="A921" s="12"/>
      <c r="B921" s="12"/>
      <c r="C921" s="12" t="s">
        <v>6</v>
      </c>
      <c r="D921" s="12"/>
      <c r="E921" s="12" t="s">
        <v>6</v>
      </c>
    </row>
    <row r="922" ht="15.75" customHeight="1">
      <c r="A922" s="12"/>
      <c r="B922" s="12"/>
      <c r="C922" s="12" t="s">
        <v>6</v>
      </c>
      <c r="D922" s="12"/>
      <c r="E922" s="12" t="s">
        <v>6</v>
      </c>
    </row>
    <row r="923" ht="15.75" customHeight="1">
      <c r="A923" s="12"/>
      <c r="B923" s="12"/>
      <c r="C923" s="12" t="s">
        <v>6</v>
      </c>
      <c r="D923" s="12"/>
      <c r="E923" s="12" t="s">
        <v>6</v>
      </c>
    </row>
    <row r="924" ht="15.75" customHeight="1">
      <c r="A924" s="12"/>
      <c r="B924" s="12"/>
      <c r="C924" s="12" t="s">
        <v>6</v>
      </c>
      <c r="D924" s="12"/>
      <c r="E924" s="12" t="s">
        <v>6</v>
      </c>
    </row>
    <row r="925" ht="15.75" customHeight="1">
      <c r="A925" s="12"/>
      <c r="B925" s="12"/>
      <c r="C925" s="12" t="s">
        <v>6</v>
      </c>
      <c r="D925" s="12"/>
      <c r="E925" s="12" t="s">
        <v>6</v>
      </c>
    </row>
    <row r="926" ht="15.75" customHeight="1">
      <c r="A926" s="12"/>
      <c r="B926" s="12"/>
      <c r="C926" s="12" t="s">
        <v>6</v>
      </c>
      <c r="D926" s="12"/>
      <c r="E926" s="12" t="s">
        <v>6</v>
      </c>
    </row>
    <row r="927" ht="15.75" customHeight="1">
      <c r="A927" s="12"/>
      <c r="B927" s="12"/>
      <c r="C927" s="12" t="s">
        <v>6</v>
      </c>
      <c r="D927" s="12"/>
      <c r="E927" s="12" t="s">
        <v>6</v>
      </c>
    </row>
    <row r="928" ht="15.75" customHeight="1">
      <c r="A928" s="12"/>
      <c r="B928" s="12"/>
      <c r="C928" s="12" t="s">
        <v>6</v>
      </c>
      <c r="D928" s="12"/>
      <c r="E928" s="12" t="s">
        <v>6</v>
      </c>
    </row>
    <row r="929" ht="15.75" customHeight="1">
      <c r="A929" s="12"/>
      <c r="B929" s="12"/>
      <c r="C929" s="12" t="s">
        <v>6</v>
      </c>
      <c r="D929" s="12"/>
      <c r="E929" s="12" t="s">
        <v>6</v>
      </c>
    </row>
    <row r="930" ht="15.75" customHeight="1">
      <c r="A930" s="12"/>
      <c r="B930" s="12"/>
      <c r="C930" s="12" t="s">
        <v>6</v>
      </c>
      <c r="D930" s="12"/>
      <c r="E930" s="12" t="s">
        <v>6</v>
      </c>
    </row>
    <row r="931" ht="15.75" customHeight="1">
      <c r="A931" s="12"/>
      <c r="B931" s="12"/>
      <c r="C931" s="12" t="s">
        <v>6</v>
      </c>
      <c r="D931" s="12"/>
      <c r="E931" s="12" t="s">
        <v>6</v>
      </c>
    </row>
    <row r="932" ht="15.75" customHeight="1">
      <c r="A932" s="12"/>
      <c r="B932" s="12"/>
      <c r="C932" s="12" t="s">
        <v>6</v>
      </c>
      <c r="D932" s="12"/>
      <c r="E932" s="12" t="s">
        <v>6</v>
      </c>
    </row>
    <row r="933" ht="15.75" customHeight="1">
      <c r="A933" s="12"/>
      <c r="B933" s="12"/>
      <c r="C933" s="12" t="s">
        <v>6</v>
      </c>
      <c r="D933" s="12"/>
      <c r="E933" s="12" t="s">
        <v>6</v>
      </c>
    </row>
    <row r="934" ht="15.75" customHeight="1">
      <c r="A934" s="12"/>
      <c r="B934" s="12"/>
      <c r="C934" s="12" t="s">
        <v>6</v>
      </c>
      <c r="D934" s="12"/>
      <c r="E934" s="12" t="s">
        <v>6</v>
      </c>
    </row>
    <row r="935" ht="15.75" customHeight="1">
      <c r="A935" s="12"/>
      <c r="B935" s="12"/>
      <c r="C935" s="12" t="s">
        <v>6</v>
      </c>
      <c r="D935" s="12"/>
      <c r="E935" s="12" t="s">
        <v>6</v>
      </c>
    </row>
    <row r="936" ht="15.75" customHeight="1">
      <c r="A936" s="12"/>
      <c r="B936" s="12"/>
      <c r="C936" s="12" t="s">
        <v>6</v>
      </c>
      <c r="D936" s="12"/>
      <c r="E936" s="12" t="s">
        <v>6</v>
      </c>
    </row>
    <row r="937" ht="15.75" customHeight="1">
      <c r="A937" s="12"/>
      <c r="B937" s="12"/>
      <c r="C937" s="12" t="s">
        <v>6</v>
      </c>
      <c r="D937" s="12"/>
      <c r="E937" s="12" t="s">
        <v>6</v>
      </c>
    </row>
    <row r="938" ht="15.75" customHeight="1">
      <c r="A938" s="12"/>
      <c r="B938" s="12"/>
      <c r="C938" s="12" t="s">
        <v>6</v>
      </c>
      <c r="D938" s="12"/>
      <c r="E938" s="12" t="s">
        <v>6</v>
      </c>
    </row>
    <row r="939" ht="15.75" customHeight="1">
      <c r="A939" s="12"/>
      <c r="B939" s="12"/>
      <c r="C939" s="12" t="s">
        <v>6</v>
      </c>
      <c r="D939" s="12"/>
      <c r="E939" s="12" t="s">
        <v>6</v>
      </c>
    </row>
    <row r="940" ht="15.75" customHeight="1">
      <c r="A940" s="12"/>
      <c r="B940" s="12"/>
      <c r="C940" s="12" t="s">
        <v>6</v>
      </c>
      <c r="D940" s="12"/>
      <c r="E940" s="12" t="s">
        <v>6</v>
      </c>
    </row>
    <row r="941" ht="15.75" customHeight="1">
      <c r="A941" s="12"/>
      <c r="B941" s="12"/>
      <c r="C941" s="12" t="s">
        <v>6</v>
      </c>
      <c r="D941" s="12"/>
      <c r="E941" s="12" t="s">
        <v>6</v>
      </c>
    </row>
    <row r="942" ht="15.75" customHeight="1">
      <c r="A942" s="12"/>
      <c r="B942" s="12"/>
      <c r="C942" s="12" t="s">
        <v>6</v>
      </c>
      <c r="D942" s="12"/>
      <c r="E942" s="12" t="s">
        <v>6</v>
      </c>
    </row>
    <row r="943" ht="15.75" customHeight="1">
      <c r="A943" s="12"/>
      <c r="B943" s="12"/>
      <c r="C943" s="12" t="s">
        <v>6</v>
      </c>
      <c r="D943" s="12"/>
      <c r="E943" s="12" t="s">
        <v>6</v>
      </c>
    </row>
    <row r="944" ht="15.75" customHeight="1">
      <c r="A944" s="12"/>
      <c r="B944" s="12"/>
      <c r="C944" s="12" t="s">
        <v>6</v>
      </c>
      <c r="D944" s="12"/>
      <c r="E944" s="12" t="s">
        <v>6</v>
      </c>
    </row>
    <row r="945" ht="15.75" customHeight="1">
      <c r="A945" s="12"/>
      <c r="B945" s="12"/>
      <c r="C945" s="12" t="s">
        <v>6</v>
      </c>
      <c r="D945" s="12"/>
      <c r="E945" s="12" t="s">
        <v>6</v>
      </c>
    </row>
    <row r="946" ht="15.75" customHeight="1">
      <c r="A946" s="12"/>
      <c r="B946" s="12"/>
      <c r="C946" s="12" t="s">
        <v>6</v>
      </c>
      <c r="D946" s="12"/>
      <c r="E946" s="12" t="s">
        <v>6</v>
      </c>
    </row>
    <row r="947" ht="15.75" customHeight="1">
      <c r="A947" s="12"/>
      <c r="B947" s="12"/>
      <c r="C947" s="12" t="s">
        <v>6</v>
      </c>
      <c r="D947" s="12"/>
      <c r="E947" s="12" t="s">
        <v>6</v>
      </c>
    </row>
    <row r="948" ht="15.75" customHeight="1">
      <c r="A948" s="12"/>
      <c r="B948" s="12"/>
      <c r="C948" s="12" t="s">
        <v>6</v>
      </c>
      <c r="D948" s="12"/>
      <c r="E948" s="12" t="s">
        <v>6</v>
      </c>
    </row>
    <row r="949" ht="15.75" customHeight="1">
      <c r="A949" s="12"/>
      <c r="B949" s="12"/>
      <c r="C949" s="12" t="s">
        <v>6</v>
      </c>
      <c r="D949" s="12"/>
      <c r="E949" s="12" t="s">
        <v>6</v>
      </c>
    </row>
    <row r="950" ht="15.75" customHeight="1">
      <c r="A950" s="12"/>
      <c r="B950" s="12"/>
      <c r="C950" s="12" t="s">
        <v>6</v>
      </c>
      <c r="D950" s="12"/>
      <c r="E950" s="12" t="s">
        <v>6</v>
      </c>
    </row>
    <row r="951" ht="15.75" customHeight="1">
      <c r="A951" s="12"/>
      <c r="B951" s="12"/>
      <c r="C951" s="12" t="s">
        <v>6</v>
      </c>
      <c r="D951" s="12"/>
      <c r="E951" s="12" t="s">
        <v>6</v>
      </c>
    </row>
    <row r="952" ht="15.75" customHeight="1">
      <c r="A952" s="12"/>
      <c r="B952" s="12"/>
      <c r="C952" s="12" t="s">
        <v>6</v>
      </c>
      <c r="D952" s="12"/>
      <c r="E952" s="12" t="s">
        <v>6</v>
      </c>
    </row>
    <row r="953" ht="15.75" customHeight="1">
      <c r="A953" s="12"/>
      <c r="B953" s="12"/>
      <c r="C953" s="12" t="s">
        <v>6</v>
      </c>
      <c r="D953" s="12"/>
      <c r="E953" s="12" t="s">
        <v>6</v>
      </c>
    </row>
    <row r="954" ht="15.75" customHeight="1">
      <c r="A954" s="12"/>
      <c r="B954" s="12"/>
      <c r="C954" s="12" t="s">
        <v>6</v>
      </c>
      <c r="D954" s="12"/>
      <c r="E954" s="12" t="s">
        <v>6</v>
      </c>
    </row>
    <row r="955" ht="15.75" customHeight="1">
      <c r="A955" s="12"/>
      <c r="B955" s="12"/>
      <c r="C955" s="12" t="s">
        <v>6</v>
      </c>
      <c r="D955" s="12"/>
      <c r="E955" s="12" t="s">
        <v>6</v>
      </c>
    </row>
    <row r="956" ht="15.75" customHeight="1">
      <c r="A956" s="12"/>
      <c r="B956" s="12"/>
      <c r="C956" s="12" t="s">
        <v>6</v>
      </c>
      <c r="D956" s="12"/>
      <c r="E956" s="12" t="s">
        <v>6</v>
      </c>
    </row>
    <row r="957" ht="15.75" customHeight="1">
      <c r="A957" s="12"/>
      <c r="B957" s="12"/>
      <c r="C957" s="12" t="s">
        <v>6</v>
      </c>
      <c r="D957" s="12"/>
      <c r="E957" s="12" t="s">
        <v>6</v>
      </c>
    </row>
    <row r="958" ht="15.75" customHeight="1">
      <c r="A958" s="12"/>
      <c r="B958" s="12"/>
      <c r="C958" s="12" t="s">
        <v>6</v>
      </c>
      <c r="D958" s="12"/>
      <c r="E958" s="12" t="s">
        <v>6</v>
      </c>
    </row>
    <row r="959" ht="15.75" customHeight="1">
      <c r="A959" s="12"/>
      <c r="B959" s="12"/>
      <c r="C959" s="12" t="s">
        <v>6</v>
      </c>
      <c r="D959" s="12"/>
      <c r="E959" s="12" t="s">
        <v>6</v>
      </c>
    </row>
    <row r="960" ht="15.75" customHeight="1">
      <c r="A960" s="12"/>
      <c r="B960" s="12"/>
      <c r="C960" s="12" t="s">
        <v>6</v>
      </c>
      <c r="D960" s="12"/>
      <c r="E960" s="12" t="s">
        <v>6</v>
      </c>
    </row>
    <row r="961" ht="15.75" customHeight="1">
      <c r="A961" s="12"/>
      <c r="B961" s="12"/>
      <c r="C961" s="12" t="s">
        <v>6</v>
      </c>
      <c r="D961" s="12"/>
      <c r="E961" s="12" t="s">
        <v>6</v>
      </c>
    </row>
    <row r="962" ht="15.75" customHeight="1">
      <c r="A962" s="12"/>
      <c r="B962" s="12"/>
      <c r="C962" s="12" t="s">
        <v>6</v>
      </c>
      <c r="D962" s="12"/>
      <c r="E962" s="12" t="s">
        <v>6</v>
      </c>
    </row>
    <row r="963" ht="15.75" customHeight="1">
      <c r="A963" s="12"/>
      <c r="B963" s="12"/>
      <c r="C963" s="12" t="s">
        <v>6</v>
      </c>
      <c r="D963" s="12"/>
      <c r="E963" s="12" t="s">
        <v>6</v>
      </c>
    </row>
    <row r="964" ht="15.75" customHeight="1">
      <c r="A964" s="12"/>
      <c r="B964" s="12"/>
      <c r="C964" s="12" t="s">
        <v>6</v>
      </c>
      <c r="D964" s="12"/>
      <c r="E964" s="12" t="s">
        <v>6</v>
      </c>
    </row>
    <row r="965" ht="15.75" customHeight="1">
      <c r="A965" s="12"/>
      <c r="B965" s="12"/>
      <c r="C965" s="12" t="s">
        <v>6</v>
      </c>
      <c r="D965" s="12"/>
      <c r="E965" s="12" t="s">
        <v>6</v>
      </c>
    </row>
    <row r="966" ht="15.75" customHeight="1">
      <c r="A966" s="12"/>
      <c r="B966" s="12"/>
      <c r="C966" s="12" t="s">
        <v>6</v>
      </c>
      <c r="D966" s="12"/>
      <c r="E966" s="12" t="s">
        <v>6</v>
      </c>
    </row>
    <row r="967" ht="15.75" customHeight="1">
      <c r="A967" s="12"/>
      <c r="B967" s="12"/>
      <c r="C967" s="12" t="s">
        <v>6</v>
      </c>
      <c r="D967" s="12"/>
      <c r="E967" s="12" t="s">
        <v>6</v>
      </c>
    </row>
    <row r="968" ht="15.75" customHeight="1">
      <c r="A968" s="12"/>
      <c r="B968" s="12"/>
      <c r="C968" s="12" t="s">
        <v>6</v>
      </c>
      <c r="D968" s="12"/>
      <c r="E968" s="12" t="s">
        <v>6</v>
      </c>
    </row>
    <row r="969" ht="15.75" customHeight="1">
      <c r="A969" s="12"/>
      <c r="B969" s="12"/>
      <c r="C969" s="12" t="s">
        <v>6</v>
      </c>
      <c r="D969" s="12"/>
      <c r="E969" s="12" t="s">
        <v>6</v>
      </c>
    </row>
    <row r="970" ht="15.75" customHeight="1">
      <c r="A970" s="12"/>
      <c r="B970" s="12"/>
      <c r="C970" s="12" t="s">
        <v>6</v>
      </c>
      <c r="D970" s="12"/>
      <c r="E970" s="12" t="s">
        <v>6</v>
      </c>
    </row>
    <row r="971" ht="15.75" customHeight="1">
      <c r="A971" s="12"/>
      <c r="B971" s="12"/>
      <c r="C971" s="12" t="s">
        <v>6</v>
      </c>
      <c r="D971" s="12"/>
      <c r="E971" s="12" t="s">
        <v>6</v>
      </c>
    </row>
    <row r="972" ht="15.75" customHeight="1">
      <c r="A972" s="12"/>
      <c r="B972" s="12"/>
      <c r="C972" s="12" t="s">
        <v>6</v>
      </c>
      <c r="D972" s="12"/>
      <c r="E972" s="12" t="s">
        <v>6</v>
      </c>
    </row>
    <row r="973" ht="15.75" customHeight="1">
      <c r="A973" s="12"/>
      <c r="B973" s="12"/>
      <c r="C973" s="12" t="s">
        <v>6</v>
      </c>
      <c r="D973" s="12"/>
      <c r="E973" s="12" t="s">
        <v>6</v>
      </c>
    </row>
    <row r="974" ht="15.75" customHeight="1">
      <c r="A974" s="12"/>
      <c r="B974" s="12"/>
      <c r="C974" s="12" t="s">
        <v>6</v>
      </c>
      <c r="D974" s="12"/>
      <c r="E974" s="12" t="s">
        <v>6</v>
      </c>
    </row>
    <row r="975" ht="15.75" customHeight="1">
      <c r="A975" s="12"/>
      <c r="B975" s="12"/>
      <c r="C975" s="12" t="s">
        <v>6</v>
      </c>
      <c r="D975" s="12"/>
      <c r="E975" s="12" t="s">
        <v>6</v>
      </c>
    </row>
    <row r="976" ht="15.75" customHeight="1">
      <c r="A976" s="12"/>
      <c r="B976" s="12"/>
      <c r="C976" s="12" t="s">
        <v>6</v>
      </c>
      <c r="D976" s="12"/>
      <c r="E976" s="12" t="s">
        <v>6</v>
      </c>
    </row>
    <row r="977" ht="15.75" customHeight="1">
      <c r="A977" s="12"/>
      <c r="B977" s="12"/>
      <c r="C977" s="12" t="s">
        <v>6</v>
      </c>
      <c r="D977" s="12"/>
      <c r="E977" s="12" t="s">
        <v>6</v>
      </c>
    </row>
    <row r="978" ht="15.75" customHeight="1">
      <c r="A978" s="12"/>
      <c r="B978" s="12"/>
      <c r="C978" s="12" t="s">
        <v>6</v>
      </c>
      <c r="D978" s="12"/>
      <c r="E978" s="12" t="s">
        <v>6</v>
      </c>
    </row>
    <row r="979" ht="15.75" customHeight="1">
      <c r="A979" s="12"/>
      <c r="B979" s="12"/>
      <c r="C979" s="12" t="s">
        <v>6</v>
      </c>
      <c r="D979" s="12"/>
      <c r="E979" s="12" t="s">
        <v>6</v>
      </c>
    </row>
    <row r="980" ht="15.75" customHeight="1">
      <c r="A980" s="12"/>
      <c r="B980" s="12"/>
      <c r="C980" s="12" t="s">
        <v>6</v>
      </c>
      <c r="D980" s="12"/>
      <c r="E980" s="12" t="s">
        <v>6</v>
      </c>
    </row>
    <row r="981" ht="15.75" customHeight="1">
      <c r="A981" s="12"/>
      <c r="B981" s="12"/>
      <c r="C981" s="12" t="s">
        <v>6</v>
      </c>
      <c r="D981" s="12"/>
      <c r="E981" s="12" t="s">
        <v>6</v>
      </c>
    </row>
    <row r="982" ht="15.75" customHeight="1">
      <c r="A982" s="12"/>
      <c r="B982" s="12"/>
      <c r="C982" s="12" t="s">
        <v>6</v>
      </c>
      <c r="D982" s="12"/>
      <c r="E982" s="12" t="s">
        <v>6</v>
      </c>
    </row>
    <row r="983" ht="15.75" customHeight="1">
      <c r="A983" s="12"/>
      <c r="B983" s="12"/>
      <c r="C983" s="12" t="s">
        <v>6</v>
      </c>
      <c r="D983" s="12"/>
      <c r="E983" s="12" t="s">
        <v>6</v>
      </c>
    </row>
    <row r="984" ht="15.75" customHeight="1">
      <c r="A984" s="12"/>
      <c r="B984" s="12"/>
      <c r="C984" s="12" t="s">
        <v>6</v>
      </c>
      <c r="D984" s="12"/>
      <c r="E984" s="12" t="s">
        <v>6</v>
      </c>
    </row>
    <row r="985" ht="15.75" customHeight="1">
      <c r="A985" s="12"/>
      <c r="B985" s="12"/>
      <c r="C985" s="12" t="s">
        <v>6</v>
      </c>
      <c r="D985" s="12"/>
      <c r="E985" s="12" t="s">
        <v>6</v>
      </c>
    </row>
    <row r="986" ht="15.75" customHeight="1">
      <c r="A986" s="12"/>
      <c r="B986" s="12"/>
      <c r="C986" s="12" t="s">
        <v>6</v>
      </c>
      <c r="D986" s="12"/>
      <c r="E986" s="12" t="s">
        <v>6</v>
      </c>
    </row>
    <row r="987" ht="15.75" customHeight="1">
      <c r="A987" s="12"/>
      <c r="B987" s="12"/>
      <c r="C987" s="12" t="s">
        <v>6</v>
      </c>
      <c r="D987" s="12"/>
      <c r="E987" s="12" t="s">
        <v>6</v>
      </c>
    </row>
    <row r="988" ht="15.75" customHeight="1">
      <c r="A988" s="12"/>
      <c r="B988" s="12"/>
      <c r="C988" s="12" t="s">
        <v>6</v>
      </c>
      <c r="D988" s="12"/>
      <c r="E988" s="12" t="s">
        <v>6</v>
      </c>
    </row>
    <row r="989" ht="15.75" customHeight="1">
      <c r="A989" s="12"/>
      <c r="B989" s="12"/>
      <c r="C989" s="12" t="s">
        <v>6</v>
      </c>
      <c r="D989" s="12"/>
      <c r="E989" s="12" t="s">
        <v>6</v>
      </c>
    </row>
    <row r="990" ht="15.75" customHeight="1">
      <c r="A990" s="12"/>
      <c r="B990" s="12"/>
      <c r="C990" s="12" t="s">
        <v>6</v>
      </c>
      <c r="D990" s="12"/>
      <c r="E990" s="12" t="s">
        <v>6</v>
      </c>
    </row>
    <row r="991" ht="15.75" customHeight="1">
      <c r="A991" s="12"/>
      <c r="B991" s="12"/>
      <c r="C991" s="12" t="s">
        <v>6</v>
      </c>
      <c r="D991" s="12"/>
      <c r="E991" s="12" t="s">
        <v>6</v>
      </c>
    </row>
    <row r="992" ht="15.75" customHeight="1">
      <c r="A992" s="12"/>
      <c r="B992" s="12"/>
      <c r="C992" s="12" t="s">
        <v>6</v>
      </c>
      <c r="D992" s="12"/>
      <c r="E992" s="12" t="s">
        <v>6</v>
      </c>
    </row>
    <row r="993" ht="15.75" customHeight="1"/>
    <row r="994" ht="15.75" customHeight="1"/>
  </sheetData>
  <dataValidations>
    <dataValidation type="list" allowBlank="1" showErrorMessage="1" sqref="B7:B8">
      <formula1>'Check-in'!$B$2:$B1005</formula1>
    </dataValidation>
    <dataValidation type="list" allowBlank="1" showErrorMessage="1" sqref="B2:B6">
      <formula1>'Check-in'!$B$2:$B998</formula1>
    </dataValidation>
    <dataValidation type="custom" allowBlank="1" showDropDown="1" showErrorMessage="1" sqref="A2:A338 A340:A992">
      <formula1>OR(NOT(ISERROR(DATEVALUE(A2))), AND(ISNUMBER(A2), LEFT(CELL("format", A2))="D"))</formula1>
    </dataValidation>
    <dataValidation type="decimal" operator="greaterThan" allowBlank="1" showDropDown="1" showErrorMessage="1" sqref="D2:D992">
      <formula1>0.0</formula1>
    </dataValidation>
    <dataValidation type="list" allowBlank="1" showErrorMessage="1" sqref="B16:B992">
      <formula1>'Check-in'!$B$2:$B1018</formula1>
    </dataValidation>
    <dataValidation type="list" allowBlank="1" showErrorMessage="1" sqref="B9:B15">
      <formula1>'Check-in'!$B$2:$B1009</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15.13"/>
    <col customWidth="1" min="3" max="3" width="50.13"/>
    <col customWidth="1" min="4" max="5" width="15.13"/>
  </cols>
  <sheetData>
    <row r="1" ht="35.25" customHeight="1">
      <c r="A1" s="13" t="s">
        <v>7</v>
      </c>
      <c r="B1" s="13" t="s">
        <v>1</v>
      </c>
      <c r="C1" s="14" t="s">
        <v>8</v>
      </c>
      <c r="D1" s="13" t="s">
        <v>2</v>
      </c>
      <c r="E1" s="13" t="s">
        <v>9</v>
      </c>
    </row>
    <row r="2" ht="22.5" customHeight="1">
      <c r="A2" s="15"/>
      <c r="B2" s="16" t="s">
        <v>10</v>
      </c>
      <c r="C2" s="17" t="s">
        <v>11</v>
      </c>
      <c r="D2" s="18"/>
      <c r="E2" s="19" t="s">
        <v>5</v>
      </c>
    </row>
    <row r="3" ht="22.5" customHeight="1">
      <c r="A3" s="15"/>
      <c r="B3" s="16" t="s">
        <v>12</v>
      </c>
      <c r="C3" s="17" t="s">
        <v>13</v>
      </c>
      <c r="D3" s="18"/>
      <c r="E3" s="19" t="s">
        <v>5</v>
      </c>
    </row>
    <row r="4" ht="22.5" customHeight="1">
      <c r="A4" s="15"/>
      <c r="B4" s="20" t="s">
        <v>14</v>
      </c>
      <c r="C4" s="21" t="s">
        <v>15</v>
      </c>
      <c r="D4" s="18"/>
      <c r="E4" s="19" t="s">
        <v>5</v>
      </c>
    </row>
    <row r="5" ht="22.5" customHeight="1">
      <c r="A5" s="15"/>
      <c r="B5" s="16" t="s">
        <v>16</v>
      </c>
      <c r="C5" s="17" t="s">
        <v>17</v>
      </c>
      <c r="D5" s="18"/>
      <c r="E5" s="19" t="s">
        <v>5</v>
      </c>
    </row>
    <row r="6" ht="22.5" customHeight="1">
      <c r="A6" s="15"/>
      <c r="B6" s="20" t="s">
        <v>18</v>
      </c>
      <c r="C6" s="21" t="s">
        <v>19</v>
      </c>
      <c r="D6" s="18"/>
      <c r="E6" s="19" t="s">
        <v>5</v>
      </c>
    </row>
    <row r="7" ht="22.5" customHeight="1">
      <c r="A7" s="15"/>
      <c r="B7" s="20" t="s">
        <v>20</v>
      </c>
      <c r="C7" s="21" t="s">
        <v>21</v>
      </c>
      <c r="D7" s="22"/>
      <c r="E7" s="19" t="s">
        <v>5</v>
      </c>
    </row>
    <row r="8" ht="22.5" customHeight="1">
      <c r="A8" s="15"/>
      <c r="B8" s="16" t="s">
        <v>22</v>
      </c>
      <c r="C8" s="17" t="s">
        <v>23</v>
      </c>
      <c r="D8" s="18"/>
      <c r="E8" s="19" t="s">
        <v>5</v>
      </c>
    </row>
    <row r="9" ht="22.5" customHeight="1">
      <c r="A9" s="15"/>
      <c r="B9" s="16" t="s">
        <v>24</v>
      </c>
      <c r="C9" s="17" t="s">
        <v>25</v>
      </c>
      <c r="D9" s="18"/>
      <c r="E9" s="19" t="s">
        <v>5</v>
      </c>
    </row>
    <row r="10" ht="22.5" customHeight="1">
      <c r="A10" s="15"/>
      <c r="B10" s="20" t="s">
        <v>3</v>
      </c>
      <c r="C10" s="21" t="s">
        <v>4</v>
      </c>
      <c r="D10" s="22"/>
      <c r="E10" s="19" t="s">
        <v>5</v>
      </c>
    </row>
    <row r="11" ht="22.5" customHeight="1">
      <c r="A11" s="15"/>
      <c r="B11" s="16" t="s">
        <v>26</v>
      </c>
      <c r="C11" s="17" t="s">
        <v>27</v>
      </c>
      <c r="D11" s="22"/>
      <c r="E11" s="19" t="s">
        <v>5</v>
      </c>
    </row>
    <row r="12" ht="22.5" customHeight="1">
      <c r="A12" s="15"/>
      <c r="B12" s="16" t="s">
        <v>28</v>
      </c>
      <c r="C12" s="17" t="s">
        <v>29</v>
      </c>
      <c r="D12" s="22"/>
      <c r="E12" s="19" t="s">
        <v>5</v>
      </c>
    </row>
    <row r="13" ht="22.5" customHeight="1">
      <c r="A13" s="15"/>
      <c r="B13" s="16" t="s">
        <v>30</v>
      </c>
      <c r="C13" s="17" t="s">
        <v>31</v>
      </c>
      <c r="D13" s="18"/>
      <c r="E13" s="19" t="s">
        <v>5</v>
      </c>
    </row>
    <row r="14" ht="22.5" customHeight="1">
      <c r="A14" s="15"/>
      <c r="B14" s="16" t="s">
        <v>32</v>
      </c>
      <c r="C14" s="17" t="s">
        <v>33</v>
      </c>
      <c r="D14" s="22"/>
      <c r="E14" s="19" t="s">
        <v>5</v>
      </c>
    </row>
    <row r="15" ht="22.5" customHeight="1">
      <c r="A15" s="15"/>
      <c r="B15" s="16" t="s">
        <v>34</v>
      </c>
      <c r="C15" s="17" t="s">
        <v>35</v>
      </c>
      <c r="D15" s="18"/>
      <c r="E15" s="19" t="s">
        <v>5</v>
      </c>
    </row>
    <row r="16" ht="22.5" customHeight="1">
      <c r="A16" s="15"/>
      <c r="B16" s="16" t="s">
        <v>36</v>
      </c>
      <c r="C16" s="17" t="s">
        <v>37</v>
      </c>
      <c r="D16" s="22"/>
      <c r="E16" s="19" t="s">
        <v>5</v>
      </c>
    </row>
    <row r="17" ht="22.5" customHeight="1">
      <c r="A17" s="15"/>
      <c r="B17" s="16" t="s">
        <v>38</v>
      </c>
      <c r="C17" s="17" t="s">
        <v>39</v>
      </c>
      <c r="D17" s="22"/>
      <c r="E17" s="19" t="s">
        <v>5</v>
      </c>
    </row>
    <row r="18" ht="22.5" customHeight="1">
      <c r="A18" s="15"/>
      <c r="B18" s="20" t="s">
        <v>40</v>
      </c>
      <c r="C18" s="21" t="s">
        <v>41</v>
      </c>
      <c r="D18" s="18"/>
      <c r="E18" s="19" t="s">
        <v>5</v>
      </c>
    </row>
    <row r="19" ht="22.5" customHeight="1">
      <c r="A19" s="15"/>
      <c r="B19" s="16" t="s">
        <v>42</v>
      </c>
      <c r="C19" s="17" t="s">
        <v>43</v>
      </c>
      <c r="D19" s="22"/>
      <c r="E19" s="19" t="s">
        <v>5</v>
      </c>
    </row>
    <row r="20" ht="22.5" customHeight="1">
      <c r="A20" s="15"/>
      <c r="B20" s="16" t="s">
        <v>44</v>
      </c>
      <c r="C20" s="17" t="s">
        <v>45</v>
      </c>
      <c r="D20" s="18"/>
      <c r="E20" s="19" t="s">
        <v>5</v>
      </c>
    </row>
    <row r="21" ht="22.5" customHeight="1">
      <c r="A21" s="15"/>
      <c r="B21" s="16" t="s">
        <v>46</v>
      </c>
      <c r="C21" s="17" t="s">
        <v>47</v>
      </c>
      <c r="D21" s="18"/>
      <c r="E21" s="19" t="s">
        <v>5</v>
      </c>
    </row>
    <row r="22" ht="22.5" customHeight="1">
      <c r="A22" s="15"/>
      <c r="B22" s="20" t="s">
        <v>48</v>
      </c>
      <c r="C22" s="21" t="s">
        <v>49</v>
      </c>
      <c r="D22" s="18"/>
      <c r="E22" s="19" t="s">
        <v>5</v>
      </c>
    </row>
    <row r="23" ht="22.5" customHeight="1">
      <c r="A23" s="15"/>
      <c r="B23" s="16" t="s">
        <v>50</v>
      </c>
      <c r="C23" s="17" t="s">
        <v>51</v>
      </c>
      <c r="D23" s="18"/>
      <c r="E23" s="19" t="s">
        <v>5</v>
      </c>
    </row>
    <row r="24" ht="22.5" customHeight="1">
      <c r="A24" s="15"/>
      <c r="B24" s="16" t="s">
        <v>52</v>
      </c>
      <c r="C24" s="17" t="s">
        <v>53</v>
      </c>
      <c r="D24" s="22"/>
      <c r="E24" s="19" t="s">
        <v>5</v>
      </c>
    </row>
    <row r="25" ht="22.5" customHeight="1">
      <c r="A25" s="15"/>
      <c r="B25" s="16" t="s">
        <v>54</v>
      </c>
      <c r="C25" s="17" t="s">
        <v>55</v>
      </c>
      <c r="D25" s="18"/>
      <c r="E25" s="19" t="s">
        <v>5</v>
      </c>
    </row>
    <row r="26" ht="22.5" customHeight="1">
      <c r="A26" s="15"/>
      <c r="B26" s="16" t="s">
        <v>56</v>
      </c>
      <c r="C26" s="17" t="s">
        <v>57</v>
      </c>
      <c r="D26" s="18"/>
      <c r="E26" s="19" t="s">
        <v>5</v>
      </c>
    </row>
    <row r="27" ht="22.5" customHeight="1">
      <c r="A27" s="15"/>
      <c r="B27" s="20" t="s">
        <v>58</v>
      </c>
      <c r="C27" s="21" t="s">
        <v>59</v>
      </c>
      <c r="D27" s="18"/>
      <c r="E27" s="19" t="s">
        <v>5</v>
      </c>
    </row>
    <row r="28" ht="22.5" customHeight="1">
      <c r="A28" s="15"/>
      <c r="B28" s="16" t="s">
        <v>60</v>
      </c>
      <c r="C28" s="17" t="s">
        <v>61</v>
      </c>
      <c r="D28" s="22"/>
      <c r="E28" s="19" t="s">
        <v>5</v>
      </c>
    </row>
    <row r="29" ht="22.5" customHeight="1">
      <c r="A29" s="15"/>
      <c r="B29" s="16" t="s">
        <v>62</v>
      </c>
      <c r="C29" s="17" t="s">
        <v>63</v>
      </c>
      <c r="D29" s="18"/>
      <c r="E29" s="19" t="s">
        <v>5</v>
      </c>
    </row>
    <row r="30" ht="22.5" customHeight="1">
      <c r="A30" s="15"/>
      <c r="B30" s="16" t="s">
        <v>64</v>
      </c>
      <c r="C30" s="17" t="s">
        <v>65</v>
      </c>
      <c r="D30" s="22"/>
      <c r="E30" s="19" t="s">
        <v>5</v>
      </c>
    </row>
    <row r="31" ht="22.5" customHeight="1">
      <c r="A31" s="15"/>
      <c r="B31" s="20" t="s">
        <v>66</v>
      </c>
      <c r="C31" s="21" t="s">
        <v>67</v>
      </c>
      <c r="D31" s="18"/>
      <c r="E31" s="19" t="s">
        <v>5</v>
      </c>
    </row>
    <row r="32" ht="22.5" customHeight="1">
      <c r="A32" s="15"/>
      <c r="B32" s="16" t="s">
        <v>68</v>
      </c>
      <c r="C32" s="17" t="s">
        <v>69</v>
      </c>
      <c r="D32" s="22"/>
      <c r="E32" s="19" t="s">
        <v>5</v>
      </c>
    </row>
    <row r="33" ht="22.5" customHeight="1">
      <c r="A33" s="15"/>
      <c r="B33" s="16" t="s">
        <v>70</v>
      </c>
      <c r="C33" s="17" t="s">
        <v>71</v>
      </c>
      <c r="D33" s="18"/>
      <c r="E33" s="19" t="s">
        <v>5</v>
      </c>
    </row>
    <row r="34" ht="22.5" customHeight="1">
      <c r="A34" s="15"/>
      <c r="B34" s="20" t="s">
        <v>72</v>
      </c>
      <c r="C34" s="21" t="s">
        <v>73</v>
      </c>
      <c r="D34" s="18"/>
      <c r="E34" s="19" t="s">
        <v>5</v>
      </c>
    </row>
    <row r="35" ht="22.5" customHeight="1">
      <c r="A35" s="15"/>
      <c r="B35" s="16" t="s">
        <v>74</v>
      </c>
      <c r="C35" s="17" t="s">
        <v>75</v>
      </c>
      <c r="D35" s="22"/>
      <c r="E35" s="19" t="s">
        <v>5</v>
      </c>
    </row>
    <row r="36" ht="22.5" customHeight="1">
      <c r="A36" s="15"/>
      <c r="B36" s="16" t="s">
        <v>76</v>
      </c>
      <c r="C36" s="17" t="s">
        <v>77</v>
      </c>
      <c r="D36" s="18"/>
      <c r="E36" s="19" t="s">
        <v>5</v>
      </c>
    </row>
    <row r="37" ht="22.5" customHeight="1">
      <c r="A37" s="15"/>
      <c r="B37" s="16" t="s">
        <v>78</v>
      </c>
      <c r="C37" s="17" t="s">
        <v>79</v>
      </c>
      <c r="D37" s="18"/>
      <c r="E37" s="19" t="s">
        <v>5</v>
      </c>
    </row>
    <row r="38" ht="22.5" customHeight="1">
      <c r="A38" s="15"/>
      <c r="B38" s="20" t="s">
        <v>80</v>
      </c>
      <c r="C38" s="21" t="s">
        <v>81</v>
      </c>
      <c r="D38" s="18"/>
      <c r="E38" s="19" t="s">
        <v>5</v>
      </c>
    </row>
    <row r="39" ht="22.5" customHeight="1">
      <c r="A39" s="23"/>
      <c r="B39" s="16" t="s">
        <v>82</v>
      </c>
      <c r="C39" s="17" t="s">
        <v>83</v>
      </c>
      <c r="D39" s="18"/>
      <c r="E39" s="19" t="s">
        <v>5</v>
      </c>
    </row>
    <row r="40" ht="22.5" customHeight="1">
      <c r="A40" s="15"/>
      <c r="B40" s="16" t="s">
        <v>84</v>
      </c>
      <c r="C40" s="17" t="s">
        <v>85</v>
      </c>
      <c r="D40" s="18"/>
      <c r="E40" s="19" t="s">
        <v>5</v>
      </c>
    </row>
    <row r="41" ht="22.5" customHeight="1">
      <c r="A41" s="23"/>
      <c r="B41" s="16" t="s">
        <v>86</v>
      </c>
      <c r="C41" s="17" t="s">
        <v>87</v>
      </c>
      <c r="D41" s="18"/>
      <c r="E41" s="19" t="s">
        <v>5</v>
      </c>
    </row>
    <row r="42" ht="22.5" customHeight="1">
      <c r="A42" s="23"/>
      <c r="B42" s="16" t="s">
        <v>88</v>
      </c>
      <c r="C42" s="17" t="s">
        <v>89</v>
      </c>
      <c r="D42" s="18"/>
      <c r="E42" s="19" t="s">
        <v>5</v>
      </c>
    </row>
    <row r="43" ht="22.5" customHeight="1">
      <c r="A43" s="15"/>
      <c r="B43" s="20" t="s">
        <v>90</v>
      </c>
      <c r="C43" s="21" t="s">
        <v>91</v>
      </c>
      <c r="D43" s="22"/>
      <c r="E43" s="19" t="s">
        <v>5</v>
      </c>
    </row>
    <row r="44" ht="22.5" customHeight="1">
      <c r="A44" s="15"/>
      <c r="B44" s="16" t="s">
        <v>92</v>
      </c>
      <c r="C44" s="17" t="s">
        <v>93</v>
      </c>
      <c r="D44" s="22"/>
      <c r="E44" s="19" t="s">
        <v>5</v>
      </c>
    </row>
    <row r="45" ht="22.5" customHeight="1">
      <c r="A45" s="15"/>
      <c r="B45" s="20" t="s">
        <v>94</v>
      </c>
      <c r="C45" s="21" t="s">
        <v>95</v>
      </c>
      <c r="D45" s="22"/>
      <c r="E45" s="19" t="s">
        <v>5</v>
      </c>
    </row>
    <row r="46" ht="22.5" customHeight="1">
      <c r="A46" s="15"/>
      <c r="B46" s="20" t="s">
        <v>96</v>
      </c>
      <c r="C46" s="21" t="s">
        <v>97</v>
      </c>
      <c r="D46" s="22"/>
      <c r="E46" s="19" t="s">
        <v>5</v>
      </c>
    </row>
    <row r="47" ht="22.5" customHeight="1">
      <c r="A47" s="23"/>
      <c r="B47" s="20" t="s">
        <v>98</v>
      </c>
      <c r="C47" s="21" t="s">
        <v>99</v>
      </c>
      <c r="D47" s="18"/>
      <c r="E47" s="19" t="s">
        <v>5</v>
      </c>
    </row>
    <row r="48" ht="22.5" customHeight="1">
      <c r="A48" s="15"/>
      <c r="B48" s="16" t="s">
        <v>100</v>
      </c>
      <c r="C48" s="17" t="s">
        <v>101</v>
      </c>
      <c r="D48" s="22"/>
      <c r="E48" s="19" t="s">
        <v>5</v>
      </c>
    </row>
    <row r="49" ht="22.5" customHeight="1">
      <c r="A49" s="23"/>
      <c r="B49" s="16" t="s">
        <v>102</v>
      </c>
      <c r="C49" s="17" t="s">
        <v>103</v>
      </c>
      <c r="D49" s="18"/>
      <c r="E49" s="19" t="s">
        <v>5</v>
      </c>
    </row>
    <row r="50" ht="22.5" customHeight="1">
      <c r="A50" s="23"/>
      <c r="B50" s="16" t="s">
        <v>104</v>
      </c>
      <c r="C50" s="17" t="s">
        <v>105</v>
      </c>
      <c r="D50" s="18"/>
      <c r="E50" s="19" t="s">
        <v>5</v>
      </c>
    </row>
    <row r="51" ht="22.5" customHeight="1">
      <c r="A51" s="15"/>
      <c r="B51" s="16" t="s">
        <v>106</v>
      </c>
      <c r="C51" s="17" t="s">
        <v>107</v>
      </c>
      <c r="D51" s="22"/>
      <c r="E51" s="19" t="s">
        <v>5</v>
      </c>
    </row>
    <row r="52" ht="22.5" customHeight="1">
      <c r="A52" s="23"/>
      <c r="B52" s="16" t="s">
        <v>108</v>
      </c>
      <c r="C52" s="17" t="s">
        <v>109</v>
      </c>
      <c r="D52" s="18"/>
      <c r="E52" s="19" t="s">
        <v>5</v>
      </c>
    </row>
    <row r="53" ht="22.5" customHeight="1">
      <c r="A53" s="23"/>
      <c r="B53" s="16" t="s">
        <v>110</v>
      </c>
      <c r="C53" s="17" t="s">
        <v>111</v>
      </c>
      <c r="D53" s="22"/>
      <c r="E53" s="19" t="s">
        <v>5</v>
      </c>
    </row>
    <row r="54" ht="22.5" customHeight="1">
      <c r="A54" s="23"/>
      <c r="B54" s="20" t="s">
        <v>112</v>
      </c>
      <c r="C54" s="21" t="s">
        <v>113</v>
      </c>
      <c r="D54" s="18"/>
      <c r="E54" s="19" t="s">
        <v>5</v>
      </c>
    </row>
    <row r="55" ht="22.5" customHeight="1">
      <c r="A55" s="23"/>
      <c r="B55" s="16" t="s">
        <v>114</v>
      </c>
      <c r="C55" s="17" t="s">
        <v>115</v>
      </c>
      <c r="D55" s="18"/>
      <c r="E55" s="19" t="s">
        <v>5</v>
      </c>
    </row>
    <row r="56" ht="22.5" customHeight="1">
      <c r="A56" s="15"/>
      <c r="B56" s="16" t="s">
        <v>116</v>
      </c>
      <c r="C56" s="17" t="s">
        <v>117</v>
      </c>
      <c r="D56" s="22"/>
      <c r="E56" s="19" t="s">
        <v>5</v>
      </c>
    </row>
    <row r="57" ht="22.5" customHeight="1">
      <c r="A57" s="15"/>
      <c r="B57" s="16" t="s">
        <v>118</v>
      </c>
      <c r="C57" s="17" t="s">
        <v>119</v>
      </c>
      <c r="D57" s="22"/>
      <c r="E57" s="19" t="s">
        <v>5</v>
      </c>
    </row>
    <row r="58" ht="22.5" customHeight="1">
      <c r="A58" s="15"/>
      <c r="B58" s="16" t="s">
        <v>120</v>
      </c>
      <c r="C58" s="17" t="s">
        <v>121</v>
      </c>
      <c r="D58" s="22"/>
      <c r="E58" s="19" t="s">
        <v>5</v>
      </c>
    </row>
    <row r="59" ht="22.5" customHeight="1">
      <c r="A59" s="15"/>
      <c r="B59" s="16" t="s">
        <v>122</v>
      </c>
      <c r="C59" s="17" t="s">
        <v>123</v>
      </c>
      <c r="D59" s="22"/>
      <c r="E59" s="19" t="s">
        <v>5</v>
      </c>
    </row>
    <row r="60" ht="22.5" customHeight="1">
      <c r="A60" s="15"/>
      <c r="B60" s="16" t="s">
        <v>124</v>
      </c>
      <c r="C60" s="17" t="s">
        <v>125</v>
      </c>
      <c r="D60" s="18"/>
      <c r="E60" s="19" t="s">
        <v>5</v>
      </c>
    </row>
    <row r="61" ht="22.5" customHeight="1">
      <c r="A61" s="15"/>
      <c r="B61" s="20" t="s">
        <v>126</v>
      </c>
      <c r="C61" s="21" t="s">
        <v>127</v>
      </c>
      <c r="D61" s="22"/>
      <c r="E61" s="19" t="s">
        <v>5</v>
      </c>
    </row>
    <row r="62" ht="22.5" customHeight="1">
      <c r="A62" s="15"/>
      <c r="B62" s="16" t="s">
        <v>128</v>
      </c>
      <c r="C62" s="17" t="s">
        <v>129</v>
      </c>
      <c r="D62" s="22"/>
      <c r="E62" s="19" t="s">
        <v>5</v>
      </c>
    </row>
    <row r="63" ht="22.5" customHeight="1">
      <c r="A63" s="15"/>
      <c r="B63" s="20" t="s">
        <v>130</v>
      </c>
      <c r="C63" s="21" t="s">
        <v>131</v>
      </c>
      <c r="D63" s="22"/>
      <c r="E63" s="19" t="s">
        <v>5</v>
      </c>
    </row>
    <row r="64" ht="22.5" customHeight="1">
      <c r="A64" s="15"/>
      <c r="B64" s="16" t="s">
        <v>132</v>
      </c>
      <c r="C64" s="17" t="s">
        <v>133</v>
      </c>
      <c r="D64" s="18"/>
      <c r="E64" s="19" t="s">
        <v>5</v>
      </c>
    </row>
    <row r="65" ht="22.5" customHeight="1">
      <c r="A65" s="15"/>
      <c r="B65" s="16" t="s">
        <v>134</v>
      </c>
      <c r="C65" s="17" t="s">
        <v>135</v>
      </c>
      <c r="D65" s="22"/>
      <c r="E65" s="19" t="s">
        <v>5</v>
      </c>
    </row>
    <row r="66" ht="22.5" customHeight="1">
      <c r="A66" s="15"/>
      <c r="B66" s="16" t="s">
        <v>136</v>
      </c>
      <c r="C66" s="17" t="s">
        <v>137</v>
      </c>
      <c r="D66" s="22"/>
      <c r="E66" s="19" t="s">
        <v>5</v>
      </c>
    </row>
    <row r="67" ht="22.5" customHeight="1">
      <c r="A67" s="15"/>
      <c r="B67" s="16" t="s">
        <v>138</v>
      </c>
      <c r="C67" s="17" t="s">
        <v>139</v>
      </c>
      <c r="D67" s="22"/>
      <c r="E67" s="19" t="s">
        <v>5</v>
      </c>
    </row>
    <row r="68" ht="22.5" customHeight="1">
      <c r="A68" s="15"/>
      <c r="B68" s="16" t="s">
        <v>140</v>
      </c>
      <c r="C68" s="17" t="s">
        <v>141</v>
      </c>
      <c r="D68" s="18"/>
      <c r="E68" s="19" t="s">
        <v>5</v>
      </c>
    </row>
    <row r="69" ht="22.5" customHeight="1">
      <c r="A69" s="15"/>
      <c r="B69" s="16" t="s">
        <v>142</v>
      </c>
      <c r="C69" s="17" t="s">
        <v>143</v>
      </c>
      <c r="D69" s="18"/>
      <c r="E69" s="19" t="s">
        <v>5</v>
      </c>
    </row>
    <row r="70" ht="22.5" customHeight="1">
      <c r="A70" s="15"/>
      <c r="B70" s="16" t="s">
        <v>144</v>
      </c>
      <c r="C70" s="17" t="s">
        <v>145</v>
      </c>
      <c r="D70" s="22"/>
      <c r="E70" s="19" t="s">
        <v>5</v>
      </c>
    </row>
    <row r="71" ht="22.5" customHeight="1">
      <c r="A71" s="15"/>
      <c r="B71" s="16" t="s">
        <v>146</v>
      </c>
      <c r="C71" s="17" t="s">
        <v>147</v>
      </c>
      <c r="D71" s="18"/>
      <c r="E71" s="19" t="s">
        <v>5</v>
      </c>
    </row>
    <row r="72" ht="22.5" customHeight="1">
      <c r="A72" s="15"/>
      <c r="B72" s="16" t="s">
        <v>148</v>
      </c>
      <c r="C72" s="17" t="s">
        <v>149</v>
      </c>
      <c r="D72" s="18"/>
      <c r="E72" s="19" t="s">
        <v>5</v>
      </c>
    </row>
    <row r="73" ht="22.5" customHeight="1">
      <c r="A73" s="15"/>
      <c r="B73" s="16" t="s">
        <v>150</v>
      </c>
      <c r="C73" s="17" t="s">
        <v>151</v>
      </c>
      <c r="D73" s="22"/>
      <c r="E73" s="19" t="s">
        <v>5</v>
      </c>
    </row>
    <row r="74" ht="22.5" customHeight="1">
      <c r="A74" s="15"/>
      <c r="B74" s="20" t="s">
        <v>152</v>
      </c>
      <c r="C74" s="21" t="s">
        <v>153</v>
      </c>
      <c r="D74" s="22"/>
      <c r="E74" s="19" t="s">
        <v>5</v>
      </c>
    </row>
    <row r="75" ht="22.5" customHeight="1">
      <c r="A75" s="15"/>
      <c r="B75" s="20" t="s">
        <v>154</v>
      </c>
      <c r="C75" s="21" t="s">
        <v>155</v>
      </c>
      <c r="D75" s="22"/>
      <c r="E75" s="19" t="s">
        <v>5</v>
      </c>
    </row>
    <row r="76" ht="22.5" customHeight="1">
      <c r="A76" s="15"/>
      <c r="B76" s="16" t="s">
        <v>156</v>
      </c>
      <c r="C76" s="17" t="s">
        <v>157</v>
      </c>
      <c r="D76" s="22"/>
      <c r="E76" s="19" t="s">
        <v>5</v>
      </c>
    </row>
    <row r="77" ht="22.5" customHeight="1">
      <c r="A77" s="15"/>
      <c r="B77" s="16" t="s">
        <v>158</v>
      </c>
      <c r="C77" s="17" t="s">
        <v>159</v>
      </c>
      <c r="D77" s="22"/>
      <c r="E77" s="19" t="s">
        <v>5</v>
      </c>
    </row>
    <row r="78" ht="22.5" customHeight="1">
      <c r="A78" s="15"/>
      <c r="B78" s="16" t="s">
        <v>160</v>
      </c>
      <c r="C78" s="17" t="s">
        <v>161</v>
      </c>
      <c r="D78" s="18"/>
      <c r="E78" s="19" t="s">
        <v>5</v>
      </c>
    </row>
    <row r="79" ht="22.5" customHeight="1">
      <c r="A79" s="15"/>
      <c r="B79" s="16" t="s">
        <v>112</v>
      </c>
      <c r="C79" s="17" t="s">
        <v>162</v>
      </c>
      <c r="D79" s="18"/>
      <c r="E79" s="19" t="s">
        <v>5</v>
      </c>
    </row>
    <row r="80" ht="22.5" customHeight="1">
      <c r="A80" s="15"/>
      <c r="B80" s="16" t="s">
        <v>163</v>
      </c>
      <c r="C80" s="17" t="s">
        <v>164</v>
      </c>
      <c r="D80" s="22"/>
      <c r="E80" s="19" t="s">
        <v>5</v>
      </c>
    </row>
    <row r="81" ht="22.5" customHeight="1">
      <c r="A81" s="15"/>
      <c r="B81" s="16" t="s">
        <v>165</v>
      </c>
      <c r="C81" s="17" t="s">
        <v>166</v>
      </c>
      <c r="D81" s="22"/>
      <c r="E81" s="19" t="s">
        <v>5</v>
      </c>
    </row>
    <row r="82" ht="22.5" customHeight="1">
      <c r="A82" s="15"/>
      <c r="B82" s="16" t="s">
        <v>167</v>
      </c>
      <c r="C82" s="17" t="s">
        <v>168</v>
      </c>
      <c r="D82" s="18"/>
      <c r="E82" s="19" t="s">
        <v>5</v>
      </c>
    </row>
    <row r="83" ht="22.5" customHeight="1">
      <c r="A83" s="15"/>
      <c r="B83" s="16" t="s">
        <v>169</v>
      </c>
      <c r="C83" s="17" t="s">
        <v>170</v>
      </c>
      <c r="D83" s="22"/>
      <c r="E83" s="19" t="s">
        <v>5</v>
      </c>
    </row>
    <row r="84" ht="22.5" customHeight="1">
      <c r="A84" s="15"/>
      <c r="B84" s="16" t="s">
        <v>171</v>
      </c>
      <c r="C84" s="17" t="s">
        <v>172</v>
      </c>
      <c r="D84" s="18"/>
      <c r="E84" s="19" t="s">
        <v>5</v>
      </c>
    </row>
    <row r="85" ht="22.5" customHeight="1">
      <c r="A85" s="15"/>
      <c r="B85" s="16" t="s">
        <v>173</v>
      </c>
      <c r="C85" s="17" t="s">
        <v>174</v>
      </c>
      <c r="D85" s="22"/>
      <c r="E85" s="19" t="s">
        <v>5</v>
      </c>
    </row>
    <row r="86" ht="22.5" customHeight="1">
      <c r="A86" s="15"/>
      <c r="B86" s="16" t="s">
        <v>175</v>
      </c>
      <c r="C86" s="17" t="s">
        <v>176</v>
      </c>
      <c r="D86" s="22"/>
      <c r="E86" s="19" t="s">
        <v>5</v>
      </c>
    </row>
    <row r="87" ht="22.5" customHeight="1">
      <c r="A87" s="15"/>
      <c r="B87" s="16" t="s">
        <v>177</v>
      </c>
      <c r="C87" s="17" t="s">
        <v>178</v>
      </c>
      <c r="D87" s="22"/>
      <c r="E87" s="19" t="s">
        <v>5</v>
      </c>
    </row>
    <row r="88" ht="22.5" customHeight="1">
      <c r="A88" s="15"/>
      <c r="B88" s="20" t="s">
        <v>179</v>
      </c>
      <c r="C88" s="21" t="s">
        <v>180</v>
      </c>
      <c r="D88" s="22"/>
      <c r="E88" s="19" t="s">
        <v>5</v>
      </c>
    </row>
    <row r="89" ht="22.5" customHeight="1">
      <c r="A89" s="15"/>
      <c r="B89" s="16" t="s">
        <v>181</v>
      </c>
      <c r="C89" s="17" t="s">
        <v>182</v>
      </c>
      <c r="D89" s="22"/>
      <c r="E89" s="19" t="s">
        <v>5</v>
      </c>
    </row>
    <row r="90" ht="22.5" customHeight="1">
      <c r="A90" s="15"/>
      <c r="B90" s="16" t="s">
        <v>183</v>
      </c>
      <c r="C90" s="17" t="s">
        <v>184</v>
      </c>
      <c r="D90" s="22"/>
      <c r="E90" s="19" t="s">
        <v>5</v>
      </c>
    </row>
    <row r="91" ht="22.5" customHeight="1">
      <c r="A91" s="15"/>
      <c r="B91" s="20" t="s">
        <v>185</v>
      </c>
      <c r="C91" s="21" t="s">
        <v>186</v>
      </c>
      <c r="D91" s="22"/>
      <c r="E91" s="19" t="s">
        <v>5</v>
      </c>
    </row>
    <row r="92" ht="22.5" customHeight="1">
      <c r="A92" s="15"/>
      <c r="B92" s="16" t="s">
        <v>187</v>
      </c>
      <c r="C92" s="17" t="s">
        <v>188</v>
      </c>
      <c r="D92" s="22"/>
      <c r="E92" s="19" t="s">
        <v>5</v>
      </c>
    </row>
    <row r="93" ht="22.5" customHeight="1">
      <c r="A93" s="15"/>
      <c r="B93" s="20" t="s">
        <v>189</v>
      </c>
      <c r="C93" s="21" t="s">
        <v>190</v>
      </c>
      <c r="D93" s="22"/>
      <c r="E93" s="19" t="s">
        <v>5</v>
      </c>
    </row>
    <row r="94" ht="22.5" customHeight="1">
      <c r="A94" s="15"/>
      <c r="B94" s="16" t="s">
        <v>191</v>
      </c>
      <c r="C94" s="17" t="s">
        <v>192</v>
      </c>
      <c r="D94" s="22"/>
      <c r="E94" s="19" t="s">
        <v>5</v>
      </c>
    </row>
    <row r="95" ht="22.5" customHeight="1">
      <c r="A95" s="15"/>
      <c r="B95" s="16" t="s">
        <v>193</v>
      </c>
      <c r="C95" s="17" t="s">
        <v>194</v>
      </c>
      <c r="D95" s="22"/>
      <c r="E95" s="19" t="s">
        <v>5</v>
      </c>
    </row>
    <row r="96" ht="22.5" customHeight="1">
      <c r="A96" s="15"/>
      <c r="B96" s="20" t="s">
        <v>195</v>
      </c>
      <c r="C96" s="21" t="s">
        <v>196</v>
      </c>
      <c r="D96" s="22"/>
      <c r="E96" s="19" t="s">
        <v>5</v>
      </c>
    </row>
    <row r="97" ht="22.5" customHeight="1">
      <c r="A97" s="15"/>
      <c r="B97" s="16" t="s">
        <v>197</v>
      </c>
      <c r="C97" s="17" t="s">
        <v>198</v>
      </c>
      <c r="D97" s="22"/>
      <c r="E97" s="19" t="s">
        <v>5</v>
      </c>
    </row>
    <row r="98" ht="22.5" customHeight="1">
      <c r="A98" s="15"/>
      <c r="B98" s="16" t="s">
        <v>199</v>
      </c>
      <c r="C98" s="17" t="s">
        <v>200</v>
      </c>
      <c r="D98" s="22"/>
      <c r="E98" s="19" t="s">
        <v>5</v>
      </c>
    </row>
    <row r="99" ht="22.5" customHeight="1">
      <c r="A99" s="15"/>
      <c r="B99" s="20" t="s">
        <v>201</v>
      </c>
      <c r="C99" s="21" t="s">
        <v>202</v>
      </c>
      <c r="D99" s="22"/>
      <c r="E99" s="19" t="s">
        <v>5</v>
      </c>
    </row>
    <row r="100" ht="22.5" customHeight="1">
      <c r="A100" s="15"/>
      <c r="B100" s="20" t="s">
        <v>203</v>
      </c>
      <c r="C100" s="21" t="s">
        <v>204</v>
      </c>
      <c r="D100" s="22"/>
      <c r="E100" s="19" t="s">
        <v>5</v>
      </c>
    </row>
    <row r="101" ht="22.5" customHeight="1">
      <c r="A101" s="15"/>
      <c r="B101" s="16" t="s">
        <v>205</v>
      </c>
      <c r="C101" s="17" t="s">
        <v>206</v>
      </c>
      <c r="D101" s="18"/>
      <c r="E101" s="19" t="s">
        <v>5</v>
      </c>
    </row>
    <row r="102" ht="22.5" customHeight="1">
      <c r="A102" s="15"/>
      <c r="B102" s="16" t="s">
        <v>207</v>
      </c>
      <c r="C102" s="17" t="s">
        <v>208</v>
      </c>
      <c r="D102" s="22"/>
      <c r="E102" s="19" t="s">
        <v>5</v>
      </c>
    </row>
    <row r="103" ht="22.5" customHeight="1">
      <c r="A103" s="15"/>
      <c r="B103" s="16" t="s">
        <v>209</v>
      </c>
      <c r="C103" s="17" t="s">
        <v>210</v>
      </c>
      <c r="D103" s="22"/>
      <c r="E103" s="19" t="s">
        <v>5</v>
      </c>
    </row>
    <row r="104" ht="22.5" customHeight="1">
      <c r="A104" s="15"/>
      <c r="B104" s="16" t="s">
        <v>211</v>
      </c>
      <c r="C104" s="17" t="s">
        <v>212</v>
      </c>
      <c r="D104" s="22"/>
      <c r="E104" s="19" t="s">
        <v>5</v>
      </c>
    </row>
    <row r="105" ht="22.5" customHeight="1">
      <c r="A105" s="15"/>
      <c r="B105" s="16" t="s">
        <v>213</v>
      </c>
      <c r="C105" s="17" t="s">
        <v>214</v>
      </c>
      <c r="D105" s="22"/>
      <c r="E105" s="19" t="s">
        <v>5</v>
      </c>
    </row>
    <row r="106" ht="22.5" customHeight="1">
      <c r="A106" s="15"/>
      <c r="B106" s="16" t="s">
        <v>215</v>
      </c>
      <c r="C106" s="17" t="s">
        <v>216</v>
      </c>
      <c r="D106" s="22"/>
      <c r="E106" s="19" t="s">
        <v>5</v>
      </c>
    </row>
    <row r="107" ht="22.5" customHeight="1">
      <c r="A107" s="15"/>
      <c r="B107" s="16" t="s">
        <v>217</v>
      </c>
      <c r="C107" s="17" t="s">
        <v>218</v>
      </c>
      <c r="D107" s="22"/>
      <c r="E107" s="19" t="s">
        <v>5</v>
      </c>
    </row>
    <row r="108" ht="22.5" customHeight="1">
      <c r="A108" s="15"/>
      <c r="B108" s="20" t="s">
        <v>219</v>
      </c>
      <c r="C108" s="21" t="s">
        <v>220</v>
      </c>
      <c r="D108" s="22"/>
      <c r="E108" s="19" t="s">
        <v>5</v>
      </c>
    </row>
    <row r="109" ht="22.5" customHeight="1">
      <c r="A109" s="15"/>
      <c r="B109" s="20" t="s">
        <v>221</v>
      </c>
      <c r="C109" s="21" t="s">
        <v>222</v>
      </c>
      <c r="D109" s="22"/>
      <c r="E109" s="19" t="s">
        <v>5</v>
      </c>
    </row>
    <row r="110" ht="22.5" customHeight="1">
      <c r="A110" s="15"/>
      <c r="B110" s="16" t="s">
        <v>223</v>
      </c>
      <c r="C110" s="17" t="s">
        <v>224</v>
      </c>
      <c r="D110" s="22"/>
      <c r="E110" s="19" t="s">
        <v>5</v>
      </c>
    </row>
    <row r="111" ht="22.5" customHeight="1">
      <c r="A111" s="15"/>
      <c r="B111" s="16" t="s">
        <v>225</v>
      </c>
      <c r="C111" s="17" t="s">
        <v>226</v>
      </c>
      <c r="D111" s="22"/>
      <c r="E111" s="19" t="s">
        <v>5</v>
      </c>
    </row>
    <row r="112" ht="22.5" customHeight="1">
      <c r="A112" s="15"/>
      <c r="B112" s="20" t="s">
        <v>227</v>
      </c>
      <c r="C112" s="21" t="s">
        <v>228</v>
      </c>
      <c r="D112" s="22"/>
      <c r="E112" s="19" t="s">
        <v>5</v>
      </c>
    </row>
    <row r="113" ht="22.5" customHeight="1">
      <c r="A113" s="15"/>
      <c r="B113" s="16" t="s">
        <v>229</v>
      </c>
      <c r="C113" s="17" t="s">
        <v>230</v>
      </c>
      <c r="D113" s="22"/>
      <c r="E113" s="19" t="s">
        <v>5</v>
      </c>
    </row>
    <row r="114" ht="22.5" customHeight="1">
      <c r="A114" s="15"/>
      <c r="B114" s="16" t="s">
        <v>231</v>
      </c>
      <c r="C114" s="17" t="s">
        <v>232</v>
      </c>
      <c r="D114" s="22"/>
      <c r="E114" s="19" t="s">
        <v>5</v>
      </c>
    </row>
    <row r="115" ht="22.5" customHeight="1">
      <c r="A115" s="15"/>
      <c r="B115" s="20" t="s">
        <v>233</v>
      </c>
      <c r="C115" s="21" t="s">
        <v>234</v>
      </c>
      <c r="D115" s="22"/>
      <c r="E115" s="19" t="s">
        <v>5</v>
      </c>
    </row>
    <row r="116" ht="22.5" customHeight="1">
      <c r="A116" s="15"/>
      <c r="B116" s="16" t="s">
        <v>235</v>
      </c>
      <c r="C116" s="17" t="s">
        <v>236</v>
      </c>
      <c r="D116" s="22"/>
      <c r="E116" s="19" t="s">
        <v>5</v>
      </c>
    </row>
    <row r="117" ht="22.5" customHeight="1">
      <c r="A117" s="15"/>
      <c r="B117" s="16" t="s">
        <v>237</v>
      </c>
      <c r="C117" s="17" t="s">
        <v>238</v>
      </c>
      <c r="D117" s="22"/>
      <c r="E117" s="19" t="s">
        <v>5</v>
      </c>
    </row>
    <row r="118" ht="22.5" customHeight="1">
      <c r="A118" s="15"/>
      <c r="B118" s="16" t="s">
        <v>239</v>
      </c>
      <c r="C118" s="17" t="s">
        <v>240</v>
      </c>
      <c r="D118" s="22"/>
      <c r="E118" s="19" t="s">
        <v>5</v>
      </c>
    </row>
    <row r="119" ht="22.5" customHeight="1">
      <c r="A119" s="15"/>
      <c r="B119" s="16" t="s">
        <v>241</v>
      </c>
      <c r="C119" s="17" t="s">
        <v>242</v>
      </c>
      <c r="D119" s="22"/>
      <c r="E119" s="19" t="s">
        <v>5</v>
      </c>
    </row>
    <row r="120" ht="22.5" customHeight="1">
      <c r="A120" s="15"/>
      <c r="B120" s="16" t="s">
        <v>243</v>
      </c>
      <c r="C120" s="17" t="s">
        <v>244</v>
      </c>
      <c r="D120" s="22"/>
      <c r="E120" s="19" t="s">
        <v>5</v>
      </c>
    </row>
    <row r="121" ht="22.5" customHeight="1">
      <c r="A121" s="15"/>
      <c r="B121" s="16" t="s">
        <v>245</v>
      </c>
      <c r="C121" s="17" t="s">
        <v>246</v>
      </c>
      <c r="D121" s="22"/>
      <c r="E121" s="19" t="s">
        <v>5</v>
      </c>
    </row>
    <row r="122" ht="22.5" customHeight="1">
      <c r="A122" s="15"/>
      <c r="B122" s="16" t="s">
        <v>247</v>
      </c>
      <c r="C122" s="17" t="s">
        <v>248</v>
      </c>
      <c r="D122" s="22"/>
      <c r="E122" s="19" t="s">
        <v>5</v>
      </c>
    </row>
    <row r="123" ht="22.5" customHeight="1">
      <c r="A123" s="15"/>
      <c r="B123" s="16" t="s">
        <v>249</v>
      </c>
      <c r="C123" s="17" t="s">
        <v>250</v>
      </c>
      <c r="D123" s="22"/>
      <c r="E123" s="19" t="s">
        <v>5</v>
      </c>
    </row>
    <row r="124" ht="22.5" customHeight="1">
      <c r="A124" s="15"/>
      <c r="B124" s="20" t="s">
        <v>251</v>
      </c>
      <c r="C124" s="21" t="s">
        <v>252</v>
      </c>
      <c r="D124" s="22"/>
      <c r="E124" s="19" t="s">
        <v>5</v>
      </c>
    </row>
    <row r="125" ht="22.5" customHeight="1">
      <c r="A125" s="15"/>
      <c r="B125" s="16" t="s">
        <v>253</v>
      </c>
      <c r="C125" s="17" t="s">
        <v>254</v>
      </c>
      <c r="D125" s="22"/>
      <c r="E125" s="19" t="s">
        <v>5</v>
      </c>
    </row>
    <row r="126" ht="22.5" customHeight="1">
      <c r="A126" s="15"/>
      <c r="B126" s="16" t="s">
        <v>255</v>
      </c>
      <c r="C126" s="17" t="s">
        <v>256</v>
      </c>
      <c r="D126" s="22"/>
      <c r="E126" s="19" t="s">
        <v>5</v>
      </c>
    </row>
    <row r="127" ht="22.5" customHeight="1">
      <c r="A127" s="15"/>
      <c r="B127" s="20" t="s">
        <v>257</v>
      </c>
      <c r="C127" s="21" t="s">
        <v>258</v>
      </c>
      <c r="D127" s="22"/>
      <c r="E127" s="19" t="s">
        <v>5</v>
      </c>
    </row>
    <row r="128" ht="22.5" customHeight="1">
      <c r="A128" s="15"/>
      <c r="B128" s="20" t="s">
        <v>259</v>
      </c>
      <c r="C128" s="21" t="s">
        <v>260</v>
      </c>
      <c r="D128" s="22"/>
      <c r="E128" s="19" t="s">
        <v>5</v>
      </c>
    </row>
    <row r="129" ht="22.5" customHeight="1">
      <c r="A129" s="15"/>
      <c r="B129" s="16" t="s">
        <v>261</v>
      </c>
      <c r="C129" s="17" t="s">
        <v>262</v>
      </c>
      <c r="D129" s="22"/>
      <c r="E129" s="19" t="s">
        <v>5</v>
      </c>
    </row>
    <row r="130" ht="22.5" customHeight="1">
      <c r="A130" s="15"/>
      <c r="B130" s="20" t="s">
        <v>263</v>
      </c>
      <c r="C130" s="21" t="s">
        <v>264</v>
      </c>
      <c r="D130" s="22"/>
      <c r="E130" s="19" t="s">
        <v>5</v>
      </c>
    </row>
    <row r="131" ht="22.5" customHeight="1">
      <c r="A131" s="15"/>
      <c r="B131" s="16" t="s">
        <v>265</v>
      </c>
      <c r="C131" s="17" t="s">
        <v>266</v>
      </c>
      <c r="D131" s="22"/>
      <c r="E131" s="19" t="s">
        <v>5</v>
      </c>
    </row>
    <row r="132" ht="22.5" customHeight="1">
      <c r="A132" s="15"/>
      <c r="B132" s="20" t="s">
        <v>267</v>
      </c>
      <c r="C132" s="21" t="s">
        <v>268</v>
      </c>
      <c r="D132" s="22"/>
      <c r="E132" s="19" t="s">
        <v>5</v>
      </c>
    </row>
    <row r="133" ht="22.5" customHeight="1">
      <c r="A133" s="15"/>
      <c r="B133" s="16" t="s">
        <v>269</v>
      </c>
      <c r="C133" s="17" t="s">
        <v>270</v>
      </c>
      <c r="D133" s="22"/>
      <c r="E133" s="19" t="s">
        <v>5</v>
      </c>
    </row>
    <row r="134" ht="22.5" customHeight="1">
      <c r="A134" s="15"/>
      <c r="B134" s="16" t="s">
        <v>271</v>
      </c>
      <c r="C134" s="17" t="s">
        <v>272</v>
      </c>
      <c r="D134" s="22"/>
      <c r="E134" s="19" t="s">
        <v>5</v>
      </c>
    </row>
    <row r="135" ht="22.5" customHeight="1">
      <c r="A135" s="15"/>
      <c r="B135" s="16" t="s">
        <v>273</v>
      </c>
      <c r="C135" s="17" t="s">
        <v>274</v>
      </c>
      <c r="D135" s="22"/>
      <c r="E135" s="19" t="s">
        <v>5</v>
      </c>
    </row>
    <row r="136" ht="22.5" customHeight="1">
      <c r="A136" s="15"/>
      <c r="B136" s="16" t="s">
        <v>275</v>
      </c>
      <c r="C136" s="17" t="s">
        <v>276</v>
      </c>
      <c r="D136" s="22"/>
      <c r="E136" s="19" t="s">
        <v>5</v>
      </c>
    </row>
    <row r="137" ht="22.5" customHeight="1">
      <c r="A137" s="15"/>
      <c r="B137" s="16" t="s">
        <v>277</v>
      </c>
      <c r="C137" s="17" t="s">
        <v>278</v>
      </c>
      <c r="D137" s="22"/>
      <c r="E137" s="19" t="s">
        <v>5</v>
      </c>
    </row>
    <row r="138" ht="22.5" customHeight="1">
      <c r="A138" s="15"/>
      <c r="B138" s="16" t="s">
        <v>279</v>
      </c>
      <c r="C138" s="17" t="s">
        <v>280</v>
      </c>
      <c r="D138" s="22"/>
      <c r="E138" s="19" t="s">
        <v>5</v>
      </c>
    </row>
    <row r="139" ht="22.5" customHeight="1">
      <c r="A139" s="15"/>
      <c r="B139" s="16" t="s">
        <v>281</v>
      </c>
      <c r="C139" s="17" t="s">
        <v>280</v>
      </c>
      <c r="D139" s="22"/>
      <c r="E139" s="19" t="s">
        <v>5</v>
      </c>
    </row>
    <row r="140" ht="22.5" customHeight="1">
      <c r="A140" s="15"/>
      <c r="B140" s="16" t="s">
        <v>282</v>
      </c>
      <c r="C140" s="17" t="s">
        <v>283</v>
      </c>
      <c r="D140" s="22"/>
      <c r="E140" s="19" t="s">
        <v>5</v>
      </c>
    </row>
    <row r="141" ht="22.5" customHeight="1">
      <c r="A141" s="15"/>
      <c r="B141" s="20" t="s">
        <v>284</v>
      </c>
      <c r="C141" s="21" t="s">
        <v>285</v>
      </c>
      <c r="D141" s="22"/>
      <c r="E141" s="19" t="s">
        <v>5</v>
      </c>
    </row>
    <row r="142" ht="22.5" customHeight="1">
      <c r="A142" s="15"/>
      <c r="B142" s="16" t="s">
        <v>286</v>
      </c>
      <c r="C142" s="17" t="s">
        <v>287</v>
      </c>
      <c r="D142" s="22"/>
      <c r="E142" s="19" t="s">
        <v>5</v>
      </c>
    </row>
    <row r="143" ht="22.5" customHeight="1">
      <c r="A143" s="15"/>
      <c r="B143" s="20" t="s">
        <v>288</v>
      </c>
      <c r="C143" s="21" t="s">
        <v>289</v>
      </c>
      <c r="D143" s="22"/>
      <c r="E143" s="19" t="s">
        <v>5</v>
      </c>
    </row>
    <row r="144" ht="22.5" customHeight="1">
      <c r="A144" s="15"/>
      <c r="B144" s="16" t="s">
        <v>275</v>
      </c>
      <c r="C144" s="17" t="s">
        <v>290</v>
      </c>
      <c r="D144" s="22"/>
      <c r="E144" s="19" t="s">
        <v>5</v>
      </c>
    </row>
    <row r="145" ht="22.5" customHeight="1">
      <c r="A145" s="15"/>
      <c r="B145" s="16" t="s">
        <v>291</v>
      </c>
      <c r="C145" s="17" t="s">
        <v>292</v>
      </c>
      <c r="D145" s="22"/>
      <c r="E145" s="19" t="s">
        <v>5</v>
      </c>
    </row>
    <row r="146" ht="22.5" customHeight="1">
      <c r="A146" s="15"/>
      <c r="B146" s="16" t="s">
        <v>293</v>
      </c>
      <c r="C146" s="17" t="s">
        <v>294</v>
      </c>
      <c r="D146" s="22"/>
      <c r="E146" s="19" t="s">
        <v>5</v>
      </c>
    </row>
    <row r="147" ht="22.5" customHeight="1">
      <c r="A147" s="15"/>
      <c r="B147" s="16" t="s">
        <v>295</v>
      </c>
      <c r="C147" s="17" t="s">
        <v>296</v>
      </c>
      <c r="D147" s="22"/>
      <c r="E147" s="19" t="s">
        <v>5</v>
      </c>
    </row>
    <row r="148" ht="22.5" customHeight="1">
      <c r="A148" s="15"/>
      <c r="B148" s="20" t="s">
        <v>297</v>
      </c>
      <c r="C148" s="21" t="s">
        <v>298</v>
      </c>
      <c r="D148" s="22"/>
      <c r="E148" s="19" t="s">
        <v>5</v>
      </c>
    </row>
    <row r="149" ht="22.5" customHeight="1">
      <c r="A149" s="15"/>
      <c r="B149" s="20" t="s">
        <v>299</v>
      </c>
      <c r="C149" s="21" t="s">
        <v>300</v>
      </c>
      <c r="D149" s="22"/>
      <c r="E149" s="19" t="s">
        <v>5</v>
      </c>
    </row>
    <row r="150" ht="22.5" customHeight="1">
      <c r="A150" s="15"/>
      <c r="B150" s="20" t="s">
        <v>301</v>
      </c>
      <c r="C150" s="21" t="s">
        <v>302</v>
      </c>
      <c r="D150" s="22"/>
      <c r="E150" s="19" t="s">
        <v>5</v>
      </c>
    </row>
    <row r="151" ht="22.5" customHeight="1">
      <c r="A151" s="15"/>
      <c r="B151" s="20" t="s">
        <v>303</v>
      </c>
      <c r="C151" s="21" t="s">
        <v>304</v>
      </c>
      <c r="D151" s="22"/>
      <c r="E151" s="19" t="s">
        <v>5</v>
      </c>
    </row>
    <row r="152" ht="22.5" customHeight="1">
      <c r="A152" s="15"/>
      <c r="B152" s="16" t="s">
        <v>305</v>
      </c>
      <c r="C152" s="17" t="s">
        <v>306</v>
      </c>
      <c r="D152" s="22"/>
      <c r="E152" s="19" t="s">
        <v>5</v>
      </c>
    </row>
    <row r="153" ht="22.5" customHeight="1">
      <c r="A153" s="15"/>
      <c r="B153" s="16" t="s">
        <v>307</v>
      </c>
      <c r="C153" s="17" t="s">
        <v>308</v>
      </c>
      <c r="D153" s="22"/>
      <c r="E153" s="19" t="s">
        <v>5</v>
      </c>
    </row>
    <row r="154" ht="22.5" customHeight="1">
      <c r="A154" s="15"/>
      <c r="B154" s="16" t="s">
        <v>309</v>
      </c>
      <c r="C154" s="17" t="s">
        <v>310</v>
      </c>
      <c r="D154" s="22"/>
      <c r="E154" s="19" t="s">
        <v>5</v>
      </c>
    </row>
    <row r="155" ht="22.5" customHeight="1">
      <c r="A155" s="15"/>
      <c r="B155" s="16" t="s">
        <v>311</v>
      </c>
      <c r="C155" s="17" t="s">
        <v>312</v>
      </c>
      <c r="D155" s="22"/>
      <c r="E155" s="19" t="s">
        <v>5</v>
      </c>
    </row>
    <row r="156" ht="22.5" customHeight="1">
      <c r="A156" s="15"/>
      <c r="B156" s="16" t="s">
        <v>313</v>
      </c>
      <c r="C156" s="17" t="s">
        <v>314</v>
      </c>
      <c r="D156" s="22"/>
      <c r="E156" s="19" t="s">
        <v>5</v>
      </c>
    </row>
    <row r="157" ht="22.5" customHeight="1">
      <c r="A157" s="15"/>
      <c r="B157" s="16" t="s">
        <v>315</v>
      </c>
      <c r="C157" s="17" t="s">
        <v>316</v>
      </c>
      <c r="D157" s="22"/>
      <c r="E157" s="19" t="s">
        <v>5</v>
      </c>
    </row>
    <row r="158" ht="22.5" customHeight="1">
      <c r="A158" s="15"/>
      <c r="B158" s="16" t="s">
        <v>317</v>
      </c>
      <c r="C158" s="17" t="s">
        <v>318</v>
      </c>
      <c r="D158" s="22"/>
      <c r="E158" s="19" t="s">
        <v>5</v>
      </c>
    </row>
    <row r="159" ht="22.5" customHeight="1">
      <c r="A159" s="15"/>
      <c r="B159" s="16" t="s">
        <v>319</v>
      </c>
      <c r="C159" s="17" t="s">
        <v>320</v>
      </c>
      <c r="D159" s="22"/>
      <c r="E159" s="19" t="s">
        <v>5</v>
      </c>
    </row>
    <row r="160" ht="22.5" customHeight="1">
      <c r="A160" s="15"/>
      <c r="B160" s="16" t="s">
        <v>321</v>
      </c>
      <c r="C160" s="17" t="s">
        <v>322</v>
      </c>
      <c r="D160" s="22"/>
      <c r="E160" s="19" t="s">
        <v>5</v>
      </c>
    </row>
    <row r="161" ht="22.5" customHeight="1">
      <c r="A161" s="15"/>
      <c r="B161" s="16" t="s">
        <v>323</v>
      </c>
      <c r="C161" s="17" t="s">
        <v>324</v>
      </c>
      <c r="D161" s="22"/>
      <c r="E161" s="19" t="s">
        <v>5</v>
      </c>
    </row>
    <row r="162" ht="22.5" customHeight="1">
      <c r="A162" s="15"/>
      <c r="B162" s="16" t="s">
        <v>325</v>
      </c>
      <c r="C162" s="17" t="s">
        <v>326</v>
      </c>
      <c r="D162" s="22"/>
      <c r="E162" s="19" t="s">
        <v>5</v>
      </c>
    </row>
    <row r="163" ht="22.5" customHeight="1">
      <c r="A163" s="15"/>
      <c r="B163" s="20" t="s">
        <v>327</v>
      </c>
      <c r="C163" s="21" t="s">
        <v>328</v>
      </c>
      <c r="D163" s="22"/>
      <c r="E163" s="19" t="s">
        <v>5</v>
      </c>
    </row>
    <row r="164" ht="22.5" customHeight="1">
      <c r="A164" s="24"/>
      <c r="B164" s="16" t="s">
        <v>329</v>
      </c>
      <c r="C164" s="17" t="s">
        <v>330</v>
      </c>
      <c r="D164" s="22"/>
      <c r="E164" s="19" t="s">
        <v>5</v>
      </c>
    </row>
    <row r="165" ht="22.5" customHeight="1">
      <c r="A165" s="24"/>
      <c r="B165" s="16" t="s">
        <v>331</v>
      </c>
      <c r="C165" s="17" t="s">
        <v>332</v>
      </c>
      <c r="D165" s="22"/>
      <c r="E165" s="19" t="s">
        <v>5</v>
      </c>
    </row>
    <row r="166" ht="22.5" customHeight="1">
      <c r="A166" s="24"/>
      <c r="B166" s="16" t="s">
        <v>333</v>
      </c>
      <c r="C166" s="17" t="s">
        <v>334</v>
      </c>
      <c r="D166" s="22"/>
      <c r="E166" s="19" t="s">
        <v>5</v>
      </c>
    </row>
    <row r="167" ht="22.5" customHeight="1">
      <c r="A167" s="24"/>
      <c r="B167" s="16" t="s">
        <v>335</v>
      </c>
      <c r="C167" s="17" t="s">
        <v>336</v>
      </c>
      <c r="D167" s="22"/>
      <c r="E167" s="19" t="s">
        <v>5</v>
      </c>
    </row>
    <row r="168" ht="22.5" customHeight="1">
      <c r="A168" s="24"/>
      <c r="B168" s="16" t="s">
        <v>337</v>
      </c>
      <c r="C168" s="17" t="s">
        <v>338</v>
      </c>
      <c r="D168" s="22"/>
      <c r="E168" s="19" t="s">
        <v>5</v>
      </c>
    </row>
    <row r="169" ht="22.5" customHeight="1">
      <c r="A169" s="24"/>
      <c r="B169" s="16" t="s">
        <v>339</v>
      </c>
      <c r="C169" s="17" t="s">
        <v>340</v>
      </c>
      <c r="D169" s="22"/>
      <c r="E169" s="19" t="s">
        <v>5</v>
      </c>
    </row>
    <row r="170" ht="22.5" customHeight="1">
      <c r="A170" s="24"/>
      <c r="B170" s="16" t="s">
        <v>341</v>
      </c>
      <c r="C170" s="17" t="s">
        <v>342</v>
      </c>
      <c r="D170" s="22"/>
      <c r="E170" s="19" t="s">
        <v>5</v>
      </c>
    </row>
    <row r="171" ht="22.5" customHeight="1">
      <c r="A171" s="24"/>
      <c r="B171" s="16" t="s">
        <v>343</v>
      </c>
      <c r="C171" s="17" t="s">
        <v>344</v>
      </c>
      <c r="D171" s="22"/>
      <c r="E171" s="19" t="s">
        <v>5</v>
      </c>
    </row>
    <row r="172" ht="22.5" customHeight="1">
      <c r="A172" s="24"/>
      <c r="B172" s="16" t="s">
        <v>345</v>
      </c>
      <c r="C172" s="17" t="s">
        <v>346</v>
      </c>
      <c r="D172" s="22"/>
      <c r="E172" s="19" t="s">
        <v>5</v>
      </c>
    </row>
    <row r="173" ht="22.5" customHeight="1">
      <c r="A173" s="24"/>
      <c r="B173" s="16" t="s">
        <v>347</v>
      </c>
      <c r="C173" s="17" t="s">
        <v>348</v>
      </c>
      <c r="D173" s="22"/>
      <c r="E173" s="19" t="s">
        <v>5</v>
      </c>
    </row>
    <row r="174" ht="22.5" customHeight="1">
      <c r="A174" s="24"/>
      <c r="B174" s="16" t="s">
        <v>349</v>
      </c>
      <c r="C174" s="17" t="s">
        <v>350</v>
      </c>
      <c r="D174" s="22"/>
      <c r="E174" s="19" t="s">
        <v>5</v>
      </c>
    </row>
    <row r="175" ht="22.5" customHeight="1">
      <c r="A175" s="24"/>
      <c r="B175" s="16" t="s">
        <v>339</v>
      </c>
      <c r="C175" s="17" t="s">
        <v>351</v>
      </c>
      <c r="D175" s="22"/>
      <c r="E175" s="19" t="s">
        <v>5</v>
      </c>
    </row>
    <row r="176" ht="22.5" customHeight="1">
      <c r="A176" s="24"/>
      <c r="B176" s="16" t="s">
        <v>352</v>
      </c>
      <c r="C176" s="17" t="s">
        <v>353</v>
      </c>
      <c r="D176" s="22"/>
      <c r="E176" s="19" t="s">
        <v>5</v>
      </c>
    </row>
    <row r="177" ht="22.5" customHeight="1">
      <c r="A177" s="24"/>
      <c r="B177" s="16" t="s">
        <v>354</v>
      </c>
      <c r="C177" s="17" t="s">
        <v>355</v>
      </c>
      <c r="D177" s="22"/>
      <c r="E177" s="19" t="s">
        <v>5</v>
      </c>
    </row>
    <row r="178" ht="22.5" customHeight="1">
      <c r="A178" s="24"/>
      <c r="B178" s="20" t="s">
        <v>356</v>
      </c>
      <c r="C178" s="21" t="s">
        <v>357</v>
      </c>
      <c r="D178" s="22"/>
      <c r="E178" s="19" t="s">
        <v>5</v>
      </c>
    </row>
    <row r="179" ht="22.5" customHeight="1">
      <c r="A179" s="24"/>
      <c r="B179" s="20" t="s">
        <v>358</v>
      </c>
      <c r="C179" s="21" t="s">
        <v>359</v>
      </c>
      <c r="D179" s="22"/>
      <c r="E179" s="19" t="s">
        <v>5</v>
      </c>
    </row>
    <row r="180" ht="22.5" customHeight="1">
      <c r="A180" s="24"/>
      <c r="B180" s="16" t="s">
        <v>360</v>
      </c>
      <c r="C180" s="17" t="s">
        <v>361</v>
      </c>
      <c r="D180" s="22"/>
      <c r="E180" s="19" t="s">
        <v>5</v>
      </c>
    </row>
    <row r="181" ht="22.5" customHeight="1">
      <c r="A181" s="24"/>
      <c r="B181" s="16" t="s">
        <v>362</v>
      </c>
      <c r="C181" s="17" t="s">
        <v>363</v>
      </c>
      <c r="D181" s="22"/>
      <c r="E181" s="19" t="s">
        <v>5</v>
      </c>
    </row>
    <row r="182" ht="22.5" customHeight="1">
      <c r="A182" s="24"/>
      <c r="B182" s="16" t="s">
        <v>364</v>
      </c>
      <c r="C182" s="17" t="s">
        <v>365</v>
      </c>
      <c r="D182" s="22"/>
      <c r="E182" s="19" t="s">
        <v>5</v>
      </c>
    </row>
    <row r="183" ht="22.5" customHeight="1">
      <c r="A183" s="24"/>
      <c r="B183" s="16" t="s">
        <v>366</v>
      </c>
      <c r="C183" s="17" t="s">
        <v>367</v>
      </c>
      <c r="D183" s="22"/>
      <c r="E183" s="19" t="s">
        <v>5</v>
      </c>
    </row>
    <row r="184" ht="22.5" customHeight="1">
      <c r="A184" s="24"/>
      <c r="B184" s="16" t="s">
        <v>368</v>
      </c>
      <c r="C184" s="17" t="s">
        <v>369</v>
      </c>
      <c r="D184" s="22"/>
      <c r="E184" s="19" t="s">
        <v>5</v>
      </c>
    </row>
    <row r="185" ht="22.5" customHeight="1">
      <c r="A185" s="24"/>
      <c r="B185" s="20" t="s">
        <v>370</v>
      </c>
      <c r="C185" s="21" t="s">
        <v>371</v>
      </c>
      <c r="D185" s="22"/>
      <c r="E185" s="19" t="s">
        <v>5</v>
      </c>
    </row>
    <row r="186" ht="22.5" customHeight="1">
      <c r="A186" s="25"/>
      <c r="B186" s="26" t="s">
        <v>370</v>
      </c>
      <c r="C186" s="27" t="s">
        <v>371</v>
      </c>
      <c r="D186" s="28"/>
      <c r="E186" s="29" t="s">
        <v>5</v>
      </c>
    </row>
    <row r="187" ht="22.5" customHeight="1">
      <c r="A187" s="25"/>
      <c r="B187" s="26" t="s">
        <v>372</v>
      </c>
      <c r="C187" s="27" t="s">
        <v>373</v>
      </c>
      <c r="D187" s="28"/>
      <c r="E187" s="29" t="s">
        <v>5</v>
      </c>
    </row>
    <row r="188" ht="22.5" customHeight="1">
      <c r="A188" s="25"/>
      <c r="B188" s="30" t="s">
        <v>374</v>
      </c>
      <c r="C188" s="31" t="s">
        <v>375</v>
      </c>
      <c r="D188" s="28"/>
      <c r="E188" s="29" t="s">
        <v>5</v>
      </c>
    </row>
    <row r="189" ht="22.5" customHeight="1">
      <c r="A189" s="25"/>
      <c r="B189" s="30" t="s">
        <v>376</v>
      </c>
      <c r="C189" s="31" t="s">
        <v>377</v>
      </c>
      <c r="D189" s="28"/>
      <c r="E189" s="29" t="s">
        <v>5</v>
      </c>
    </row>
    <row r="190" ht="22.5" customHeight="1">
      <c r="A190" s="25"/>
      <c r="B190" s="26" t="s">
        <v>378</v>
      </c>
      <c r="C190" s="27" t="s">
        <v>379</v>
      </c>
      <c r="D190" s="28"/>
      <c r="E190" s="29" t="s">
        <v>5</v>
      </c>
    </row>
    <row r="191" ht="22.5" customHeight="1">
      <c r="A191" s="32"/>
      <c r="B191" s="30" t="s">
        <v>380</v>
      </c>
      <c r="C191" s="31" t="s">
        <v>381</v>
      </c>
      <c r="D191" s="28"/>
      <c r="E191" s="29" t="s">
        <v>5</v>
      </c>
    </row>
    <row r="192" ht="22.5" customHeight="1">
      <c r="A192" s="32"/>
      <c r="B192" s="30" t="s">
        <v>382</v>
      </c>
      <c r="C192" s="31" t="s">
        <v>383</v>
      </c>
      <c r="D192" s="28"/>
      <c r="E192" s="29" t="s">
        <v>5</v>
      </c>
    </row>
    <row r="193" ht="22.5" customHeight="1">
      <c r="A193" s="32"/>
      <c r="B193" s="26" t="s">
        <v>343</v>
      </c>
      <c r="C193" s="27" t="s">
        <v>384</v>
      </c>
      <c r="D193" s="28"/>
      <c r="E193" s="29" t="s">
        <v>5</v>
      </c>
    </row>
    <row r="194" ht="22.5" customHeight="1">
      <c r="A194" s="32"/>
      <c r="B194" s="30" t="s">
        <v>385</v>
      </c>
      <c r="C194" s="31" t="s">
        <v>386</v>
      </c>
      <c r="D194" s="28"/>
      <c r="E194" s="29" t="s">
        <v>5</v>
      </c>
    </row>
    <row r="195" ht="22.5" customHeight="1">
      <c r="A195" s="32"/>
      <c r="B195" s="30" t="s">
        <v>387</v>
      </c>
      <c r="C195" s="31" t="s">
        <v>388</v>
      </c>
      <c r="D195" s="28"/>
      <c r="E195" s="29" t="s">
        <v>5</v>
      </c>
    </row>
    <row r="196" ht="22.5" customHeight="1">
      <c r="A196" s="32"/>
      <c r="B196" s="26" t="s">
        <v>389</v>
      </c>
      <c r="C196" s="27" t="s">
        <v>390</v>
      </c>
      <c r="D196" s="28"/>
      <c r="E196" s="29" t="s">
        <v>5</v>
      </c>
    </row>
    <row r="197" ht="22.5" customHeight="1">
      <c r="A197" s="32"/>
      <c r="B197" s="30" t="s">
        <v>391</v>
      </c>
      <c r="C197" s="31" t="s">
        <v>392</v>
      </c>
      <c r="D197" s="28"/>
      <c r="E197" s="29" t="s">
        <v>5</v>
      </c>
    </row>
    <row r="198" ht="22.5" customHeight="1">
      <c r="A198" s="32"/>
      <c r="B198" s="30" t="s">
        <v>393</v>
      </c>
      <c r="C198" s="31" t="s">
        <v>394</v>
      </c>
      <c r="D198" s="28"/>
      <c r="E198" s="29" t="s">
        <v>5</v>
      </c>
    </row>
    <row r="199" ht="22.5" customHeight="1">
      <c r="A199" s="32"/>
      <c r="B199" s="30" t="s">
        <v>395</v>
      </c>
      <c r="C199" s="31" t="s">
        <v>396</v>
      </c>
      <c r="D199" s="28"/>
      <c r="E199" s="29" t="s">
        <v>5</v>
      </c>
    </row>
    <row r="200" ht="22.5" customHeight="1">
      <c r="A200" s="32"/>
      <c r="B200" s="30" t="s">
        <v>397</v>
      </c>
      <c r="C200" s="31" t="s">
        <v>398</v>
      </c>
      <c r="D200" s="28"/>
      <c r="E200" s="29" t="s">
        <v>5</v>
      </c>
    </row>
    <row r="201" ht="22.5" customHeight="1">
      <c r="A201" s="32"/>
      <c r="B201" s="30" t="s">
        <v>399</v>
      </c>
      <c r="C201" s="31" t="s">
        <v>400</v>
      </c>
      <c r="D201" s="28"/>
      <c r="E201" s="29" t="s">
        <v>5</v>
      </c>
    </row>
    <row r="202" ht="22.5" customHeight="1">
      <c r="A202" s="32"/>
      <c r="B202" s="30" t="s">
        <v>401</v>
      </c>
      <c r="C202" s="31" t="s">
        <v>402</v>
      </c>
      <c r="D202" s="28"/>
      <c r="E202" s="29" t="s">
        <v>5</v>
      </c>
    </row>
    <row r="203" ht="22.5" customHeight="1">
      <c r="A203" s="32"/>
      <c r="B203" s="30" t="s">
        <v>403</v>
      </c>
      <c r="C203" s="31" t="s">
        <v>404</v>
      </c>
      <c r="D203" s="28"/>
      <c r="E203" s="29" t="s">
        <v>5</v>
      </c>
    </row>
    <row r="204" ht="22.5" customHeight="1">
      <c r="A204" s="32"/>
      <c r="B204" s="26" t="s">
        <v>405</v>
      </c>
      <c r="C204" s="27" t="s">
        <v>406</v>
      </c>
      <c r="D204" s="28"/>
      <c r="E204" s="29" t="s">
        <v>5</v>
      </c>
    </row>
    <row r="205" ht="22.5" customHeight="1">
      <c r="A205" s="32"/>
      <c r="B205" s="30" t="s">
        <v>407</v>
      </c>
      <c r="C205" s="31" t="s">
        <v>408</v>
      </c>
      <c r="D205" s="28"/>
      <c r="E205" s="29" t="s">
        <v>5</v>
      </c>
    </row>
    <row r="206" ht="22.5" customHeight="1">
      <c r="A206" s="32"/>
      <c r="B206" s="30" t="s">
        <v>409</v>
      </c>
      <c r="C206" s="31" t="s">
        <v>410</v>
      </c>
      <c r="D206" s="28"/>
      <c r="E206" s="29" t="s">
        <v>5</v>
      </c>
    </row>
    <row r="207" ht="22.5" customHeight="1">
      <c r="A207" s="32"/>
      <c r="B207" s="30" t="s">
        <v>411</v>
      </c>
      <c r="C207" s="31" t="s">
        <v>412</v>
      </c>
      <c r="D207" s="28"/>
      <c r="E207" s="29" t="s">
        <v>5</v>
      </c>
    </row>
    <row r="208" ht="22.5" customHeight="1">
      <c r="A208" s="32"/>
      <c r="B208" s="30" t="s">
        <v>413</v>
      </c>
      <c r="C208" s="31" t="s">
        <v>414</v>
      </c>
      <c r="D208" s="28"/>
      <c r="E208" s="29" t="s">
        <v>5</v>
      </c>
    </row>
    <row r="209" ht="22.5" customHeight="1">
      <c r="A209" s="32"/>
      <c r="B209" s="30" t="s">
        <v>415</v>
      </c>
      <c r="C209" s="31" t="s">
        <v>416</v>
      </c>
      <c r="D209" s="28"/>
      <c r="E209" s="29" t="s">
        <v>5</v>
      </c>
    </row>
    <row r="210" ht="22.5" customHeight="1">
      <c r="A210" s="32"/>
      <c r="B210" s="30" t="s">
        <v>417</v>
      </c>
      <c r="C210" s="31" t="s">
        <v>418</v>
      </c>
      <c r="D210" s="28"/>
      <c r="E210" s="29" t="s">
        <v>5</v>
      </c>
    </row>
    <row r="211" ht="22.5" customHeight="1">
      <c r="A211" s="32"/>
      <c r="B211" s="30" t="s">
        <v>419</v>
      </c>
      <c r="C211" s="31" t="s">
        <v>420</v>
      </c>
      <c r="D211" s="28"/>
      <c r="E211" s="29" t="s">
        <v>5</v>
      </c>
    </row>
    <row r="212" ht="22.5" customHeight="1">
      <c r="A212" s="32"/>
      <c r="B212" s="26" t="s">
        <v>421</v>
      </c>
      <c r="C212" s="27" t="s">
        <v>422</v>
      </c>
      <c r="D212" s="28"/>
      <c r="E212" s="29" t="s">
        <v>5</v>
      </c>
    </row>
    <row r="213" ht="22.5" customHeight="1">
      <c r="A213" s="32"/>
      <c r="B213" s="30" t="s">
        <v>423</v>
      </c>
      <c r="C213" s="31" t="s">
        <v>424</v>
      </c>
      <c r="D213" s="28"/>
      <c r="E213" s="29" t="s">
        <v>5</v>
      </c>
    </row>
    <row r="214" ht="22.5" customHeight="1">
      <c r="A214" s="32"/>
      <c r="B214" s="30" t="s">
        <v>425</v>
      </c>
      <c r="C214" s="31" t="s">
        <v>426</v>
      </c>
      <c r="D214" s="28"/>
      <c r="E214" s="29" t="s">
        <v>5</v>
      </c>
    </row>
    <row r="215" ht="22.5" customHeight="1">
      <c r="A215" s="32"/>
      <c r="B215" s="26" t="s">
        <v>427</v>
      </c>
      <c r="C215" s="27" t="s">
        <v>428</v>
      </c>
      <c r="D215" s="28"/>
      <c r="E215" s="29" t="s">
        <v>5</v>
      </c>
    </row>
    <row r="216" ht="22.5" customHeight="1">
      <c r="A216" s="32"/>
      <c r="B216" s="30" t="s">
        <v>429</v>
      </c>
      <c r="C216" s="31" t="s">
        <v>430</v>
      </c>
      <c r="D216" s="28"/>
      <c r="E216" s="29" t="s">
        <v>5</v>
      </c>
    </row>
    <row r="217" ht="22.5" customHeight="1">
      <c r="A217" s="32"/>
      <c r="B217" s="26" t="s">
        <v>431</v>
      </c>
      <c r="C217" s="27" t="s">
        <v>432</v>
      </c>
      <c r="D217" s="28"/>
      <c r="E217" s="29" t="s">
        <v>5</v>
      </c>
    </row>
    <row r="218" ht="22.5" customHeight="1">
      <c r="A218" s="32"/>
      <c r="B218" s="30" t="s">
        <v>433</v>
      </c>
      <c r="C218" s="31" t="s">
        <v>434</v>
      </c>
      <c r="D218" s="28"/>
      <c r="E218" s="29" t="s">
        <v>5</v>
      </c>
    </row>
    <row r="219" ht="22.5" customHeight="1">
      <c r="A219" s="32"/>
      <c r="B219" s="26" t="s">
        <v>435</v>
      </c>
      <c r="C219" s="27" t="s">
        <v>436</v>
      </c>
      <c r="D219" s="28"/>
      <c r="E219" s="29" t="s">
        <v>5</v>
      </c>
    </row>
    <row r="220" ht="22.5" customHeight="1">
      <c r="A220" s="32"/>
      <c r="B220" s="30" t="s">
        <v>437</v>
      </c>
      <c r="C220" s="31" t="s">
        <v>438</v>
      </c>
      <c r="D220" s="28"/>
      <c r="E220" s="29" t="s">
        <v>5</v>
      </c>
    </row>
    <row r="221" ht="22.5" customHeight="1">
      <c r="A221" s="32"/>
      <c r="B221" s="30" t="s">
        <v>439</v>
      </c>
      <c r="C221" s="31" t="s">
        <v>440</v>
      </c>
      <c r="D221" s="28"/>
      <c r="E221" s="29" t="s">
        <v>5</v>
      </c>
    </row>
    <row r="222" ht="22.5" customHeight="1">
      <c r="A222" s="32"/>
      <c r="B222" s="30" t="s">
        <v>441</v>
      </c>
      <c r="C222" s="31" t="s">
        <v>442</v>
      </c>
      <c r="D222" s="28"/>
      <c r="E222" s="29" t="s">
        <v>5</v>
      </c>
    </row>
    <row r="223" ht="22.5" customHeight="1">
      <c r="A223" s="32"/>
      <c r="B223" s="30" t="s">
        <v>443</v>
      </c>
      <c r="C223" s="31" t="s">
        <v>444</v>
      </c>
      <c r="D223" s="28"/>
      <c r="E223" s="29" t="s">
        <v>5</v>
      </c>
    </row>
    <row r="224" ht="22.5" customHeight="1">
      <c r="A224" s="32"/>
      <c r="B224" s="30" t="s">
        <v>445</v>
      </c>
      <c r="C224" s="31" t="s">
        <v>446</v>
      </c>
      <c r="D224" s="28"/>
      <c r="E224" s="29" t="s">
        <v>5</v>
      </c>
    </row>
    <row r="225" ht="22.5" customHeight="1">
      <c r="A225" s="32"/>
      <c r="B225" s="26" t="s">
        <v>447</v>
      </c>
      <c r="C225" s="27" t="s">
        <v>448</v>
      </c>
      <c r="D225" s="28"/>
      <c r="E225" s="29" t="s">
        <v>5</v>
      </c>
    </row>
    <row r="226" ht="22.5" customHeight="1">
      <c r="A226" s="32"/>
      <c r="B226" s="30" t="s">
        <v>449</v>
      </c>
      <c r="C226" s="31" t="s">
        <v>450</v>
      </c>
      <c r="D226" s="28"/>
      <c r="E226" s="29" t="s">
        <v>5</v>
      </c>
    </row>
    <row r="227" ht="22.5" customHeight="1">
      <c r="A227" s="32"/>
      <c r="B227" s="30" t="s">
        <v>451</v>
      </c>
      <c r="C227" s="31" t="s">
        <v>452</v>
      </c>
      <c r="D227" s="28"/>
      <c r="E227" s="29" t="s">
        <v>5</v>
      </c>
    </row>
    <row r="228" ht="22.5" customHeight="1">
      <c r="A228" s="32"/>
      <c r="B228" s="30" t="s">
        <v>453</v>
      </c>
      <c r="C228" s="31" t="s">
        <v>454</v>
      </c>
      <c r="D228" s="28"/>
      <c r="E228" s="29" t="s">
        <v>5</v>
      </c>
    </row>
    <row r="229" ht="22.5" customHeight="1">
      <c r="A229" s="32"/>
      <c r="B229" s="30" t="s">
        <v>455</v>
      </c>
      <c r="C229" s="31" t="s">
        <v>456</v>
      </c>
      <c r="D229" s="28"/>
      <c r="E229" s="29" t="s">
        <v>5</v>
      </c>
    </row>
    <row r="230" ht="22.5" customHeight="1">
      <c r="A230" s="32"/>
      <c r="B230" s="26" t="s">
        <v>457</v>
      </c>
      <c r="C230" s="27" t="s">
        <v>458</v>
      </c>
      <c r="D230" s="28"/>
      <c r="E230" s="29" t="s">
        <v>5</v>
      </c>
    </row>
    <row r="231" ht="22.5" customHeight="1">
      <c r="A231" s="32"/>
      <c r="B231" s="30" t="s">
        <v>459</v>
      </c>
      <c r="C231" s="31" t="s">
        <v>460</v>
      </c>
      <c r="D231" s="28"/>
      <c r="E231" s="29" t="s">
        <v>5</v>
      </c>
    </row>
    <row r="232" ht="22.5" customHeight="1">
      <c r="A232" s="32"/>
      <c r="B232" s="26" t="s">
        <v>461</v>
      </c>
      <c r="C232" s="27" t="s">
        <v>462</v>
      </c>
      <c r="D232" s="28"/>
      <c r="E232" s="29" t="s">
        <v>5</v>
      </c>
    </row>
    <row r="233" ht="22.5" customHeight="1">
      <c r="A233" s="32"/>
      <c r="B233" s="30" t="s">
        <v>463</v>
      </c>
      <c r="C233" s="31" t="s">
        <v>464</v>
      </c>
      <c r="D233" s="28"/>
      <c r="E233" s="29" t="s">
        <v>5</v>
      </c>
    </row>
    <row r="234" ht="22.5" customHeight="1">
      <c r="A234" s="32"/>
      <c r="B234" s="30" t="s">
        <v>465</v>
      </c>
      <c r="C234" s="31" t="s">
        <v>466</v>
      </c>
      <c r="D234" s="28"/>
      <c r="E234" s="29" t="s">
        <v>5</v>
      </c>
    </row>
    <row r="235" ht="22.5" customHeight="1">
      <c r="A235" s="32"/>
      <c r="B235" s="26" t="s">
        <v>467</v>
      </c>
      <c r="C235" s="27" t="s">
        <v>468</v>
      </c>
      <c r="D235" s="28"/>
      <c r="E235" s="29" t="s">
        <v>5</v>
      </c>
    </row>
    <row r="236" ht="22.5" customHeight="1">
      <c r="A236" s="32"/>
      <c r="B236" s="26" t="s">
        <v>469</v>
      </c>
      <c r="C236" s="27" t="s">
        <v>470</v>
      </c>
      <c r="D236" s="28"/>
      <c r="E236" s="29" t="s">
        <v>5</v>
      </c>
    </row>
    <row r="237" ht="22.5" customHeight="1">
      <c r="A237" s="15"/>
      <c r="B237" s="30" t="s">
        <v>471</v>
      </c>
      <c r="C237" s="31" t="s">
        <v>472</v>
      </c>
      <c r="D237" s="28"/>
      <c r="E237" s="29" t="s">
        <v>5</v>
      </c>
    </row>
    <row r="238" ht="22.5" customHeight="1">
      <c r="A238" s="15"/>
      <c r="B238" s="26" t="s">
        <v>36</v>
      </c>
      <c r="C238" s="27" t="s">
        <v>473</v>
      </c>
      <c r="D238" s="28"/>
      <c r="E238" s="29" t="s">
        <v>5</v>
      </c>
    </row>
    <row r="239" ht="22.5" customHeight="1">
      <c r="A239" s="15"/>
      <c r="B239" s="30" t="s">
        <v>474</v>
      </c>
      <c r="C239" s="31" t="s">
        <v>475</v>
      </c>
      <c r="D239" s="28"/>
      <c r="E239" s="29" t="s">
        <v>5</v>
      </c>
    </row>
    <row r="240" ht="22.5" customHeight="1">
      <c r="A240" s="15"/>
      <c r="B240" s="30" t="s">
        <v>476</v>
      </c>
      <c r="C240" s="31" t="s">
        <v>477</v>
      </c>
      <c r="D240" s="28"/>
      <c r="E240" s="29" t="s">
        <v>5</v>
      </c>
    </row>
    <row r="241" ht="22.5" customHeight="1">
      <c r="A241" s="15"/>
      <c r="B241" s="30" t="s">
        <v>478</v>
      </c>
      <c r="C241" s="31" t="s">
        <v>479</v>
      </c>
      <c r="D241" s="28"/>
      <c r="E241" s="29" t="s">
        <v>5</v>
      </c>
    </row>
    <row r="242" ht="22.5" customHeight="1">
      <c r="A242" s="15"/>
      <c r="B242" s="26" t="s">
        <v>480</v>
      </c>
      <c r="C242" s="27" t="s">
        <v>481</v>
      </c>
      <c r="D242" s="28"/>
      <c r="E242" s="29" t="s">
        <v>5</v>
      </c>
    </row>
    <row r="243" ht="22.5" customHeight="1">
      <c r="A243" s="15"/>
      <c r="B243" s="30" t="s">
        <v>482</v>
      </c>
      <c r="C243" s="31" t="s">
        <v>483</v>
      </c>
      <c r="D243" s="28"/>
      <c r="E243" s="29" t="s">
        <v>5</v>
      </c>
    </row>
    <row r="244" ht="22.5" customHeight="1">
      <c r="A244" s="15"/>
      <c r="B244" s="30" t="s">
        <v>484</v>
      </c>
      <c r="C244" s="31" t="s">
        <v>485</v>
      </c>
      <c r="D244" s="28"/>
      <c r="E244" s="29" t="s">
        <v>5</v>
      </c>
    </row>
    <row r="245" ht="22.5" customHeight="1">
      <c r="A245" s="32"/>
      <c r="B245" s="30" t="s">
        <v>486</v>
      </c>
      <c r="C245" s="31" t="s">
        <v>487</v>
      </c>
      <c r="D245" s="28"/>
      <c r="E245" s="29" t="s">
        <v>5</v>
      </c>
    </row>
    <row r="246" ht="22.5" customHeight="1">
      <c r="A246" s="32"/>
      <c r="B246" s="30" t="s">
        <v>488</v>
      </c>
      <c r="C246" s="31" t="s">
        <v>489</v>
      </c>
      <c r="D246" s="28"/>
      <c r="E246" s="29" t="s">
        <v>5</v>
      </c>
    </row>
    <row r="247" ht="22.5" customHeight="1">
      <c r="A247" s="32"/>
      <c r="B247" s="33"/>
      <c r="C247" s="34"/>
      <c r="D247" s="34"/>
      <c r="E247" s="35"/>
    </row>
    <row r="248" ht="22.5" customHeight="1">
      <c r="A248" s="32"/>
      <c r="B248" s="33"/>
      <c r="C248" s="34"/>
      <c r="D248" s="34"/>
      <c r="E248" s="35"/>
    </row>
    <row r="249" ht="22.5" customHeight="1">
      <c r="A249" s="32"/>
      <c r="B249" s="33"/>
      <c r="C249" s="34"/>
      <c r="D249" s="34"/>
      <c r="E249" s="35"/>
    </row>
    <row r="250" ht="22.5" customHeight="1">
      <c r="A250" s="32"/>
      <c r="B250" s="33"/>
      <c r="C250" s="34"/>
      <c r="D250" s="34"/>
      <c r="E250" s="35"/>
    </row>
    <row r="251" ht="22.5" customHeight="1">
      <c r="A251" s="32"/>
      <c r="B251" s="33"/>
      <c r="C251" s="34"/>
      <c r="D251" s="34"/>
      <c r="E251" s="35"/>
    </row>
    <row r="252" ht="22.5" customHeight="1">
      <c r="A252" s="32"/>
      <c r="B252" s="33"/>
      <c r="C252" s="34"/>
      <c r="D252" s="34"/>
      <c r="E252" s="35"/>
    </row>
    <row r="253" ht="22.5" customHeight="1">
      <c r="A253" s="32"/>
      <c r="B253" s="33"/>
      <c r="C253" s="34"/>
      <c r="D253" s="34"/>
      <c r="E253" s="35"/>
    </row>
    <row r="254" ht="22.5" customHeight="1">
      <c r="A254" s="32"/>
      <c r="B254" s="33"/>
      <c r="C254" s="34"/>
      <c r="D254" s="34"/>
      <c r="E254" s="35"/>
    </row>
    <row r="255" ht="22.5" customHeight="1">
      <c r="A255" s="32"/>
      <c r="B255" s="33"/>
      <c r="C255" s="34"/>
      <c r="D255" s="34"/>
      <c r="E255" s="35"/>
    </row>
    <row r="256" ht="22.5" customHeight="1">
      <c r="A256" s="32"/>
      <c r="B256" s="33"/>
      <c r="C256" s="34"/>
      <c r="D256" s="34"/>
      <c r="E256" s="35"/>
    </row>
    <row r="257" ht="22.5" customHeight="1">
      <c r="A257" s="32"/>
      <c r="B257" s="33"/>
      <c r="C257" s="34"/>
      <c r="D257" s="34"/>
      <c r="E257" s="35"/>
    </row>
    <row r="258" ht="22.5" customHeight="1">
      <c r="A258" s="32"/>
      <c r="B258" s="33"/>
      <c r="C258" s="34"/>
      <c r="D258" s="34"/>
      <c r="E258" s="35"/>
    </row>
    <row r="259" ht="22.5" customHeight="1">
      <c r="A259" s="32"/>
      <c r="B259" s="33"/>
      <c r="C259" s="34"/>
      <c r="D259" s="34"/>
      <c r="E259" s="35"/>
    </row>
    <row r="260" ht="22.5" customHeight="1">
      <c r="A260" s="32"/>
      <c r="B260" s="33"/>
      <c r="C260" s="34"/>
      <c r="D260" s="34"/>
      <c r="E260" s="35"/>
    </row>
    <row r="261" ht="22.5" customHeight="1">
      <c r="A261" s="32"/>
      <c r="B261" s="33"/>
      <c r="C261" s="34"/>
      <c r="D261" s="34"/>
      <c r="E261" s="35"/>
    </row>
    <row r="262" ht="22.5" customHeight="1">
      <c r="A262" s="32"/>
      <c r="B262" s="33"/>
      <c r="C262" s="34"/>
      <c r="D262" s="34"/>
      <c r="E262" s="35"/>
    </row>
    <row r="263" ht="22.5" customHeight="1">
      <c r="A263" s="32"/>
      <c r="B263" s="33"/>
      <c r="C263" s="34"/>
      <c r="D263" s="34"/>
      <c r="E263" s="35"/>
    </row>
    <row r="264" ht="22.5" customHeight="1">
      <c r="A264" s="32"/>
      <c r="B264" s="33"/>
      <c r="C264" s="34"/>
      <c r="D264" s="34"/>
      <c r="E264" s="35"/>
    </row>
    <row r="265" ht="22.5" customHeight="1">
      <c r="A265" s="32"/>
      <c r="B265" s="33"/>
      <c r="C265" s="34"/>
      <c r="D265" s="34"/>
      <c r="E265" s="35"/>
    </row>
    <row r="266" ht="22.5" customHeight="1">
      <c r="A266" s="32"/>
      <c r="B266" s="33"/>
      <c r="C266" s="34"/>
      <c r="D266" s="34"/>
      <c r="E266" s="35"/>
    </row>
    <row r="267" ht="22.5" customHeight="1">
      <c r="A267" s="32"/>
      <c r="B267" s="33"/>
      <c r="C267" s="34"/>
      <c r="D267" s="34"/>
      <c r="E267" s="35"/>
    </row>
    <row r="268" ht="22.5" customHeight="1">
      <c r="A268" s="32"/>
      <c r="B268" s="33"/>
      <c r="C268" s="34"/>
      <c r="D268" s="34"/>
      <c r="E268" s="35"/>
    </row>
    <row r="269" ht="22.5" customHeight="1">
      <c r="A269" s="32"/>
      <c r="B269" s="33"/>
      <c r="C269" s="34"/>
      <c r="D269" s="34"/>
      <c r="E269" s="35"/>
    </row>
    <row r="270" ht="22.5" customHeight="1">
      <c r="A270" s="32"/>
      <c r="B270" s="33"/>
      <c r="C270" s="34"/>
      <c r="D270" s="34"/>
      <c r="E270" s="35"/>
    </row>
    <row r="271" ht="22.5" customHeight="1">
      <c r="A271" s="32"/>
      <c r="B271" s="33"/>
      <c r="C271" s="34"/>
      <c r="D271" s="34"/>
      <c r="E271" s="35"/>
    </row>
    <row r="272" ht="22.5" customHeight="1">
      <c r="A272" s="32"/>
      <c r="B272" s="33"/>
      <c r="C272" s="34"/>
      <c r="D272" s="34"/>
      <c r="E272" s="35"/>
    </row>
    <row r="273" ht="22.5" customHeight="1">
      <c r="A273" s="32"/>
      <c r="B273" s="33"/>
      <c r="C273" s="34"/>
      <c r="D273" s="34"/>
      <c r="E273" s="35"/>
    </row>
    <row r="274" ht="22.5" customHeight="1">
      <c r="A274" s="32"/>
      <c r="B274" s="33"/>
      <c r="C274" s="34"/>
      <c r="D274" s="34"/>
      <c r="E274" s="35"/>
    </row>
    <row r="275" ht="22.5" customHeight="1">
      <c r="A275" s="32"/>
      <c r="B275" s="33"/>
      <c r="C275" s="34"/>
      <c r="D275" s="34"/>
      <c r="E275" s="35"/>
    </row>
    <row r="276" ht="22.5" customHeight="1">
      <c r="A276" s="32"/>
      <c r="B276" s="33"/>
      <c r="C276" s="34"/>
      <c r="D276" s="34"/>
      <c r="E276" s="35"/>
    </row>
    <row r="277" ht="22.5" customHeight="1">
      <c r="A277" s="32"/>
      <c r="B277" s="33"/>
      <c r="C277" s="34"/>
      <c r="D277" s="34"/>
      <c r="E277" s="35"/>
    </row>
    <row r="278" ht="22.5" customHeight="1">
      <c r="A278" s="32"/>
      <c r="B278" s="33"/>
      <c r="C278" s="34"/>
      <c r="D278" s="34"/>
      <c r="E278" s="35"/>
    </row>
    <row r="279" ht="22.5" customHeight="1">
      <c r="A279" s="32"/>
      <c r="B279" s="33"/>
      <c r="C279" s="34"/>
      <c r="D279" s="34"/>
      <c r="E279" s="35"/>
    </row>
    <row r="280" ht="22.5" customHeight="1">
      <c r="A280" s="32"/>
      <c r="B280" s="33"/>
      <c r="C280" s="34"/>
      <c r="D280" s="34"/>
      <c r="E280" s="35"/>
    </row>
    <row r="281" ht="22.5" customHeight="1">
      <c r="A281" s="32"/>
      <c r="B281" s="33"/>
      <c r="C281" s="34"/>
      <c r="D281" s="34"/>
      <c r="E281" s="35"/>
    </row>
    <row r="282" ht="22.5" customHeight="1">
      <c r="A282" s="32"/>
      <c r="B282" s="33"/>
      <c r="C282" s="34"/>
      <c r="D282" s="34"/>
      <c r="E282" s="35"/>
    </row>
    <row r="283" ht="22.5" customHeight="1">
      <c r="A283" s="32"/>
      <c r="B283" s="33"/>
      <c r="C283" s="34"/>
      <c r="D283" s="34"/>
      <c r="E283" s="35"/>
    </row>
    <row r="284" ht="22.5" customHeight="1">
      <c r="A284" s="32"/>
      <c r="B284" s="33"/>
      <c r="C284" s="34"/>
      <c r="D284" s="34"/>
      <c r="E284" s="35"/>
    </row>
    <row r="285" ht="22.5" customHeight="1">
      <c r="A285" s="32"/>
      <c r="B285" s="33"/>
      <c r="C285" s="34"/>
      <c r="D285" s="34"/>
      <c r="E285" s="35"/>
    </row>
    <row r="286" ht="22.5" customHeight="1">
      <c r="A286" s="32"/>
      <c r="B286" s="33"/>
      <c r="C286" s="34"/>
      <c r="D286" s="34"/>
      <c r="E286" s="35"/>
    </row>
    <row r="287" ht="22.5" customHeight="1">
      <c r="A287" s="32"/>
      <c r="B287" s="33"/>
      <c r="C287" s="34"/>
      <c r="D287" s="34"/>
      <c r="E287" s="35"/>
    </row>
    <row r="288" ht="22.5" customHeight="1">
      <c r="A288" s="32"/>
      <c r="B288" s="33"/>
      <c r="C288" s="34"/>
      <c r="D288" s="34"/>
      <c r="E288" s="35"/>
    </row>
    <row r="289" ht="22.5" customHeight="1">
      <c r="A289" s="32"/>
      <c r="B289" s="33"/>
      <c r="C289" s="34"/>
      <c r="D289" s="34"/>
      <c r="E289" s="35"/>
    </row>
    <row r="290" ht="22.5" customHeight="1">
      <c r="A290" s="32"/>
      <c r="B290" s="33"/>
      <c r="C290" s="34"/>
      <c r="D290" s="34"/>
      <c r="E290" s="35"/>
    </row>
    <row r="291" ht="22.5" customHeight="1">
      <c r="A291" s="32"/>
      <c r="B291" s="33"/>
      <c r="C291" s="34"/>
      <c r="D291" s="34"/>
      <c r="E291" s="35"/>
    </row>
    <row r="292" ht="22.5" customHeight="1">
      <c r="A292" s="32"/>
      <c r="B292" s="33"/>
      <c r="C292" s="34"/>
      <c r="D292" s="34"/>
      <c r="E292" s="35"/>
    </row>
    <row r="293" ht="22.5" customHeight="1">
      <c r="A293" s="32"/>
      <c r="B293" s="33"/>
      <c r="C293" s="34"/>
      <c r="D293" s="34"/>
      <c r="E293" s="35"/>
    </row>
    <row r="294" ht="22.5" customHeight="1">
      <c r="A294" s="32"/>
      <c r="B294" s="33"/>
      <c r="C294" s="34"/>
      <c r="D294" s="34"/>
      <c r="E294" s="35"/>
    </row>
    <row r="295" ht="22.5" customHeight="1">
      <c r="A295" s="32"/>
      <c r="B295" s="33"/>
      <c r="C295" s="34"/>
      <c r="D295" s="34"/>
      <c r="E295" s="35"/>
    </row>
    <row r="296" ht="22.5" customHeight="1">
      <c r="A296" s="32"/>
      <c r="B296" s="33"/>
      <c r="C296" s="34"/>
      <c r="D296" s="34"/>
      <c r="E296" s="35"/>
    </row>
    <row r="297" ht="22.5" customHeight="1">
      <c r="A297" s="32"/>
      <c r="B297" s="33"/>
      <c r="C297" s="34"/>
      <c r="D297" s="34"/>
      <c r="E297" s="35"/>
    </row>
    <row r="298" ht="22.5" customHeight="1">
      <c r="A298" s="32"/>
      <c r="B298" s="33"/>
      <c r="C298" s="34"/>
      <c r="D298" s="34"/>
      <c r="E298" s="35"/>
    </row>
    <row r="299" ht="22.5" customHeight="1">
      <c r="A299" s="32"/>
      <c r="B299" s="33"/>
      <c r="C299" s="34"/>
      <c r="D299" s="34"/>
      <c r="E299" s="35"/>
    </row>
    <row r="300" ht="22.5" customHeight="1">
      <c r="A300" s="32"/>
      <c r="B300" s="33"/>
      <c r="C300" s="34"/>
      <c r="D300" s="34"/>
      <c r="E300" s="35"/>
    </row>
    <row r="301" ht="22.5" customHeight="1">
      <c r="A301" s="32"/>
      <c r="B301" s="33"/>
      <c r="C301" s="34"/>
      <c r="D301" s="34"/>
      <c r="E301" s="35"/>
    </row>
    <row r="302" ht="22.5" customHeight="1">
      <c r="A302" s="32"/>
      <c r="B302" s="33"/>
      <c r="C302" s="34"/>
      <c r="D302" s="34"/>
      <c r="E302" s="35"/>
    </row>
    <row r="303" ht="22.5" customHeight="1">
      <c r="A303" s="32"/>
      <c r="B303" s="33"/>
      <c r="C303" s="34"/>
      <c r="D303" s="34"/>
      <c r="E303" s="35"/>
    </row>
    <row r="304" ht="22.5" customHeight="1">
      <c r="A304" s="32"/>
      <c r="B304" s="33"/>
      <c r="C304" s="34"/>
      <c r="D304" s="34"/>
      <c r="E304" s="35"/>
    </row>
    <row r="305" ht="22.5" customHeight="1">
      <c r="A305" s="32"/>
      <c r="B305" s="33"/>
      <c r="C305" s="34"/>
      <c r="D305" s="34"/>
      <c r="E305" s="35"/>
    </row>
    <row r="306" ht="22.5" customHeight="1">
      <c r="A306" s="32"/>
      <c r="B306" s="33"/>
      <c r="C306" s="34"/>
      <c r="D306" s="34"/>
      <c r="E306" s="35"/>
    </row>
    <row r="307" ht="22.5" customHeight="1">
      <c r="A307" s="32"/>
      <c r="B307" s="33"/>
      <c r="C307" s="34"/>
      <c r="D307" s="34"/>
      <c r="E307" s="35"/>
    </row>
    <row r="308" ht="22.5" customHeight="1">
      <c r="A308" s="32"/>
      <c r="B308" s="33"/>
      <c r="C308" s="34"/>
      <c r="D308" s="34"/>
      <c r="E308" s="35"/>
    </row>
    <row r="309" ht="22.5" customHeight="1">
      <c r="A309" s="32"/>
      <c r="B309" s="33"/>
      <c r="C309" s="34"/>
      <c r="D309" s="34"/>
      <c r="E309" s="35"/>
    </row>
    <row r="310" ht="22.5" customHeight="1">
      <c r="A310" s="32"/>
      <c r="B310" s="33"/>
      <c r="C310" s="34"/>
      <c r="D310" s="34"/>
      <c r="E310" s="35"/>
    </row>
    <row r="311" ht="22.5" customHeight="1">
      <c r="A311" s="32"/>
      <c r="B311" s="33"/>
      <c r="C311" s="34"/>
      <c r="D311" s="34"/>
      <c r="E311" s="35"/>
    </row>
    <row r="312" ht="22.5" customHeight="1">
      <c r="A312" s="32"/>
      <c r="B312" s="33"/>
      <c r="C312" s="34"/>
      <c r="D312" s="34"/>
      <c r="E312" s="35"/>
    </row>
    <row r="313" ht="22.5" customHeight="1">
      <c r="A313" s="32"/>
      <c r="B313" s="33"/>
      <c r="C313" s="34"/>
      <c r="D313" s="34"/>
      <c r="E313" s="35"/>
    </row>
    <row r="314" ht="22.5" customHeight="1">
      <c r="A314" s="32"/>
      <c r="B314" s="33"/>
      <c r="C314" s="34"/>
      <c r="D314" s="34"/>
      <c r="E314" s="35"/>
    </row>
    <row r="315" ht="22.5" customHeight="1">
      <c r="A315" s="32"/>
      <c r="B315" s="33"/>
      <c r="C315" s="34"/>
      <c r="D315" s="34"/>
      <c r="E315" s="35"/>
    </row>
    <row r="316" ht="22.5" customHeight="1">
      <c r="A316" s="32"/>
      <c r="B316" s="33"/>
      <c r="C316" s="34"/>
      <c r="D316" s="34"/>
      <c r="E316" s="35"/>
    </row>
    <row r="317" ht="22.5" customHeight="1">
      <c r="A317" s="32"/>
      <c r="B317" s="33"/>
      <c r="C317" s="34"/>
      <c r="D317" s="34"/>
      <c r="E317" s="35"/>
    </row>
    <row r="318" ht="22.5" customHeight="1">
      <c r="A318" s="32"/>
      <c r="B318" s="33"/>
      <c r="C318" s="34"/>
      <c r="D318" s="34"/>
      <c r="E318" s="35"/>
    </row>
    <row r="319" ht="22.5" customHeight="1">
      <c r="A319" s="32"/>
      <c r="B319" s="33"/>
      <c r="C319" s="34"/>
      <c r="D319" s="34"/>
      <c r="E319" s="35"/>
    </row>
    <row r="320" ht="22.5" customHeight="1">
      <c r="A320" s="32"/>
      <c r="B320" s="33"/>
      <c r="C320" s="34"/>
      <c r="D320" s="34"/>
      <c r="E320" s="35"/>
    </row>
    <row r="321" ht="22.5" customHeight="1">
      <c r="A321" s="32"/>
      <c r="B321" s="33"/>
      <c r="C321" s="34"/>
      <c r="D321" s="34"/>
      <c r="E321" s="35"/>
    </row>
    <row r="322" ht="22.5" customHeight="1">
      <c r="A322" s="32"/>
      <c r="B322" s="33"/>
      <c r="C322" s="34"/>
      <c r="D322" s="34"/>
      <c r="E322" s="35"/>
    </row>
    <row r="323" ht="22.5" customHeight="1">
      <c r="A323" s="32"/>
      <c r="B323" s="33"/>
      <c r="C323" s="34"/>
      <c r="D323" s="34"/>
      <c r="E323" s="35"/>
    </row>
    <row r="324" ht="22.5" customHeight="1">
      <c r="A324" s="32"/>
      <c r="B324" s="33"/>
      <c r="C324" s="34"/>
      <c r="D324" s="34"/>
      <c r="E324" s="35"/>
    </row>
    <row r="325" ht="22.5" customHeight="1">
      <c r="A325" s="32"/>
      <c r="B325" s="33"/>
      <c r="C325" s="34"/>
      <c r="D325" s="34"/>
      <c r="E325" s="35"/>
    </row>
    <row r="326" ht="22.5" customHeight="1">
      <c r="A326" s="32"/>
      <c r="B326" s="33"/>
      <c r="C326" s="34"/>
      <c r="D326" s="34"/>
      <c r="E326" s="35"/>
    </row>
    <row r="327" ht="22.5" customHeight="1">
      <c r="A327" s="32"/>
      <c r="B327" s="33"/>
      <c r="C327" s="34"/>
      <c r="D327" s="34"/>
      <c r="E327" s="35"/>
    </row>
    <row r="328" ht="22.5" customHeight="1">
      <c r="A328" s="32"/>
      <c r="B328" s="33"/>
      <c r="C328" s="34"/>
      <c r="D328" s="34"/>
      <c r="E328" s="35"/>
    </row>
    <row r="329" ht="22.5" customHeight="1">
      <c r="A329" s="32"/>
      <c r="B329" s="33"/>
      <c r="C329" s="34"/>
      <c r="D329" s="34"/>
      <c r="E329" s="35"/>
    </row>
    <row r="330" ht="22.5" customHeight="1">
      <c r="A330" s="32"/>
      <c r="B330" s="33"/>
      <c r="C330" s="34"/>
      <c r="D330" s="34"/>
      <c r="E330" s="35"/>
    </row>
    <row r="331" ht="22.5" customHeight="1">
      <c r="A331" s="32"/>
      <c r="B331" s="33"/>
      <c r="C331" s="34"/>
      <c r="D331" s="34"/>
      <c r="E331" s="35"/>
    </row>
    <row r="332" ht="22.5" customHeight="1">
      <c r="A332" s="32"/>
      <c r="B332" s="33"/>
      <c r="C332" s="34"/>
      <c r="D332" s="34"/>
      <c r="E332" s="35"/>
    </row>
    <row r="333" ht="22.5" customHeight="1">
      <c r="A333" s="32"/>
      <c r="B333" s="33"/>
      <c r="C333" s="34"/>
      <c r="D333" s="34"/>
      <c r="E333" s="35"/>
    </row>
    <row r="334" ht="22.5" customHeight="1">
      <c r="A334" s="32"/>
      <c r="B334" s="33"/>
      <c r="C334" s="34"/>
      <c r="D334" s="34"/>
      <c r="E334" s="35"/>
    </row>
    <row r="335" ht="22.5" customHeight="1">
      <c r="A335" s="32"/>
      <c r="B335" s="33"/>
      <c r="C335" s="34"/>
      <c r="D335" s="34"/>
      <c r="E335" s="35"/>
    </row>
    <row r="336" ht="22.5" customHeight="1">
      <c r="A336" s="32"/>
      <c r="B336" s="33"/>
      <c r="C336" s="34"/>
      <c r="D336" s="34"/>
      <c r="E336" s="35"/>
    </row>
    <row r="337" ht="22.5" customHeight="1">
      <c r="A337" s="32"/>
      <c r="B337" s="33"/>
      <c r="C337" s="34"/>
      <c r="D337" s="34"/>
      <c r="E337" s="35"/>
    </row>
    <row r="338" ht="22.5" customHeight="1">
      <c r="A338" s="32"/>
      <c r="B338" s="33"/>
      <c r="C338" s="34"/>
      <c r="D338" s="34"/>
      <c r="E338" s="35"/>
    </row>
    <row r="339" ht="22.5" customHeight="1">
      <c r="A339" s="32"/>
      <c r="B339" s="33"/>
      <c r="C339" s="34"/>
      <c r="D339" s="34"/>
      <c r="E339" s="35"/>
    </row>
    <row r="340" ht="22.5" customHeight="1">
      <c r="A340" s="32"/>
      <c r="B340" s="33"/>
      <c r="C340" s="34"/>
      <c r="D340" s="34"/>
      <c r="E340" s="35"/>
    </row>
    <row r="341" ht="22.5" customHeight="1">
      <c r="A341" s="32"/>
      <c r="B341" s="33"/>
      <c r="C341" s="34"/>
      <c r="D341" s="34"/>
      <c r="E341" s="35"/>
    </row>
    <row r="342" ht="22.5" customHeight="1">
      <c r="A342" s="32"/>
      <c r="B342" s="33"/>
      <c r="C342" s="34"/>
      <c r="D342" s="34"/>
      <c r="E342" s="35"/>
    </row>
    <row r="343" ht="22.5" customHeight="1">
      <c r="A343" s="32"/>
      <c r="B343" s="33"/>
      <c r="C343" s="34"/>
      <c r="D343" s="34"/>
      <c r="E343" s="35"/>
    </row>
    <row r="344" ht="22.5" customHeight="1">
      <c r="A344" s="32"/>
      <c r="B344" s="33"/>
      <c r="C344" s="34"/>
      <c r="D344" s="34"/>
      <c r="E344" s="35"/>
    </row>
    <row r="345" ht="22.5" customHeight="1">
      <c r="A345" s="32"/>
      <c r="B345" s="33"/>
      <c r="C345" s="34"/>
      <c r="D345" s="34"/>
      <c r="E345" s="35"/>
    </row>
    <row r="346" ht="22.5" customHeight="1">
      <c r="A346" s="32"/>
      <c r="B346" s="33"/>
      <c r="C346" s="34"/>
      <c r="D346" s="34"/>
      <c r="E346" s="35"/>
    </row>
    <row r="347" ht="22.5" customHeight="1">
      <c r="A347" s="32"/>
      <c r="B347" s="33"/>
      <c r="C347" s="34"/>
      <c r="D347" s="34"/>
      <c r="E347" s="35"/>
    </row>
    <row r="348" ht="22.5" customHeight="1">
      <c r="A348" s="32"/>
      <c r="B348" s="33"/>
      <c r="C348" s="34"/>
      <c r="D348" s="34"/>
      <c r="E348" s="35"/>
    </row>
    <row r="349" ht="22.5" customHeight="1">
      <c r="A349" s="32"/>
      <c r="B349" s="33"/>
      <c r="C349" s="34"/>
      <c r="D349" s="34"/>
      <c r="E349" s="35"/>
    </row>
    <row r="350" ht="22.5" customHeight="1">
      <c r="A350" s="32"/>
      <c r="B350" s="33"/>
      <c r="C350" s="34"/>
      <c r="D350" s="34"/>
      <c r="E350" s="35"/>
    </row>
    <row r="351" ht="22.5" customHeight="1">
      <c r="A351" s="32"/>
      <c r="B351" s="33"/>
      <c r="C351" s="34"/>
      <c r="D351" s="34"/>
      <c r="E351" s="35"/>
    </row>
    <row r="352" ht="22.5" customHeight="1">
      <c r="A352" s="32"/>
      <c r="B352" s="33"/>
      <c r="C352" s="34"/>
      <c r="D352" s="34"/>
      <c r="E352" s="35"/>
    </row>
    <row r="353" ht="22.5" customHeight="1">
      <c r="A353" s="32"/>
      <c r="B353" s="33"/>
      <c r="C353" s="34"/>
      <c r="D353" s="34"/>
      <c r="E353" s="35"/>
    </row>
    <row r="354" ht="22.5" customHeight="1">
      <c r="A354" s="32"/>
      <c r="B354" s="33"/>
      <c r="C354" s="34"/>
      <c r="D354" s="34"/>
      <c r="E354" s="35"/>
    </row>
    <row r="355" ht="22.5" customHeight="1">
      <c r="A355" s="32"/>
      <c r="B355" s="33"/>
      <c r="C355" s="34"/>
      <c r="D355" s="34"/>
      <c r="E355" s="35"/>
    </row>
    <row r="356" ht="22.5" customHeight="1">
      <c r="A356" s="32"/>
      <c r="B356" s="33"/>
      <c r="C356" s="34"/>
      <c r="D356" s="34"/>
      <c r="E356" s="35"/>
    </row>
    <row r="357" ht="22.5" customHeight="1">
      <c r="A357" s="32"/>
      <c r="B357" s="33"/>
      <c r="C357" s="34"/>
      <c r="D357" s="34"/>
      <c r="E357" s="35"/>
    </row>
    <row r="358" ht="22.5" customHeight="1">
      <c r="A358" s="32"/>
      <c r="B358" s="33"/>
      <c r="C358" s="34"/>
      <c r="D358" s="34"/>
      <c r="E358" s="35"/>
    </row>
    <row r="359" ht="22.5" customHeight="1">
      <c r="A359" s="32"/>
      <c r="B359" s="33"/>
      <c r="C359" s="34"/>
      <c r="D359" s="34"/>
      <c r="E359" s="35"/>
    </row>
    <row r="360" ht="22.5" customHeight="1">
      <c r="A360" s="32"/>
      <c r="B360" s="33"/>
      <c r="C360" s="34"/>
      <c r="D360" s="34"/>
      <c r="E360" s="35"/>
    </row>
    <row r="361" ht="22.5" customHeight="1">
      <c r="A361" s="32"/>
      <c r="B361" s="33"/>
      <c r="C361" s="34"/>
      <c r="D361" s="34"/>
      <c r="E361" s="35"/>
    </row>
    <row r="362" ht="22.5" customHeight="1">
      <c r="A362" s="32"/>
      <c r="B362" s="33"/>
      <c r="C362" s="34"/>
      <c r="D362" s="34"/>
      <c r="E362" s="35"/>
    </row>
    <row r="363" ht="22.5" customHeight="1">
      <c r="A363" s="32"/>
      <c r="B363" s="33"/>
      <c r="C363" s="34"/>
      <c r="D363" s="34"/>
      <c r="E363" s="35"/>
    </row>
    <row r="364" ht="22.5" customHeight="1">
      <c r="A364" s="32"/>
      <c r="B364" s="33"/>
      <c r="C364" s="34"/>
      <c r="D364" s="34"/>
      <c r="E364" s="35"/>
    </row>
    <row r="365" ht="22.5" customHeight="1">
      <c r="A365" s="32"/>
      <c r="B365" s="33"/>
      <c r="C365" s="34"/>
      <c r="D365" s="34"/>
      <c r="E365" s="35"/>
    </row>
    <row r="366" ht="22.5" customHeight="1">
      <c r="A366" s="32"/>
      <c r="B366" s="33"/>
      <c r="C366" s="34"/>
      <c r="D366" s="34"/>
      <c r="E366" s="35"/>
    </row>
    <row r="367" ht="22.5" customHeight="1">
      <c r="A367" s="32"/>
      <c r="B367" s="33"/>
      <c r="C367" s="34"/>
      <c r="D367" s="34"/>
      <c r="E367" s="35"/>
    </row>
    <row r="368" ht="22.5" customHeight="1">
      <c r="A368" s="32"/>
      <c r="B368" s="33"/>
      <c r="C368" s="34"/>
      <c r="D368" s="34"/>
      <c r="E368" s="35"/>
    </row>
    <row r="369" ht="22.5" customHeight="1">
      <c r="A369" s="32"/>
      <c r="B369" s="33"/>
      <c r="C369" s="34"/>
      <c r="D369" s="34"/>
      <c r="E369" s="35"/>
    </row>
    <row r="370" ht="22.5" customHeight="1">
      <c r="A370" s="32"/>
      <c r="B370" s="33"/>
      <c r="C370" s="34"/>
      <c r="D370" s="34"/>
      <c r="E370" s="35"/>
    </row>
    <row r="371" ht="22.5" customHeight="1">
      <c r="A371" s="32"/>
      <c r="B371" s="33"/>
      <c r="C371" s="34"/>
      <c r="D371" s="34"/>
      <c r="E371" s="35"/>
    </row>
    <row r="372" ht="22.5" customHeight="1">
      <c r="A372" s="32"/>
      <c r="B372" s="33"/>
      <c r="C372" s="34"/>
      <c r="D372" s="34"/>
      <c r="E372" s="35"/>
    </row>
    <row r="373" ht="22.5" customHeight="1">
      <c r="A373" s="32"/>
      <c r="B373" s="33"/>
      <c r="C373" s="34"/>
      <c r="D373" s="34"/>
      <c r="E373" s="35"/>
    </row>
    <row r="374" ht="22.5" customHeight="1">
      <c r="A374" s="32"/>
      <c r="B374" s="33"/>
      <c r="C374" s="34"/>
      <c r="D374" s="34"/>
      <c r="E374" s="35"/>
    </row>
    <row r="375" ht="22.5" customHeight="1">
      <c r="A375" s="32"/>
      <c r="B375" s="33"/>
      <c r="C375" s="34"/>
      <c r="D375" s="34"/>
      <c r="E375" s="35"/>
    </row>
    <row r="376" ht="22.5" customHeight="1">
      <c r="A376" s="32"/>
      <c r="B376" s="33"/>
      <c r="C376" s="34"/>
      <c r="D376" s="34"/>
      <c r="E376" s="35"/>
    </row>
    <row r="377" ht="22.5" customHeight="1">
      <c r="A377" s="32"/>
      <c r="B377" s="33"/>
      <c r="C377" s="34"/>
      <c r="D377" s="34"/>
      <c r="E377" s="35"/>
    </row>
    <row r="378" ht="22.5" customHeight="1">
      <c r="A378" s="32"/>
      <c r="B378" s="33"/>
      <c r="C378" s="34"/>
      <c r="D378" s="34"/>
      <c r="E378" s="35"/>
    </row>
    <row r="379" ht="22.5" customHeight="1">
      <c r="A379" s="32"/>
      <c r="B379" s="33"/>
      <c r="C379" s="34"/>
      <c r="D379" s="34"/>
      <c r="E379" s="35"/>
    </row>
    <row r="380" ht="22.5" customHeight="1">
      <c r="A380" s="32"/>
      <c r="B380" s="33"/>
      <c r="C380" s="34"/>
      <c r="D380" s="34"/>
      <c r="E380" s="35"/>
    </row>
    <row r="381" ht="22.5" customHeight="1">
      <c r="A381" s="32"/>
      <c r="B381" s="33"/>
      <c r="C381" s="34"/>
      <c r="D381" s="34"/>
      <c r="E381" s="35"/>
    </row>
    <row r="382" ht="22.5" customHeight="1">
      <c r="A382" s="32"/>
      <c r="B382" s="33"/>
      <c r="C382" s="34"/>
      <c r="D382" s="34"/>
      <c r="E382" s="35"/>
    </row>
    <row r="383" ht="22.5" customHeight="1">
      <c r="A383" s="32"/>
      <c r="B383" s="33"/>
      <c r="C383" s="34"/>
      <c r="D383" s="34"/>
      <c r="E383" s="35"/>
    </row>
    <row r="384" ht="22.5" customHeight="1">
      <c r="A384" s="32"/>
      <c r="B384" s="33"/>
      <c r="C384" s="34"/>
      <c r="D384" s="34"/>
      <c r="E384" s="35"/>
    </row>
    <row r="385" ht="22.5" customHeight="1">
      <c r="A385" s="32"/>
      <c r="B385" s="33"/>
      <c r="C385" s="34"/>
      <c r="D385" s="34"/>
      <c r="E385" s="35"/>
    </row>
    <row r="386" ht="22.5" customHeight="1">
      <c r="A386" s="32"/>
      <c r="B386" s="33"/>
      <c r="C386" s="34"/>
      <c r="D386" s="34"/>
      <c r="E386" s="35"/>
    </row>
    <row r="387" ht="22.5" customHeight="1">
      <c r="A387" s="32"/>
      <c r="B387" s="33"/>
      <c r="C387" s="34"/>
      <c r="D387" s="34"/>
      <c r="E387" s="35"/>
    </row>
    <row r="388" ht="22.5" customHeight="1">
      <c r="A388" s="32"/>
      <c r="B388" s="33"/>
      <c r="C388" s="34"/>
      <c r="D388" s="34"/>
      <c r="E388" s="35"/>
    </row>
    <row r="389" ht="22.5" customHeight="1">
      <c r="A389" s="32"/>
      <c r="B389" s="33"/>
      <c r="C389" s="34"/>
      <c r="D389" s="34"/>
      <c r="E389" s="35"/>
    </row>
    <row r="390" ht="22.5" customHeight="1">
      <c r="A390" s="32"/>
      <c r="B390" s="33"/>
      <c r="C390" s="34"/>
      <c r="D390" s="34"/>
      <c r="E390" s="35"/>
    </row>
    <row r="391" ht="22.5" customHeight="1">
      <c r="A391" s="32"/>
      <c r="B391" s="33"/>
      <c r="C391" s="34"/>
      <c r="D391" s="34"/>
      <c r="E391" s="35"/>
    </row>
    <row r="392" ht="22.5" customHeight="1">
      <c r="A392" s="32"/>
      <c r="B392" s="33"/>
      <c r="C392" s="34"/>
      <c r="D392" s="34"/>
      <c r="E392" s="35"/>
    </row>
    <row r="393" ht="22.5" customHeight="1">
      <c r="A393" s="32"/>
      <c r="B393" s="33"/>
      <c r="C393" s="34"/>
      <c r="D393" s="34"/>
      <c r="E393" s="35"/>
    </row>
    <row r="394" ht="22.5" customHeight="1">
      <c r="A394" s="32"/>
      <c r="B394" s="33"/>
      <c r="C394" s="34"/>
      <c r="D394" s="34"/>
      <c r="E394" s="35"/>
    </row>
    <row r="395" ht="22.5" customHeight="1">
      <c r="A395" s="32"/>
      <c r="B395" s="33"/>
      <c r="C395" s="34"/>
      <c r="D395" s="34"/>
      <c r="E395" s="35"/>
    </row>
    <row r="396" ht="22.5" customHeight="1">
      <c r="A396" s="32"/>
      <c r="B396" s="33"/>
      <c r="C396" s="34"/>
      <c r="D396" s="34"/>
      <c r="E396" s="35"/>
    </row>
    <row r="397" ht="22.5" customHeight="1">
      <c r="A397" s="32"/>
      <c r="B397" s="33"/>
      <c r="C397" s="34"/>
      <c r="D397" s="34"/>
      <c r="E397" s="35"/>
    </row>
    <row r="398" ht="22.5" customHeight="1">
      <c r="A398" s="32"/>
      <c r="B398" s="33"/>
      <c r="C398" s="34"/>
      <c r="D398" s="34"/>
      <c r="E398" s="35"/>
    </row>
    <row r="399" ht="22.5" customHeight="1">
      <c r="A399" s="32"/>
      <c r="B399" s="33"/>
      <c r="C399" s="34"/>
      <c r="D399" s="34"/>
      <c r="E399" s="35"/>
    </row>
    <row r="400" ht="22.5" customHeight="1">
      <c r="A400" s="32"/>
      <c r="B400" s="33"/>
      <c r="C400" s="34"/>
      <c r="D400" s="34"/>
      <c r="E400" s="35"/>
    </row>
    <row r="401" ht="22.5" customHeight="1">
      <c r="A401" s="32"/>
      <c r="B401" s="33"/>
      <c r="C401" s="34"/>
      <c r="D401" s="34"/>
      <c r="E401" s="35"/>
    </row>
    <row r="402" ht="22.5" customHeight="1">
      <c r="A402" s="32"/>
      <c r="B402" s="33"/>
      <c r="C402" s="34"/>
      <c r="D402" s="34"/>
      <c r="E402" s="35"/>
    </row>
    <row r="403" ht="22.5" customHeight="1">
      <c r="A403" s="32"/>
      <c r="B403" s="33"/>
      <c r="C403" s="34"/>
      <c r="D403" s="34"/>
      <c r="E403" s="35"/>
    </row>
    <row r="404" ht="22.5" customHeight="1">
      <c r="A404" s="32"/>
      <c r="B404" s="33"/>
      <c r="C404" s="34"/>
      <c r="D404" s="34"/>
      <c r="E404" s="35"/>
    </row>
    <row r="405" ht="22.5" customHeight="1">
      <c r="A405" s="32"/>
      <c r="B405" s="33"/>
      <c r="C405" s="34"/>
      <c r="D405" s="34"/>
      <c r="E405" s="35"/>
    </row>
    <row r="406" ht="22.5" customHeight="1">
      <c r="A406" s="32"/>
      <c r="B406" s="33"/>
      <c r="C406" s="34"/>
      <c r="D406" s="34"/>
      <c r="E406" s="35"/>
    </row>
    <row r="407" ht="22.5" customHeight="1">
      <c r="A407" s="32"/>
      <c r="B407" s="33"/>
      <c r="C407" s="34"/>
      <c r="D407" s="34"/>
      <c r="E407" s="35"/>
    </row>
    <row r="408" ht="22.5" customHeight="1">
      <c r="A408" s="32"/>
      <c r="B408" s="33"/>
      <c r="C408" s="34"/>
      <c r="D408" s="34"/>
      <c r="E408" s="35"/>
    </row>
    <row r="409" ht="22.5" customHeight="1">
      <c r="A409" s="32"/>
      <c r="B409" s="33"/>
      <c r="C409" s="34"/>
      <c r="D409" s="34"/>
      <c r="E409" s="35"/>
    </row>
    <row r="410" ht="22.5" customHeight="1">
      <c r="A410" s="32"/>
      <c r="B410" s="33"/>
      <c r="C410" s="34"/>
      <c r="D410" s="34"/>
      <c r="E410" s="35"/>
    </row>
    <row r="411" ht="22.5" customHeight="1">
      <c r="A411" s="32"/>
      <c r="B411" s="33"/>
      <c r="C411" s="34"/>
      <c r="D411" s="34"/>
      <c r="E411" s="35"/>
    </row>
    <row r="412" ht="22.5" customHeight="1">
      <c r="A412" s="32"/>
      <c r="B412" s="33"/>
      <c r="C412" s="34"/>
      <c r="D412" s="34"/>
      <c r="E412" s="35"/>
    </row>
    <row r="413" ht="22.5" customHeight="1">
      <c r="A413" s="32"/>
      <c r="B413" s="33"/>
      <c r="C413" s="34"/>
      <c r="D413" s="34"/>
      <c r="E413" s="35"/>
    </row>
    <row r="414" ht="22.5" customHeight="1">
      <c r="A414" s="32"/>
      <c r="B414" s="33"/>
      <c r="C414" s="34"/>
      <c r="D414" s="34"/>
      <c r="E414" s="35"/>
    </row>
    <row r="415" ht="22.5" customHeight="1">
      <c r="A415" s="32"/>
      <c r="B415" s="33"/>
      <c r="C415" s="34"/>
      <c r="D415" s="34"/>
      <c r="E415" s="35"/>
    </row>
    <row r="416" ht="22.5" customHeight="1">
      <c r="A416" s="32"/>
      <c r="B416" s="33"/>
      <c r="C416" s="34"/>
      <c r="D416" s="34"/>
      <c r="E416" s="35"/>
    </row>
    <row r="417" ht="22.5" customHeight="1">
      <c r="A417" s="32"/>
      <c r="B417" s="33"/>
      <c r="C417" s="34"/>
      <c r="D417" s="34"/>
      <c r="E417" s="35"/>
    </row>
    <row r="418" ht="22.5" customHeight="1">
      <c r="A418" s="32"/>
      <c r="B418" s="33"/>
      <c r="C418" s="34"/>
      <c r="D418" s="34"/>
      <c r="E418" s="35"/>
    </row>
    <row r="419" ht="22.5" customHeight="1">
      <c r="A419" s="32"/>
      <c r="B419" s="33"/>
      <c r="C419" s="34"/>
      <c r="D419" s="34"/>
      <c r="E419" s="35"/>
    </row>
    <row r="420" ht="22.5" customHeight="1">
      <c r="A420" s="32"/>
      <c r="B420" s="33"/>
      <c r="C420" s="34"/>
      <c r="D420" s="34"/>
      <c r="E420" s="35"/>
    </row>
    <row r="421" ht="22.5" customHeight="1">
      <c r="A421" s="32"/>
      <c r="B421" s="33"/>
      <c r="C421" s="34"/>
      <c r="D421" s="34"/>
      <c r="E421" s="35"/>
    </row>
    <row r="422" ht="22.5" customHeight="1">
      <c r="A422" s="32"/>
      <c r="B422" s="33"/>
      <c r="C422" s="34"/>
      <c r="D422" s="34"/>
      <c r="E422" s="35"/>
    </row>
    <row r="423" ht="22.5" customHeight="1">
      <c r="A423" s="32"/>
      <c r="B423" s="33"/>
      <c r="C423" s="34"/>
      <c r="D423" s="34"/>
      <c r="E423" s="35"/>
    </row>
    <row r="424" ht="22.5" customHeight="1">
      <c r="A424" s="32"/>
      <c r="B424" s="33"/>
      <c r="C424" s="34"/>
      <c r="D424" s="34"/>
      <c r="E424" s="35"/>
    </row>
    <row r="425" ht="22.5" customHeight="1">
      <c r="A425" s="32"/>
      <c r="B425" s="33"/>
      <c r="C425" s="34"/>
      <c r="D425" s="34"/>
      <c r="E425" s="35"/>
    </row>
    <row r="426" ht="22.5" customHeight="1">
      <c r="A426" s="32"/>
      <c r="B426" s="33"/>
      <c r="C426" s="34"/>
      <c r="D426" s="34"/>
      <c r="E426" s="35"/>
    </row>
    <row r="427" ht="22.5" customHeight="1">
      <c r="A427" s="32"/>
      <c r="B427" s="33"/>
      <c r="C427" s="34"/>
      <c r="D427" s="34"/>
      <c r="E427" s="35"/>
    </row>
    <row r="428" ht="22.5" customHeight="1">
      <c r="A428" s="32"/>
      <c r="B428" s="33"/>
      <c r="C428" s="34"/>
      <c r="D428" s="34"/>
      <c r="E428" s="35"/>
    </row>
    <row r="429" ht="22.5" customHeight="1">
      <c r="A429" s="32"/>
      <c r="B429" s="33"/>
      <c r="C429" s="34"/>
      <c r="D429" s="34"/>
      <c r="E429" s="35"/>
    </row>
    <row r="430" ht="22.5" customHeight="1">
      <c r="A430" s="32"/>
      <c r="B430" s="33"/>
      <c r="C430" s="34"/>
      <c r="D430" s="34"/>
      <c r="E430" s="35"/>
    </row>
    <row r="431" ht="22.5" customHeight="1">
      <c r="A431" s="32"/>
      <c r="B431" s="33"/>
      <c r="C431" s="34"/>
      <c r="D431" s="34"/>
      <c r="E431" s="35"/>
    </row>
    <row r="432" ht="22.5" customHeight="1">
      <c r="A432" s="32"/>
      <c r="B432" s="33"/>
      <c r="C432" s="34"/>
      <c r="D432" s="34"/>
      <c r="E432" s="35"/>
    </row>
    <row r="433" ht="22.5" customHeight="1">
      <c r="A433" s="32"/>
      <c r="B433" s="33"/>
      <c r="C433" s="34"/>
      <c r="D433" s="34"/>
      <c r="E433" s="35"/>
    </row>
    <row r="434" ht="22.5" customHeight="1">
      <c r="A434" s="32"/>
      <c r="B434" s="33"/>
      <c r="C434" s="34"/>
      <c r="D434" s="34"/>
      <c r="E434" s="35"/>
    </row>
    <row r="435" ht="22.5" customHeight="1">
      <c r="A435" s="32"/>
      <c r="B435" s="33"/>
      <c r="C435" s="34"/>
      <c r="D435" s="34"/>
      <c r="E435" s="35"/>
    </row>
    <row r="436" ht="22.5" customHeight="1">
      <c r="A436" s="32"/>
      <c r="B436" s="33"/>
      <c r="C436" s="34"/>
      <c r="D436" s="34"/>
      <c r="E436" s="35"/>
    </row>
    <row r="437" ht="22.5" customHeight="1">
      <c r="A437" s="32"/>
      <c r="B437" s="33"/>
      <c r="C437" s="34"/>
      <c r="D437" s="34"/>
      <c r="E437" s="35"/>
    </row>
    <row r="438" ht="22.5" customHeight="1">
      <c r="A438" s="32"/>
      <c r="B438" s="33"/>
      <c r="C438" s="34"/>
      <c r="D438" s="34"/>
      <c r="E438" s="35"/>
    </row>
    <row r="439" ht="22.5" customHeight="1">
      <c r="A439" s="32"/>
      <c r="B439" s="33"/>
      <c r="C439" s="34"/>
      <c r="D439" s="34"/>
      <c r="E439" s="35"/>
    </row>
    <row r="440" ht="22.5" customHeight="1">
      <c r="A440" s="32"/>
      <c r="B440" s="33"/>
      <c r="C440" s="34"/>
      <c r="D440" s="34"/>
      <c r="E440" s="35"/>
    </row>
    <row r="441" ht="22.5" customHeight="1">
      <c r="A441" s="32"/>
      <c r="B441" s="33"/>
      <c r="C441" s="34"/>
      <c r="D441" s="34"/>
      <c r="E441" s="35"/>
    </row>
    <row r="442" ht="22.5" customHeight="1">
      <c r="A442" s="32"/>
      <c r="B442" s="33"/>
      <c r="C442" s="34"/>
      <c r="D442" s="34"/>
      <c r="E442" s="35"/>
    </row>
    <row r="443" ht="22.5" customHeight="1">
      <c r="A443" s="32"/>
      <c r="B443" s="33"/>
      <c r="C443" s="34"/>
      <c r="D443" s="34"/>
      <c r="E443" s="35"/>
    </row>
    <row r="444" ht="22.5" customHeight="1">
      <c r="A444" s="32"/>
      <c r="B444" s="33"/>
      <c r="C444" s="34"/>
      <c r="D444" s="34"/>
      <c r="E444" s="35"/>
    </row>
    <row r="445" ht="22.5" customHeight="1">
      <c r="A445" s="32"/>
      <c r="B445" s="33"/>
      <c r="C445" s="34"/>
      <c r="D445" s="34"/>
      <c r="E445" s="35"/>
    </row>
    <row r="446" ht="22.5" customHeight="1">
      <c r="A446" s="32"/>
      <c r="B446" s="33"/>
      <c r="C446" s="34"/>
      <c r="D446" s="34"/>
      <c r="E446" s="35"/>
    </row>
    <row r="447" ht="15.75" customHeight="1">
      <c r="A447" s="12"/>
      <c r="D447" s="12"/>
      <c r="E447" s="12"/>
    </row>
    <row r="448" ht="15.75" customHeight="1">
      <c r="A448" s="12"/>
      <c r="D448" s="12"/>
      <c r="E448" s="12"/>
    </row>
    <row r="449" ht="15.75" customHeight="1">
      <c r="A449" s="12"/>
      <c r="D449" s="12"/>
      <c r="E449" s="12"/>
    </row>
    <row r="450" ht="15.75" customHeight="1">
      <c r="A450" s="12"/>
      <c r="D450" s="12"/>
      <c r="E450" s="12"/>
    </row>
    <row r="451" ht="15.75" customHeight="1">
      <c r="A451" s="12"/>
      <c r="D451" s="12"/>
      <c r="E451" s="12"/>
    </row>
    <row r="452" ht="15.75" customHeight="1">
      <c r="A452" s="12"/>
      <c r="D452" s="12"/>
      <c r="E452" s="12"/>
    </row>
    <row r="453" ht="15.75" customHeight="1">
      <c r="A453" s="12"/>
      <c r="D453" s="12"/>
      <c r="E453" s="12"/>
    </row>
    <row r="454" ht="15.75" customHeight="1">
      <c r="A454" s="12"/>
      <c r="D454" s="12"/>
      <c r="E454" s="12"/>
    </row>
    <row r="455" ht="15.75" customHeight="1">
      <c r="A455" s="12"/>
      <c r="D455" s="12"/>
      <c r="E455" s="12"/>
    </row>
    <row r="456" ht="15.75" customHeight="1">
      <c r="A456" s="12"/>
      <c r="D456" s="12"/>
      <c r="E456" s="12"/>
    </row>
    <row r="457" ht="15.75" customHeight="1">
      <c r="A457" s="12"/>
      <c r="D457" s="12"/>
      <c r="E457" s="12"/>
    </row>
    <row r="458" ht="15.75" customHeight="1">
      <c r="A458" s="12"/>
      <c r="D458" s="12"/>
      <c r="E458" s="12"/>
    </row>
    <row r="459" ht="15.75" customHeight="1">
      <c r="A459" s="12"/>
      <c r="D459" s="12"/>
      <c r="E459" s="12"/>
    </row>
    <row r="460" ht="15.75" customHeight="1">
      <c r="A460" s="12"/>
      <c r="D460" s="12"/>
      <c r="E460" s="12"/>
    </row>
    <row r="461" ht="15.75" customHeight="1">
      <c r="A461" s="12"/>
      <c r="D461" s="12"/>
      <c r="E461" s="12"/>
    </row>
    <row r="462" ht="15.75" customHeight="1">
      <c r="A462" s="12"/>
      <c r="D462" s="12"/>
      <c r="E462" s="12"/>
    </row>
    <row r="463" ht="15.75" customHeight="1">
      <c r="A463" s="12"/>
      <c r="D463" s="12"/>
      <c r="E463" s="12"/>
    </row>
    <row r="464" ht="15.75" customHeight="1">
      <c r="A464" s="12"/>
      <c r="D464" s="12"/>
      <c r="E464" s="12"/>
    </row>
    <row r="465" ht="15.75" customHeight="1">
      <c r="A465" s="12"/>
      <c r="D465" s="12"/>
      <c r="E465" s="12"/>
    </row>
    <row r="466" ht="15.75" customHeight="1">
      <c r="A466" s="12"/>
      <c r="D466" s="12"/>
      <c r="E466" s="12"/>
    </row>
    <row r="467" ht="15.75" customHeight="1">
      <c r="A467" s="12"/>
      <c r="D467" s="12"/>
      <c r="E467" s="12"/>
    </row>
    <row r="468" ht="15.75" customHeight="1">
      <c r="A468" s="12"/>
      <c r="D468" s="12"/>
      <c r="E468" s="12"/>
    </row>
    <row r="469" ht="15.75" customHeight="1">
      <c r="A469" s="12"/>
      <c r="D469" s="12"/>
      <c r="E469" s="12"/>
    </row>
    <row r="470" ht="15.75" customHeight="1">
      <c r="A470" s="12"/>
      <c r="D470" s="12"/>
      <c r="E470" s="12"/>
    </row>
    <row r="471" ht="15.75" customHeight="1">
      <c r="A471" s="12"/>
      <c r="D471" s="12"/>
      <c r="E471" s="12"/>
    </row>
    <row r="472" ht="15.75" customHeight="1">
      <c r="A472" s="12"/>
      <c r="D472" s="12"/>
      <c r="E472" s="12"/>
    </row>
    <row r="473" ht="15.75" customHeight="1">
      <c r="A473" s="12"/>
      <c r="D473" s="12"/>
      <c r="E473" s="12"/>
    </row>
    <row r="474" ht="15.75" customHeight="1">
      <c r="A474" s="12"/>
      <c r="D474" s="12"/>
      <c r="E474" s="12"/>
    </row>
    <row r="475" ht="15.75" customHeight="1">
      <c r="A475" s="12"/>
      <c r="D475" s="12"/>
      <c r="E475" s="12"/>
    </row>
    <row r="476" ht="15.75" customHeight="1">
      <c r="A476" s="12"/>
      <c r="D476" s="12"/>
      <c r="E476" s="12"/>
    </row>
    <row r="477" ht="15.75" customHeight="1">
      <c r="A477" s="12"/>
      <c r="D477" s="12"/>
      <c r="E477" s="12"/>
    </row>
    <row r="478" ht="15.75" customHeight="1">
      <c r="A478" s="12"/>
      <c r="D478" s="12"/>
      <c r="E478" s="12"/>
    </row>
    <row r="479" ht="15.75" customHeight="1">
      <c r="A479" s="12"/>
      <c r="D479" s="12"/>
      <c r="E479" s="12"/>
    </row>
    <row r="480" ht="15.75" customHeight="1">
      <c r="A480" s="12"/>
      <c r="D480" s="12"/>
      <c r="E480" s="12"/>
    </row>
    <row r="481" ht="15.75" customHeight="1">
      <c r="A481" s="12"/>
      <c r="D481" s="12"/>
      <c r="E481" s="12"/>
    </row>
    <row r="482" ht="15.75" customHeight="1">
      <c r="A482" s="12"/>
      <c r="D482" s="12"/>
      <c r="E482" s="12"/>
    </row>
    <row r="483" ht="15.75" customHeight="1">
      <c r="A483" s="12"/>
      <c r="D483" s="12"/>
      <c r="E483" s="12"/>
    </row>
    <row r="484" ht="15.75" customHeight="1">
      <c r="A484" s="12"/>
      <c r="D484" s="12"/>
      <c r="E484" s="12"/>
    </row>
    <row r="485" ht="15.75" customHeight="1">
      <c r="A485" s="12"/>
      <c r="D485" s="12"/>
      <c r="E485" s="12"/>
    </row>
    <row r="486" ht="15.75" customHeight="1">
      <c r="A486" s="12"/>
      <c r="D486" s="12"/>
      <c r="E486" s="12"/>
    </row>
    <row r="487" ht="15.75" customHeight="1">
      <c r="A487" s="12"/>
      <c r="D487" s="12"/>
      <c r="E487" s="12"/>
    </row>
    <row r="488" ht="15.75" customHeight="1">
      <c r="A488" s="12"/>
      <c r="D488" s="12"/>
      <c r="E488" s="12"/>
    </row>
    <row r="489" ht="15.75" customHeight="1">
      <c r="A489" s="12"/>
      <c r="D489" s="12"/>
      <c r="E489" s="12"/>
    </row>
    <row r="490" ht="15.75" customHeight="1">
      <c r="A490" s="12"/>
      <c r="D490" s="12"/>
      <c r="E490" s="12"/>
    </row>
    <row r="491" ht="15.75" customHeight="1">
      <c r="A491" s="12"/>
      <c r="D491" s="12"/>
      <c r="E491" s="12"/>
    </row>
    <row r="492" ht="15.75" customHeight="1">
      <c r="A492" s="12"/>
      <c r="D492" s="12"/>
      <c r="E492" s="12"/>
    </row>
    <row r="493" ht="15.75" customHeight="1">
      <c r="A493" s="12"/>
      <c r="D493" s="12"/>
      <c r="E493" s="12"/>
    </row>
    <row r="494" ht="15.75" customHeight="1">
      <c r="A494" s="12"/>
      <c r="D494" s="12"/>
      <c r="E494" s="12"/>
    </row>
    <row r="495" ht="15.75" customHeight="1">
      <c r="A495" s="12"/>
      <c r="D495" s="12"/>
      <c r="E495" s="12"/>
    </row>
    <row r="496" ht="15.75" customHeight="1">
      <c r="A496" s="12"/>
      <c r="D496" s="12"/>
      <c r="E496" s="12"/>
    </row>
    <row r="497" ht="15.75" customHeight="1">
      <c r="A497" s="12"/>
      <c r="D497" s="12"/>
      <c r="E497" s="12"/>
    </row>
    <row r="498" ht="15.75" customHeight="1">
      <c r="A498" s="12"/>
      <c r="D498" s="12"/>
      <c r="E498" s="12"/>
    </row>
    <row r="499" ht="15.75" customHeight="1">
      <c r="A499" s="12"/>
      <c r="D499" s="12"/>
      <c r="E499" s="12"/>
    </row>
    <row r="500" ht="15.75" customHeight="1">
      <c r="A500" s="12"/>
      <c r="D500" s="12"/>
      <c r="E500" s="12"/>
    </row>
    <row r="501" ht="15.75" customHeight="1">
      <c r="A501" s="12"/>
      <c r="D501" s="12"/>
      <c r="E501" s="12"/>
    </row>
    <row r="502" ht="15.75" customHeight="1">
      <c r="A502" s="12"/>
      <c r="D502" s="12"/>
      <c r="E502" s="12"/>
    </row>
    <row r="503" ht="15.75" customHeight="1">
      <c r="A503" s="12"/>
      <c r="D503" s="12"/>
      <c r="E503" s="12"/>
    </row>
    <row r="504" ht="15.75" customHeight="1">
      <c r="A504" s="12"/>
      <c r="D504" s="12"/>
      <c r="E504" s="12"/>
    </row>
    <row r="505" ht="15.75" customHeight="1">
      <c r="A505" s="12"/>
      <c r="D505" s="12"/>
      <c r="E505" s="12"/>
    </row>
    <row r="506" ht="15.75" customHeight="1">
      <c r="A506" s="12"/>
      <c r="D506" s="12"/>
      <c r="E506" s="12"/>
    </row>
    <row r="507" ht="15.75" customHeight="1">
      <c r="A507" s="12"/>
      <c r="D507" s="12"/>
      <c r="E507" s="12"/>
    </row>
    <row r="508" ht="15.75" customHeight="1">
      <c r="A508" s="12"/>
      <c r="D508" s="12"/>
      <c r="E508" s="12"/>
    </row>
    <row r="509" ht="15.75" customHeight="1">
      <c r="A509" s="12"/>
      <c r="D509" s="12"/>
      <c r="E509" s="12"/>
    </row>
    <row r="510" ht="15.75" customHeight="1">
      <c r="A510" s="12"/>
      <c r="D510" s="12"/>
      <c r="E510" s="12"/>
    </row>
    <row r="511" ht="15.75" customHeight="1">
      <c r="A511" s="12"/>
      <c r="D511" s="12"/>
      <c r="E511" s="12"/>
    </row>
    <row r="512" ht="15.75" customHeight="1">
      <c r="A512" s="12"/>
      <c r="D512" s="12"/>
      <c r="E512" s="12"/>
    </row>
    <row r="513" ht="15.75" customHeight="1">
      <c r="A513" s="12"/>
      <c r="D513" s="12"/>
      <c r="E513" s="12"/>
    </row>
    <row r="514" ht="15.75" customHeight="1">
      <c r="A514" s="12"/>
      <c r="D514" s="12"/>
      <c r="E514" s="12"/>
    </row>
    <row r="515" ht="15.75" customHeight="1">
      <c r="A515" s="12"/>
      <c r="D515" s="12"/>
      <c r="E515" s="12"/>
    </row>
    <row r="516" ht="15.75" customHeight="1">
      <c r="A516" s="12"/>
      <c r="D516" s="12"/>
      <c r="E516" s="12"/>
    </row>
    <row r="517" ht="15.75" customHeight="1">
      <c r="A517" s="12"/>
      <c r="D517" s="12"/>
      <c r="E517" s="12"/>
    </row>
    <row r="518" ht="15.75" customHeight="1">
      <c r="A518" s="12"/>
      <c r="D518" s="12"/>
      <c r="E518" s="12"/>
    </row>
    <row r="519" ht="15.75" customHeight="1">
      <c r="A519" s="12"/>
      <c r="D519" s="12"/>
      <c r="E519" s="12"/>
    </row>
    <row r="520" ht="15.75" customHeight="1">
      <c r="A520" s="12"/>
      <c r="D520" s="12"/>
      <c r="E520" s="12"/>
    </row>
    <row r="521" ht="15.75" customHeight="1">
      <c r="A521" s="12"/>
      <c r="D521" s="12"/>
      <c r="E521" s="12"/>
    </row>
    <row r="522" ht="15.75" customHeight="1">
      <c r="A522" s="12"/>
      <c r="D522" s="12"/>
      <c r="E522" s="12"/>
    </row>
    <row r="523" ht="15.75" customHeight="1">
      <c r="A523" s="12"/>
      <c r="D523" s="12"/>
      <c r="E523" s="12"/>
    </row>
    <row r="524" ht="15.75" customHeight="1">
      <c r="A524" s="12"/>
      <c r="D524" s="12"/>
      <c r="E524" s="12"/>
    </row>
    <row r="525" ht="15.75" customHeight="1">
      <c r="A525" s="12"/>
      <c r="D525" s="12"/>
      <c r="E525" s="12"/>
    </row>
    <row r="526" ht="15.75" customHeight="1">
      <c r="A526" s="12"/>
      <c r="D526" s="12"/>
      <c r="E526" s="12"/>
    </row>
    <row r="527" ht="15.75" customHeight="1">
      <c r="A527" s="12"/>
      <c r="D527" s="12"/>
      <c r="E527" s="12"/>
    </row>
    <row r="528" ht="15.75" customHeight="1">
      <c r="A528" s="12"/>
      <c r="D528" s="12"/>
      <c r="E528" s="12"/>
    </row>
    <row r="529" ht="15.75" customHeight="1">
      <c r="A529" s="12"/>
      <c r="D529" s="12"/>
      <c r="E529" s="12"/>
    </row>
    <row r="530" ht="15.75" customHeight="1">
      <c r="A530" s="12"/>
      <c r="D530" s="12"/>
      <c r="E530" s="12"/>
    </row>
    <row r="531" ht="15.75" customHeight="1">
      <c r="A531" s="12"/>
      <c r="D531" s="12"/>
      <c r="E531" s="12"/>
    </row>
    <row r="532" ht="15.75" customHeight="1">
      <c r="A532" s="12"/>
      <c r="D532" s="12"/>
      <c r="E532" s="12"/>
    </row>
    <row r="533" ht="15.75" customHeight="1">
      <c r="A533" s="12"/>
      <c r="D533" s="12"/>
      <c r="E533" s="12"/>
    </row>
    <row r="534" ht="15.75" customHeight="1">
      <c r="A534" s="12"/>
      <c r="D534" s="12"/>
      <c r="E534" s="12"/>
    </row>
    <row r="535" ht="15.75" customHeight="1">
      <c r="A535" s="12"/>
      <c r="D535" s="12"/>
      <c r="E535" s="12"/>
    </row>
    <row r="536" ht="15.75" customHeight="1">
      <c r="A536" s="12"/>
      <c r="D536" s="12"/>
      <c r="E536" s="12"/>
    </row>
    <row r="537" ht="15.75" customHeight="1">
      <c r="A537" s="12"/>
      <c r="D537" s="12"/>
      <c r="E537" s="12"/>
    </row>
    <row r="538" ht="15.75" customHeight="1">
      <c r="A538" s="12"/>
      <c r="D538" s="12"/>
      <c r="E538" s="12"/>
    </row>
    <row r="539" ht="15.75" customHeight="1">
      <c r="A539" s="12"/>
      <c r="D539" s="12"/>
      <c r="E539" s="12"/>
    </row>
    <row r="540" ht="15.75" customHeight="1">
      <c r="A540" s="12"/>
      <c r="D540" s="12"/>
      <c r="E540" s="12"/>
    </row>
    <row r="541" ht="15.75" customHeight="1">
      <c r="A541" s="12"/>
      <c r="D541" s="12"/>
      <c r="E541" s="12"/>
    </row>
    <row r="542" ht="15.75" customHeight="1">
      <c r="A542" s="12"/>
      <c r="D542" s="12"/>
      <c r="E542" s="12"/>
    </row>
    <row r="543" ht="15.75" customHeight="1">
      <c r="A543" s="12"/>
      <c r="D543" s="12"/>
      <c r="E543" s="12"/>
    </row>
    <row r="544" ht="15.75" customHeight="1">
      <c r="A544" s="12"/>
      <c r="D544" s="12"/>
      <c r="E544" s="12"/>
    </row>
    <row r="545" ht="15.75" customHeight="1">
      <c r="A545" s="12"/>
      <c r="D545" s="12"/>
      <c r="E545" s="12"/>
    </row>
    <row r="546" ht="15.75" customHeight="1">
      <c r="A546" s="12"/>
      <c r="D546" s="12"/>
      <c r="E546" s="12"/>
    </row>
    <row r="547" ht="15.75" customHeight="1">
      <c r="A547" s="12"/>
      <c r="D547" s="12"/>
      <c r="E547" s="12"/>
    </row>
    <row r="548" ht="15.75" customHeight="1">
      <c r="A548" s="12"/>
      <c r="D548" s="12"/>
      <c r="E548" s="12"/>
    </row>
    <row r="549" ht="15.75" customHeight="1">
      <c r="A549" s="12"/>
      <c r="D549" s="12"/>
      <c r="E549" s="12"/>
    </row>
    <row r="550" ht="15.75" customHeight="1">
      <c r="A550" s="12"/>
      <c r="D550" s="12"/>
      <c r="E550" s="12"/>
    </row>
    <row r="551" ht="15.75" customHeight="1">
      <c r="A551" s="12"/>
      <c r="D551" s="12"/>
      <c r="E551" s="12"/>
    </row>
    <row r="552" ht="15.75" customHeight="1">
      <c r="A552" s="12"/>
      <c r="D552" s="12"/>
      <c r="E552" s="12"/>
    </row>
    <row r="553" ht="15.75" customHeight="1">
      <c r="A553" s="12"/>
      <c r="D553" s="12"/>
      <c r="E553" s="12"/>
    </row>
    <row r="554" ht="15.75" customHeight="1">
      <c r="A554" s="12"/>
      <c r="D554" s="12"/>
      <c r="E554" s="12"/>
    </row>
    <row r="555" ht="15.75" customHeight="1">
      <c r="A555" s="12"/>
      <c r="D555" s="12"/>
      <c r="E555" s="12"/>
    </row>
    <row r="556" ht="15.75" customHeight="1">
      <c r="A556" s="12"/>
      <c r="D556" s="12"/>
      <c r="E556" s="12"/>
    </row>
    <row r="557" ht="15.75" customHeight="1">
      <c r="A557" s="12"/>
      <c r="D557" s="12"/>
      <c r="E557" s="12"/>
    </row>
    <row r="558" ht="15.75" customHeight="1">
      <c r="A558" s="12"/>
      <c r="D558" s="12"/>
      <c r="E558" s="12"/>
    </row>
    <row r="559" ht="15.75" customHeight="1">
      <c r="A559" s="12"/>
      <c r="D559" s="12"/>
      <c r="E559" s="12"/>
    </row>
    <row r="560" ht="15.75" customHeight="1">
      <c r="A560" s="12"/>
      <c r="D560" s="12"/>
      <c r="E560" s="12"/>
    </row>
    <row r="561" ht="15.75" customHeight="1">
      <c r="A561" s="12"/>
      <c r="D561" s="12"/>
      <c r="E561" s="12"/>
    </row>
    <row r="562" ht="15.75" customHeight="1">
      <c r="A562" s="12"/>
      <c r="D562" s="12"/>
      <c r="E562" s="12"/>
    </row>
    <row r="563" ht="15.75" customHeight="1">
      <c r="A563" s="12"/>
      <c r="D563" s="12"/>
      <c r="E563" s="12"/>
    </row>
    <row r="564" ht="15.75" customHeight="1">
      <c r="A564" s="12"/>
      <c r="D564" s="12"/>
      <c r="E564" s="12"/>
    </row>
    <row r="565" ht="15.75" customHeight="1">
      <c r="A565" s="12"/>
      <c r="D565" s="12"/>
      <c r="E565" s="12"/>
    </row>
    <row r="566" ht="15.75" customHeight="1">
      <c r="A566" s="12"/>
      <c r="D566" s="12"/>
      <c r="E566" s="12"/>
    </row>
    <row r="567" ht="15.75" customHeight="1">
      <c r="A567" s="12"/>
      <c r="D567" s="12"/>
      <c r="E567" s="12"/>
    </row>
    <row r="568" ht="15.75" customHeight="1">
      <c r="A568" s="12"/>
      <c r="D568" s="12"/>
      <c r="E568" s="12"/>
    </row>
    <row r="569" ht="15.75" customHeight="1">
      <c r="A569" s="12"/>
      <c r="D569" s="12"/>
      <c r="E569" s="12"/>
    </row>
    <row r="570" ht="15.75" customHeight="1">
      <c r="A570" s="12"/>
      <c r="D570" s="12"/>
      <c r="E570" s="12"/>
    </row>
    <row r="571" ht="15.75" customHeight="1">
      <c r="A571" s="12"/>
      <c r="D571" s="12"/>
      <c r="E571" s="12"/>
    </row>
    <row r="572" ht="15.75" customHeight="1">
      <c r="A572" s="12"/>
      <c r="D572" s="12"/>
      <c r="E572" s="12"/>
    </row>
    <row r="573" ht="15.75" customHeight="1">
      <c r="A573" s="12"/>
      <c r="D573" s="12"/>
      <c r="E573" s="12"/>
    </row>
    <row r="574" ht="15.75" customHeight="1">
      <c r="A574" s="12"/>
      <c r="D574" s="12"/>
      <c r="E574" s="12"/>
    </row>
    <row r="575" ht="15.75" customHeight="1">
      <c r="A575" s="12"/>
      <c r="D575" s="12"/>
      <c r="E575" s="12"/>
    </row>
    <row r="576" ht="15.75" customHeight="1">
      <c r="A576" s="12"/>
      <c r="D576" s="12"/>
      <c r="E576" s="12"/>
    </row>
    <row r="577" ht="15.75" customHeight="1">
      <c r="A577" s="12"/>
      <c r="D577" s="12"/>
      <c r="E577" s="12"/>
    </row>
    <row r="578" ht="15.75" customHeight="1">
      <c r="A578" s="12"/>
      <c r="D578" s="12"/>
      <c r="E578" s="12"/>
    </row>
    <row r="579" ht="15.75" customHeight="1">
      <c r="A579" s="12"/>
      <c r="D579" s="12"/>
      <c r="E579" s="12"/>
    </row>
    <row r="580" ht="15.75" customHeight="1">
      <c r="A580" s="12"/>
      <c r="D580" s="12"/>
      <c r="E580" s="12"/>
    </row>
    <row r="581" ht="15.75" customHeight="1">
      <c r="A581" s="12"/>
      <c r="D581" s="12"/>
      <c r="E581" s="12"/>
    </row>
    <row r="582" ht="15.75" customHeight="1">
      <c r="A582" s="12"/>
      <c r="D582" s="12"/>
      <c r="E582" s="12"/>
    </row>
    <row r="583" ht="15.75" customHeight="1">
      <c r="A583" s="12"/>
      <c r="D583" s="12"/>
      <c r="E583" s="12"/>
    </row>
    <row r="584" ht="15.75" customHeight="1">
      <c r="A584" s="12"/>
      <c r="D584" s="12"/>
      <c r="E584" s="12"/>
    </row>
    <row r="585" ht="15.75" customHeight="1">
      <c r="A585" s="12"/>
      <c r="D585" s="12"/>
      <c r="E585" s="12"/>
    </row>
    <row r="586" ht="15.75" customHeight="1">
      <c r="A586" s="12"/>
      <c r="D586" s="12"/>
      <c r="E586" s="12"/>
    </row>
    <row r="587" ht="15.75" customHeight="1">
      <c r="A587" s="12"/>
      <c r="D587" s="12"/>
      <c r="E587" s="12"/>
    </row>
    <row r="588" ht="15.75" customHeight="1">
      <c r="A588" s="12"/>
      <c r="D588" s="12"/>
      <c r="E588" s="12"/>
    </row>
    <row r="589" ht="15.75" customHeight="1">
      <c r="A589" s="12"/>
      <c r="D589" s="12"/>
      <c r="E589" s="12"/>
    </row>
    <row r="590" ht="15.75" customHeight="1">
      <c r="A590" s="12"/>
      <c r="D590" s="12"/>
      <c r="E590" s="12"/>
    </row>
    <row r="591" ht="15.75" customHeight="1">
      <c r="A591" s="12"/>
      <c r="D591" s="12"/>
      <c r="E591" s="12"/>
    </row>
    <row r="592" ht="15.75" customHeight="1">
      <c r="A592" s="12"/>
      <c r="D592" s="12"/>
      <c r="E592" s="12"/>
    </row>
    <row r="593" ht="15.75" customHeight="1">
      <c r="A593" s="12"/>
      <c r="D593" s="12"/>
      <c r="E593" s="12"/>
    </row>
    <row r="594" ht="15.75" customHeight="1">
      <c r="A594" s="12"/>
      <c r="D594" s="12"/>
      <c r="E594" s="12"/>
    </row>
    <row r="595" ht="15.75" customHeight="1">
      <c r="A595" s="12"/>
      <c r="D595" s="12"/>
      <c r="E595" s="12"/>
    </row>
    <row r="596" ht="15.75" customHeight="1">
      <c r="A596" s="12"/>
      <c r="D596" s="12"/>
      <c r="E596" s="12"/>
    </row>
    <row r="597" ht="15.75" customHeight="1">
      <c r="A597" s="12"/>
      <c r="D597" s="12"/>
      <c r="E597" s="12"/>
    </row>
    <row r="598" ht="15.75" customHeight="1">
      <c r="A598" s="12"/>
      <c r="D598" s="12"/>
      <c r="E598" s="12"/>
    </row>
    <row r="599" ht="15.75" customHeight="1">
      <c r="A599" s="12"/>
      <c r="D599" s="12"/>
      <c r="E599" s="12"/>
    </row>
    <row r="600" ht="15.75" customHeight="1">
      <c r="A600" s="12"/>
      <c r="D600" s="12"/>
      <c r="E600" s="12"/>
    </row>
    <row r="601" ht="15.75" customHeight="1">
      <c r="A601" s="12"/>
      <c r="D601" s="12"/>
      <c r="E601" s="12"/>
    </row>
    <row r="602" ht="15.75" customHeight="1">
      <c r="A602" s="12"/>
      <c r="D602" s="12"/>
      <c r="E602" s="12"/>
    </row>
    <row r="603" ht="15.75" customHeight="1">
      <c r="A603" s="12"/>
      <c r="D603" s="12"/>
      <c r="E603" s="12"/>
    </row>
    <row r="604" ht="15.75" customHeight="1">
      <c r="A604" s="12"/>
      <c r="D604" s="12"/>
      <c r="E604" s="12"/>
    </row>
    <row r="605" ht="15.75" customHeight="1">
      <c r="A605" s="12"/>
      <c r="D605" s="12"/>
      <c r="E605" s="12"/>
    </row>
    <row r="606" ht="15.75" customHeight="1">
      <c r="A606" s="12"/>
      <c r="D606" s="12"/>
      <c r="E606" s="12"/>
    </row>
    <row r="607" ht="15.75" customHeight="1">
      <c r="A607" s="12"/>
      <c r="D607" s="12"/>
      <c r="E607" s="12"/>
    </row>
    <row r="608" ht="15.75" customHeight="1">
      <c r="A608" s="12"/>
      <c r="D608" s="12"/>
      <c r="E608" s="12"/>
    </row>
    <row r="609" ht="15.75" customHeight="1">
      <c r="A609" s="12"/>
      <c r="D609" s="12"/>
      <c r="E609" s="12"/>
    </row>
    <row r="610" ht="15.75" customHeight="1">
      <c r="A610" s="12"/>
      <c r="D610" s="12"/>
      <c r="E610" s="12"/>
    </row>
    <row r="611" ht="15.75" customHeight="1">
      <c r="A611" s="12"/>
      <c r="D611" s="12"/>
      <c r="E611" s="12"/>
    </row>
    <row r="612" ht="15.75" customHeight="1">
      <c r="A612" s="12"/>
      <c r="D612" s="12"/>
      <c r="E612" s="12"/>
    </row>
    <row r="613" ht="15.75" customHeight="1">
      <c r="A613" s="12"/>
      <c r="D613" s="12"/>
      <c r="E613" s="12"/>
    </row>
    <row r="614" ht="15.75" customHeight="1">
      <c r="A614" s="12"/>
      <c r="D614" s="12"/>
      <c r="E614" s="12"/>
    </row>
    <row r="615" ht="15.75" customHeight="1">
      <c r="A615" s="12"/>
      <c r="D615" s="12"/>
      <c r="E615" s="12"/>
    </row>
    <row r="616" ht="15.75" customHeight="1">
      <c r="A616" s="12"/>
      <c r="D616" s="12"/>
      <c r="E616" s="12"/>
    </row>
    <row r="617" ht="15.75" customHeight="1">
      <c r="A617" s="12"/>
      <c r="D617" s="12"/>
      <c r="E617" s="12"/>
    </row>
    <row r="618" ht="15.75" customHeight="1">
      <c r="A618" s="12"/>
      <c r="D618" s="12"/>
      <c r="E618" s="12"/>
    </row>
    <row r="619" ht="15.75" customHeight="1">
      <c r="A619" s="12"/>
      <c r="D619" s="12"/>
      <c r="E619" s="12"/>
    </row>
    <row r="620" ht="15.75" customHeight="1">
      <c r="A620" s="12"/>
      <c r="D620" s="12"/>
      <c r="E620" s="12"/>
    </row>
    <row r="621" ht="15.75" customHeight="1">
      <c r="A621" s="12"/>
      <c r="D621" s="12"/>
      <c r="E621" s="12"/>
    </row>
    <row r="622" ht="15.75" customHeight="1">
      <c r="A622" s="12"/>
      <c r="D622" s="12"/>
      <c r="E622" s="12"/>
    </row>
    <row r="623" ht="15.75" customHeight="1">
      <c r="A623" s="12"/>
      <c r="D623" s="12"/>
      <c r="E623" s="12"/>
    </row>
    <row r="624" ht="15.75" customHeight="1">
      <c r="A624" s="12"/>
      <c r="D624" s="12"/>
      <c r="E624" s="12"/>
    </row>
    <row r="625" ht="15.75" customHeight="1">
      <c r="A625" s="12"/>
      <c r="D625" s="12"/>
      <c r="E625" s="12"/>
    </row>
    <row r="626" ht="15.75" customHeight="1">
      <c r="A626" s="12"/>
      <c r="D626" s="12"/>
      <c r="E626" s="12"/>
    </row>
    <row r="627" ht="15.75" customHeight="1">
      <c r="A627" s="12"/>
      <c r="D627" s="12"/>
      <c r="E627" s="12"/>
    </row>
    <row r="628" ht="15.75" customHeight="1">
      <c r="A628" s="12"/>
      <c r="D628" s="12"/>
      <c r="E628" s="12"/>
    </row>
    <row r="629" ht="15.75" customHeight="1">
      <c r="A629" s="12"/>
      <c r="D629" s="12"/>
      <c r="E629" s="12"/>
    </row>
    <row r="630" ht="15.75" customHeight="1">
      <c r="A630" s="12"/>
      <c r="D630" s="12"/>
      <c r="E630" s="12"/>
    </row>
    <row r="631" ht="15.75" customHeight="1">
      <c r="A631" s="12"/>
      <c r="D631" s="12"/>
      <c r="E631" s="12"/>
    </row>
    <row r="632" ht="15.75" customHeight="1">
      <c r="A632" s="12"/>
      <c r="D632" s="12"/>
      <c r="E632" s="12"/>
    </row>
    <row r="633" ht="15.75" customHeight="1">
      <c r="A633" s="12"/>
      <c r="D633" s="12"/>
      <c r="E633" s="12"/>
    </row>
    <row r="634" ht="15.75" customHeight="1">
      <c r="A634" s="12"/>
      <c r="D634" s="12"/>
      <c r="E634" s="12"/>
    </row>
    <row r="635" ht="15.75" customHeight="1">
      <c r="A635" s="12"/>
      <c r="D635" s="12"/>
      <c r="E635" s="12"/>
    </row>
    <row r="636" ht="15.75" customHeight="1">
      <c r="A636" s="12"/>
      <c r="D636" s="12"/>
      <c r="E636" s="12"/>
    </row>
    <row r="637" ht="15.75" customHeight="1">
      <c r="A637" s="12"/>
      <c r="D637" s="12"/>
      <c r="E637" s="12"/>
    </row>
    <row r="638" ht="15.75" customHeight="1">
      <c r="A638" s="12"/>
      <c r="D638" s="12"/>
      <c r="E638" s="12"/>
    </row>
    <row r="639" ht="15.75" customHeight="1">
      <c r="A639" s="12"/>
      <c r="D639" s="12"/>
      <c r="E639" s="12"/>
    </row>
    <row r="640" ht="15.75" customHeight="1">
      <c r="A640" s="12"/>
      <c r="D640" s="12"/>
      <c r="E640" s="12"/>
    </row>
    <row r="641" ht="15.75" customHeight="1">
      <c r="A641" s="12"/>
      <c r="D641" s="12"/>
      <c r="E641" s="12"/>
    </row>
    <row r="642" ht="15.75" customHeight="1">
      <c r="A642" s="12"/>
      <c r="D642" s="12"/>
      <c r="E642" s="12"/>
    </row>
    <row r="643" ht="15.75" customHeight="1">
      <c r="A643" s="12"/>
      <c r="D643" s="12"/>
      <c r="E643" s="12"/>
    </row>
    <row r="644" ht="15.75" customHeight="1">
      <c r="A644" s="12"/>
      <c r="D644" s="12"/>
      <c r="E644" s="12"/>
    </row>
    <row r="645" ht="15.75" customHeight="1">
      <c r="A645" s="12"/>
      <c r="D645" s="12"/>
      <c r="E645" s="12"/>
    </row>
    <row r="646" ht="15.75" customHeight="1">
      <c r="A646" s="12"/>
      <c r="D646" s="12"/>
      <c r="E646" s="12"/>
    </row>
    <row r="647" ht="15.75" customHeight="1">
      <c r="A647" s="12"/>
      <c r="D647" s="12"/>
      <c r="E647" s="12"/>
    </row>
    <row r="648" ht="15.75" customHeight="1">
      <c r="A648" s="12"/>
      <c r="D648" s="12"/>
      <c r="E648" s="12"/>
    </row>
    <row r="649" ht="15.75" customHeight="1">
      <c r="A649" s="12"/>
      <c r="D649" s="12"/>
      <c r="E649" s="12"/>
    </row>
    <row r="650" ht="15.75" customHeight="1">
      <c r="A650" s="12"/>
      <c r="D650" s="12"/>
      <c r="E650" s="12"/>
    </row>
    <row r="651" ht="15.75" customHeight="1">
      <c r="A651" s="12"/>
      <c r="D651" s="12"/>
      <c r="E651" s="12"/>
    </row>
    <row r="652" ht="15.75" customHeight="1">
      <c r="A652" s="12"/>
      <c r="D652" s="12"/>
      <c r="E652" s="12"/>
    </row>
    <row r="653" ht="15.75" customHeight="1">
      <c r="A653" s="12"/>
      <c r="D653" s="12"/>
      <c r="E653" s="12"/>
    </row>
    <row r="654" ht="15.75" customHeight="1">
      <c r="A654" s="12"/>
      <c r="D654" s="12"/>
      <c r="E654" s="12"/>
    </row>
    <row r="655" ht="15.75" customHeight="1">
      <c r="A655" s="12"/>
      <c r="D655" s="12"/>
      <c r="E655" s="12"/>
    </row>
    <row r="656" ht="15.75" customHeight="1">
      <c r="A656" s="12"/>
      <c r="D656" s="12"/>
      <c r="E656" s="12"/>
    </row>
    <row r="657" ht="15.75" customHeight="1">
      <c r="A657" s="12"/>
      <c r="D657" s="12"/>
      <c r="E657" s="12"/>
    </row>
    <row r="658" ht="15.75" customHeight="1">
      <c r="A658" s="12"/>
      <c r="D658" s="12"/>
      <c r="E658" s="12"/>
    </row>
    <row r="659" ht="15.75" customHeight="1">
      <c r="A659" s="12"/>
      <c r="D659" s="12"/>
      <c r="E659" s="12"/>
    </row>
    <row r="660" ht="15.75" customHeight="1">
      <c r="A660" s="12"/>
      <c r="D660" s="12"/>
      <c r="E660" s="12"/>
    </row>
    <row r="661" ht="15.75" customHeight="1">
      <c r="A661" s="12"/>
      <c r="D661" s="12"/>
      <c r="E661" s="12"/>
    </row>
    <row r="662" ht="15.75" customHeight="1">
      <c r="A662" s="12"/>
      <c r="D662" s="12"/>
      <c r="E662" s="12"/>
    </row>
    <row r="663" ht="15.75" customHeight="1">
      <c r="A663" s="12"/>
      <c r="D663" s="12"/>
      <c r="E663" s="12"/>
    </row>
    <row r="664" ht="15.75" customHeight="1">
      <c r="A664" s="12"/>
      <c r="D664" s="12"/>
      <c r="E664" s="12"/>
    </row>
    <row r="665" ht="15.75" customHeight="1">
      <c r="A665" s="12"/>
      <c r="D665" s="12"/>
      <c r="E665" s="12"/>
    </row>
    <row r="666" ht="15.75" customHeight="1">
      <c r="A666" s="12"/>
      <c r="D666" s="12"/>
      <c r="E666" s="12"/>
    </row>
    <row r="667" ht="15.75" customHeight="1">
      <c r="A667" s="12"/>
      <c r="D667" s="12"/>
      <c r="E667" s="12"/>
    </row>
    <row r="668" ht="15.75" customHeight="1">
      <c r="A668" s="12"/>
      <c r="D668" s="12"/>
      <c r="E668" s="12"/>
    </row>
    <row r="669" ht="15.75" customHeight="1">
      <c r="A669" s="12"/>
      <c r="D669" s="12"/>
      <c r="E669" s="12"/>
    </row>
    <row r="670" ht="15.75" customHeight="1">
      <c r="A670" s="12"/>
      <c r="D670" s="12"/>
      <c r="E670" s="12"/>
    </row>
    <row r="671" ht="15.75" customHeight="1">
      <c r="A671" s="12"/>
      <c r="D671" s="12"/>
      <c r="E671" s="12"/>
    </row>
    <row r="672" ht="15.75" customHeight="1">
      <c r="A672" s="12"/>
      <c r="D672" s="12"/>
      <c r="E672" s="12"/>
    </row>
    <row r="673" ht="15.75" customHeight="1">
      <c r="A673" s="12"/>
      <c r="D673" s="12"/>
      <c r="E673" s="12"/>
    </row>
    <row r="674" ht="15.75" customHeight="1">
      <c r="A674" s="12"/>
      <c r="D674" s="12"/>
      <c r="E674" s="12"/>
    </row>
    <row r="675" ht="15.75" customHeight="1">
      <c r="A675" s="12"/>
      <c r="D675" s="12"/>
      <c r="E675" s="12"/>
    </row>
    <row r="676" ht="15.75" customHeight="1">
      <c r="A676" s="12"/>
      <c r="D676" s="12"/>
      <c r="E676" s="12"/>
    </row>
    <row r="677" ht="15.75" customHeight="1">
      <c r="A677" s="12"/>
      <c r="D677" s="12"/>
      <c r="E677" s="12"/>
    </row>
    <row r="678" ht="15.75" customHeight="1">
      <c r="A678" s="12"/>
      <c r="D678" s="12"/>
      <c r="E678" s="12"/>
    </row>
    <row r="679" ht="15.75" customHeight="1">
      <c r="A679" s="12"/>
      <c r="D679" s="12"/>
      <c r="E679" s="12"/>
    </row>
    <row r="680" ht="15.75" customHeight="1">
      <c r="A680" s="12"/>
      <c r="D680" s="12"/>
      <c r="E680" s="12"/>
    </row>
    <row r="681" ht="15.75" customHeight="1">
      <c r="A681" s="12"/>
      <c r="D681" s="12"/>
      <c r="E681" s="12"/>
    </row>
    <row r="682" ht="15.75" customHeight="1">
      <c r="A682" s="12"/>
      <c r="D682" s="12"/>
      <c r="E682" s="12"/>
    </row>
    <row r="683" ht="15.75" customHeight="1">
      <c r="A683" s="12"/>
      <c r="D683" s="12"/>
      <c r="E683" s="12"/>
    </row>
    <row r="684" ht="15.75" customHeight="1">
      <c r="A684" s="12"/>
      <c r="D684" s="12"/>
      <c r="E684" s="12"/>
    </row>
    <row r="685" ht="15.75" customHeight="1">
      <c r="A685" s="12"/>
      <c r="D685" s="12"/>
      <c r="E685" s="12"/>
    </row>
    <row r="686" ht="15.75" customHeight="1">
      <c r="A686" s="12"/>
      <c r="D686" s="12"/>
      <c r="E686" s="12"/>
    </row>
    <row r="687" ht="15.75" customHeight="1">
      <c r="A687" s="12"/>
      <c r="D687" s="12"/>
      <c r="E687" s="12"/>
    </row>
    <row r="688" ht="15.75" customHeight="1">
      <c r="A688" s="12"/>
      <c r="D688" s="12"/>
      <c r="E688" s="12"/>
    </row>
    <row r="689" ht="15.75" customHeight="1">
      <c r="A689" s="12"/>
      <c r="D689" s="12"/>
      <c r="E689" s="12"/>
    </row>
    <row r="690" ht="15.75" customHeight="1">
      <c r="A690" s="12"/>
      <c r="D690" s="12"/>
      <c r="E690" s="12"/>
    </row>
    <row r="691" ht="15.75" customHeight="1">
      <c r="A691" s="12"/>
      <c r="D691" s="12"/>
      <c r="E691" s="12"/>
    </row>
    <row r="692" ht="15.75" customHeight="1">
      <c r="A692" s="12"/>
      <c r="D692" s="12"/>
      <c r="E692" s="12"/>
    </row>
    <row r="693" ht="15.75" customHeight="1">
      <c r="A693" s="12"/>
      <c r="D693" s="12"/>
      <c r="E693" s="12"/>
    </row>
    <row r="694" ht="15.75" customHeight="1">
      <c r="A694" s="12"/>
      <c r="D694" s="12"/>
      <c r="E694" s="12"/>
    </row>
    <row r="695" ht="15.75" customHeight="1">
      <c r="A695" s="12"/>
      <c r="D695" s="12"/>
      <c r="E695" s="12"/>
    </row>
    <row r="696" ht="15.75" customHeight="1">
      <c r="A696" s="12"/>
      <c r="D696" s="12"/>
      <c r="E696" s="12"/>
    </row>
    <row r="697" ht="15.75" customHeight="1">
      <c r="A697" s="12"/>
      <c r="D697" s="12"/>
      <c r="E697" s="12"/>
    </row>
    <row r="698" ht="15.75" customHeight="1">
      <c r="A698" s="12"/>
      <c r="D698" s="12"/>
      <c r="E698" s="12"/>
    </row>
    <row r="699" ht="15.75" customHeight="1">
      <c r="A699" s="12"/>
      <c r="D699" s="12"/>
      <c r="E699" s="12"/>
    </row>
    <row r="700" ht="15.75" customHeight="1">
      <c r="A700" s="12"/>
      <c r="D700" s="12"/>
      <c r="E700" s="12"/>
    </row>
    <row r="701" ht="15.75" customHeight="1">
      <c r="A701" s="12"/>
      <c r="D701" s="12"/>
      <c r="E701" s="12"/>
    </row>
    <row r="702" ht="15.75" customHeight="1">
      <c r="A702" s="12"/>
      <c r="D702" s="12"/>
      <c r="E702" s="12"/>
    </row>
    <row r="703" ht="15.75" customHeight="1">
      <c r="A703" s="12"/>
      <c r="D703" s="12"/>
      <c r="E703" s="12"/>
    </row>
    <row r="704" ht="15.75" customHeight="1">
      <c r="A704" s="12"/>
      <c r="D704" s="12"/>
      <c r="E704" s="12"/>
    </row>
    <row r="705" ht="15.75" customHeight="1">
      <c r="A705" s="12"/>
      <c r="D705" s="12"/>
      <c r="E705" s="12"/>
    </row>
    <row r="706" ht="15.75" customHeight="1">
      <c r="A706" s="12"/>
      <c r="D706" s="12"/>
      <c r="E706" s="12"/>
    </row>
    <row r="707" ht="15.75" customHeight="1">
      <c r="A707" s="12"/>
      <c r="D707" s="12"/>
      <c r="E707" s="12"/>
    </row>
    <row r="708" ht="15.75" customHeight="1">
      <c r="A708" s="12"/>
      <c r="D708" s="12"/>
      <c r="E708" s="12"/>
    </row>
    <row r="709" ht="15.75" customHeight="1">
      <c r="A709" s="12"/>
      <c r="D709" s="12"/>
      <c r="E709" s="12"/>
    </row>
    <row r="710" ht="15.75" customHeight="1">
      <c r="A710" s="12"/>
      <c r="D710" s="12"/>
      <c r="E710" s="12"/>
    </row>
    <row r="711" ht="15.75" customHeight="1">
      <c r="A711" s="12"/>
      <c r="D711" s="12"/>
      <c r="E711" s="12"/>
    </row>
    <row r="712" ht="15.75" customHeight="1">
      <c r="A712" s="12"/>
      <c r="D712" s="12"/>
      <c r="E712" s="12"/>
    </row>
    <row r="713" ht="15.75" customHeight="1">
      <c r="A713" s="12"/>
      <c r="D713" s="12"/>
      <c r="E713" s="12"/>
    </row>
    <row r="714" ht="15.75" customHeight="1">
      <c r="A714" s="12"/>
      <c r="D714" s="12"/>
      <c r="E714" s="12"/>
    </row>
    <row r="715" ht="15.75" customHeight="1">
      <c r="A715" s="12"/>
      <c r="D715" s="12"/>
      <c r="E715" s="12"/>
    </row>
    <row r="716" ht="15.75" customHeight="1">
      <c r="A716" s="12"/>
      <c r="D716" s="12"/>
      <c r="E716" s="12"/>
    </row>
    <row r="717" ht="15.75" customHeight="1">
      <c r="A717" s="12"/>
      <c r="D717" s="12"/>
      <c r="E717" s="12"/>
    </row>
    <row r="718" ht="15.75" customHeight="1">
      <c r="A718" s="12"/>
      <c r="D718" s="12"/>
      <c r="E718" s="12"/>
    </row>
    <row r="719" ht="15.75" customHeight="1">
      <c r="A719" s="12"/>
      <c r="D719" s="12"/>
      <c r="E719" s="12"/>
    </row>
    <row r="720" ht="15.75" customHeight="1">
      <c r="A720" s="12"/>
      <c r="D720" s="12"/>
      <c r="E720" s="12"/>
    </row>
    <row r="721" ht="15.75" customHeight="1">
      <c r="A721" s="12"/>
      <c r="D721" s="12"/>
      <c r="E721" s="12"/>
    </row>
    <row r="722" ht="15.75" customHeight="1">
      <c r="A722" s="12"/>
      <c r="D722" s="12"/>
      <c r="E722" s="12"/>
    </row>
    <row r="723" ht="15.75" customHeight="1">
      <c r="A723" s="12"/>
      <c r="D723" s="12"/>
      <c r="E723" s="12"/>
    </row>
    <row r="724" ht="15.75" customHeight="1">
      <c r="A724" s="12"/>
      <c r="D724" s="12"/>
      <c r="E724" s="12"/>
    </row>
    <row r="725" ht="15.75" customHeight="1">
      <c r="A725" s="12"/>
      <c r="D725" s="12"/>
      <c r="E725" s="12"/>
    </row>
    <row r="726" ht="15.75" customHeight="1">
      <c r="A726" s="12"/>
      <c r="D726" s="12"/>
      <c r="E726" s="12"/>
    </row>
    <row r="727" ht="15.75" customHeight="1">
      <c r="A727" s="12"/>
      <c r="D727" s="12"/>
      <c r="E727" s="12"/>
    </row>
    <row r="728" ht="15.75" customHeight="1">
      <c r="A728" s="12"/>
      <c r="D728" s="12"/>
      <c r="E728" s="12"/>
    </row>
    <row r="729" ht="15.75" customHeight="1">
      <c r="A729" s="12"/>
      <c r="D729" s="12"/>
      <c r="E729" s="12"/>
    </row>
    <row r="730" ht="15.75" customHeight="1">
      <c r="A730" s="12"/>
      <c r="D730" s="12"/>
      <c r="E730" s="12"/>
    </row>
    <row r="731" ht="15.75" customHeight="1">
      <c r="A731" s="12"/>
      <c r="D731" s="12"/>
      <c r="E731" s="12"/>
    </row>
    <row r="732" ht="15.75" customHeight="1">
      <c r="A732" s="12"/>
      <c r="D732" s="12"/>
      <c r="E732" s="12"/>
    </row>
    <row r="733" ht="15.75" customHeight="1">
      <c r="A733" s="12"/>
      <c r="D733" s="12"/>
      <c r="E733" s="12"/>
    </row>
    <row r="734" ht="15.75" customHeight="1">
      <c r="A734" s="12"/>
      <c r="D734" s="12"/>
      <c r="E734" s="12"/>
    </row>
    <row r="735" ht="15.75" customHeight="1">
      <c r="A735" s="12"/>
      <c r="D735" s="12"/>
      <c r="E735" s="12"/>
    </row>
    <row r="736" ht="15.75" customHeight="1">
      <c r="A736" s="12"/>
      <c r="D736" s="12"/>
      <c r="E736" s="12"/>
    </row>
    <row r="737" ht="15.75" customHeight="1">
      <c r="A737" s="12"/>
      <c r="D737" s="12"/>
      <c r="E737" s="12"/>
    </row>
    <row r="738" ht="15.75" customHeight="1">
      <c r="A738" s="12"/>
      <c r="D738" s="12"/>
      <c r="E738" s="12"/>
    </row>
    <row r="739" ht="15.75" customHeight="1">
      <c r="A739" s="12"/>
      <c r="D739" s="12"/>
      <c r="E739" s="12"/>
    </row>
    <row r="740" ht="15.75" customHeight="1">
      <c r="A740" s="12"/>
      <c r="D740" s="12"/>
      <c r="E740" s="12"/>
    </row>
    <row r="741" ht="15.75" customHeight="1">
      <c r="A741" s="12"/>
      <c r="D741" s="12"/>
      <c r="E741" s="12"/>
    </row>
    <row r="742" ht="15.75" customHeight="1">
      <c r="A742" s="12"/>
      <c r="D742" s="12"/>
      <c r="E742" s="12"/>
    </row>
    <row r="743" ht="15.75" customHeight="1">
      <c r="A743" s="12"/>
      <c r="D743" s="12"/>
      <c r="E743" s="12"/>
    </row>
    <row r="744" ht="15.75" customHeight="1">
      <c r="A744" s="12"/>
      <c r="D744" s="12"/>
      <c r="E744" s="12"/>
    </row>
    <row r="745" ht="15.75" customHeight="1">
      <c r="A745" s="12"/>
      <c r="D745" s="12"/>
      <c r="E745" s="12"/>
    </row>
    <row r="746" ht="15.75" customHeight="1">
      <c r="A746" s="12"/>
      <c r="D746" s="12"/>
      <c r="E746" s="12"/>
    </row>
    <row r="747" ht="15.75" customHeight="1">
      <c r="A747" s="12"/>
      <c r="D747" s="12"/>
      <c r="E747" s="12"/>
    </row>
    <row r="748" ht="15.75" customHeight="1">
      <c r="A748" s="12"/>
      <c r="D748" s="12"/>
      <c r="E748" s="12"/>
    </row>
    <row r="749" ht="15.75" customHeight="1">
      <c r="A749" s="12"/>
      <c r="D749" s="12"/>
      <c r="E749" s="12"/>
    </row>
    <row r="750" ht="15.75" customHeight="1">
      <c r="A750" s="12"/>
      <c r="D750" s="12"/>
      <c r="E750" s="12"/>
    </row>
    <row r="751" ht="15.75" customHeight="1">
      <c r="A751" s="12"/>
      <c r="D751" s="12"/>
      <c r="E751" s="12"/>
    </row>
    <row r="752" ht="15.75" customHeight="1">
      <c r="A752" s="12"/>
      <c r="D752" s="12"/>
      <c r="E752" s="12"/>
    </row>
    <row r="753" ht="15.75" customHeight="1">
      <c r="A753" s="12"/>
      <c r="D753" s="12"/>
      <c r="E753" s="12"/>
    </row>
    <row r="754" ht="15.75" customHeight="1">
      <c r="A754" s="12"/>
      <c r="D754" s="12"/>
      <c r="E754" s="12"/>
    </row>
    <row r="755" ht="15.75" customHeight="1">
      <c r="A755" s="12"/>
      <c r="D755" s="12"/>
      <c r="E755" s="12"/>
    </row>
    <row r="756" ht="15.75" customHeight="1">
      <c r="A756" s="12"/>
      <c r="D756" s="12"/>
      <c r="E756" s="12"/>
    </row>
    <row r="757" ht="15.75" customHeight="1">
      <c r="A757" s="12"/>
      <c r="D757" s="12"/>
      <c r="E757" s="12"/>
    </row>
    <row r="758" ht="15.75" customHeight="1">
      <c r="A758" s="12"/>
      <c r="D758" s="12"/>
      <c r="E758" s="12"/>
    </row>
    <row r="759" ht="15.75" customHeight="1">
      <c r="A759" s="12"/>
      <c r="D759" s="12"/>
      <c r="E759" s="12"/>
    </row>
    <row r="760" ht="15.75" customHeight="1">
      <c r="A760" s="12"/>
      <c r="D760" s="12"/>
      <c r="E760" s="12"/>
    </row>
    <row r="761" ht="15.75" customHeight="1">
      <c r="A761" s="12"/>
      <c r="D761" s="12"/>
      <c r="E761" s="12"/>
    </row>
    <row r="762" ht="15.75" customHeight="1">
      <c r="A762" s="12"/>
      <c r="D762" s="12"/>
      <c r="E762" s="12"/>
    </row>
    <row r="763" ht="15.75" customHeight="1">
      <c r="A763" s="12"/>
      <c r="D763" s="12"/>
      <c r="E763" s="12"/>
    </row>
    <row r="764" ht="15.75" customHeight="1">
      <c r="A764" s="12"/>
      <c r="D764" s="12"/>
      <c r="E764" s="12"/>
    </row>
    <row r="765" ht="15.75" customHeight="1">
      <c r="A765" s="12"/>
      <c r="D765" s="12"/>
      <c r="E765" s="12"/>
    </row>
    <row r="766" ht="15.75" customHeight="1">
      <c r="A766" s="12"/>
      <c r="D766" s="12"/>
      <c r="E766" s="12"/>
    </row>
    <row r="767" ht="15.75" customHeight="1">
      <c r="A767" s="12"/>
      <c r="D767" s="12"/>
      <c r="E767" s="12"/>
    </row>
    <row r="768" ht="15.75" customHeight="1">
      <c r="A768" s="12"/>
      <c r="D768" s="12"/>
      <c r="E768" s="12"/>
    </row>
    <row r="769" ht="15.75" customHeight="1">
      <c r="A769" s="12"/>
      <c r="D769" s="12"/>
      <c r="E769" s="12"/>
    </row>
    <row r="770" ht="15.75" customHeight="1">
      <c r="A770" s="12"/>
      <c r="D770" s="12"/>
      <c r="E770" s="12"/>
    </row>
    <row r="771" ht="15.75" customHeight="1">
      <c r="A771" s="12"/>
      <c r="D771" s="12"/>
      <c r="E771" s="12"/>
    </row>
    <row r="772" ht="15.75" customHeight="1">
      <c r="A772" s="12"/>
      <c r="D772" s="12"/>
      <c r="E772" s="12"/>
    </row>
    <row r="773" ht="15.75" customHeight="1">
      <c r="A773" s="12"/>
      <c r="D773" s="12"/>
      <c r="E773" s="12"/>
    </row>
    <row r="774" ht="15.75" customHeight="1">
      <c r="A774" s="12"/>
      <c r="D774" s="12"/>
      <c r="E774" s="12"/>
    </row>
    <row r="775" ht="15.75" customHeight="1">
      <c r="A775" s="12"/>
      <c r="D775" s="12"/>
      <c r="E775" s="12"/>
    </row>
    <row r="776" ht="15.75" customHeight="1">
      <c r="A776" s="12"/>
      <c r="D776" s="12"/>
      <c r="E776" s="12"/>
    </row>
    <row r="777" ht="15.75" customHeight="1">
      <c r="A777" s="12"/>
      <c r="D777" s="12"/>
      <c r="E777" s="12"/>
    </row>
    <row r="778" ht="15.75" customHeight="1">
      <c r="A778" s="12"/>
      <c r="D778" s="12"/>
      <c r="E778" s="12"/>
    </row>
    <row r="779" ht="15.75" customHeight="1">
      <c r="A779" s="12"/>
      <c r="D779" s="12"/>
      <c r="E779" s="12"/>
    </row>
    <row r="780" ht="15.75" customHeight="1">
      <c r="A780" s="12"/>
      <c r="D780" s="12"/>
      <c r="E780" s="12"/>
    </row>
    <row r="781" ht="15.75" customHeight="1">
      <c r="A781" s="12"/>
      <c r="D781" s="12"/>
      <c r="E781" s="12"/>
    </row>
    <row r="782" ht="15.75" customHeight="1">
      <c r="A782" s="12"/>
      <c r="D782" s="12"/>
      <c r="E782" s="12"/>
    </row>
    <row r="783" ht="15.75" customHeight="1">
      <c r="A783" s="12"/>
      <c r="D783" s="12"/>
      <c r="E783" s="12"/>
    </row>
    <row r="784" ht="15.75" customHeight="1">
      <c r="A784" s="12"/>
      <c r="D784" s="12"/>
      <c r="E784" s="12"/>
    </row>
    <row r="785" ht="15.75" customHeight="1">
      <c r="A785" s="12"/>
      <c r="D785" s="12"/>
      <c r="E785" s="12"/>
    </row>
    <row r="786" ht="15.75" customHeight="1">
      <c r="A786" s="12"/>
      <c r="D786" s="12"/>
      <c r="E786" s="12"/>
    </row>
    <row r="787" ht="15.75" customHeight="1">
      <c r="A787" s="12"/>
      <c r="D787" s="12"/>
      <c r="E787" s="12"/>
    </row>
    <row r="788" ht="15.75" customHeight="1">
      <c r="A788" s="12"/>
      <c r="D788" s="12"/>
      <c r="E788" s="12"/>
    </row>
    <row r="789" ht="15.75" customHeight="1">
      <c r="A789" s="12"/>
      <c r="D789" s="12"/>
      <c r="E789" s="12"/>
    </row>
    <row r="790" ht="15.75" customHeight="1">
      <c r="A790" s="12"/>
      <c r="D790" s="12"/>
      <c r="E790" s="12"/>
    </row>
    <row r="791" ht="15.75" customHeight="1">
      <c r="A791" s="12"/>
      <c r="D791" s="12"/>
      <c r="E791" s="12"/>
    </row>
    <row r="792" ht="15.75" customHeight="1">
      <c r="A792" s="12"/>
      <c r="D792" s="12"/>
      <c r="E792" s="12"/>
    </row>
    <row r="793" ht="15.75" customHeight="1">
      <c r="A793" s="12"/>
      <c r="D793" s="12"/>
      <c r="E793" s="12"/>
    </row>
    <row r="794" ht="15.75" customHeight="1">
      <c r="A794" s="12"/>
      <c r="D794" s="12"/>
      <c r="E794" s="12"/>
    </row>
    <row r="795" ht="15.75" customHeight="1">
      <c r="A795" s="12"/>
      <c r="D795" s="12"/>
      <c r="E795" s="12"/>
    </row>
    <row r="796" ht="15.75" customHeight="1">
      <c r="A796" s="12"/>
      <c r="D796" s="12"/>
      <c r="E796" s="12"/>
    </row>
    <row r="797" ht="15.75" customHeight="1">
      <c r="A797" s="12"/>
      <c r="D797" s="12"/>
      <c r="E797" s="12"/>
    </row>
    <row r="798" ht="15.75" customHeight="1">
      <c r="A798" s="12"/>
      <c r="D798" s="12"/>
      <c r="E798" s="12"/>
    </row>
    <row r="799" ht="15.75" customHeight="1">
      <c r="A799" s="12"/>
      <c r="D799" s="12"/>
      <c r="E799" s="12"/>
    </row>
    <row r="800" ht="15.75" customHeight="1">
      <c r="A800" s="12"/>
      <c r="D800" s="12"/>
      <c r="E800" s="12"/>
    </row>
    <row r="801" ht="15.75" customHeight="1">
      <c r="A801" s="12"/>
      <c r="D801" s="12"/>
      <c r="E801" s="12"/>
    </row>
    <row r="802" ht="15.75" customHeight="1">
      <c r="A802" s="12"/>
      <c r="D802" s="12"/>
      <c r="E802" s="12"/>
    </row>
    <row r="803" ht="15.75" customHeight="1">
      <c r="A803" s="12"/>
      <c r="D803" s="12"/>
      <c r="E803" s="12"/>
    </row>
    <row r="804" ht="15.75" customHeight="1">
      <c r="A804" s="12"/>
      <c r="D804" s="12"/>
      <c r="E804" s="12"/>
    </row>
    <row r="805" ht="15.75" customHeight="1">
      <c r="A805" s="12"/>
      <c r="D805" s="12"/>
      <c r="E805" s="12"/>
    </row>
    <row r="806" ht="15.75" customHeight="1">
      <c r="A806" s="12"/>
      <c r="D806" s="12"/>
      <c r="E806" s="12"/>
    </row>
    <row r="807" ht="15.75" customHeight="1">
      <c r="A807" s="12"/>
      <c r="D807" s="12"/>
      <c r="E807" s="12"/>
    </row>
    <row r="808" ht="15.75" customHeight="1">
      <c r="A808" s="12"/>
      <c r="D808" s="12"/>
      <c r="E808" s="12"/>
    </row>
    <row r="809" ht="15.75" customHeight="1">
      <c r="A809" s="12"/>
      <c r="D809" s="12"/>
      <c r="E809" s="12"/>
    </row>
    <row r="810" ht="15.75" customHeight="1">
      <c r="A810" s="12"/>
      <c r="D810" s="12"/>
      <c r="E810" s="12"/>
    </row>
    <row r="811" ht="15.75" customHeight="1">
      <c r="A811" s="12"/>
      <c r="D811" s="12"/>
      <c r="E811" s="12"/>
    </row>
    <row r="812" ht="15.75" customHeight="1">
      <c r="A812" s="12"/>
      <c r="D812" s="12"/>
      <c r="E812" s="12"/>
    </row>
    <row r="813" ht="15.75" customHeight="1">
      <c r="A813" s="12"/>
      <c r="D813" s="12"/>
      <c r="E813" s="12"/>
    </row>
    <row r="814" ht="15.75" customHeight="1">
      <c r="A814" s="12"/>
      <c r="D814" s="12"/>
      <c r="E814" s="12"/>
    </row>
    <row r="815" ht="15.75" customHeight="1">
      <c r="A815" s="12"/>
      <c r="D815" s="12"/>
      <c r="E815" s="12"/>
    </row>
    <row r="816" ht="15.75" customHeight="1">
      <c r="A816" s="12"/>
      <c r="D816" s="12"/>
      <c r="E816" s="12"/>
    </row>
    <row r="817" ht="15.75" customHeight="1">
      <c r="A817" s="12"/>
      <c r="D817" s="12"/>
      <c r="E817" s="12"/>
    </row>
    <row r="818" ht="15.75" customHeight="1">
      <c r="A818" s="12"/>
      <c r="D818" s="12"/>
      <c r="E818" s="12"/>
    </row>
    <row r="819" ht="15.75" customHeight="1">
      <c r="A819" s="12"/>
      <c r="D819" s="12"/>
      <c r="E819" s="12"/>
    </row>
    <row r="820" ht="15.75" customHeight="1">
      <c r="A820" s="12"/>
      <c r="D820" s="12"/>
      <c r="E820" s="12"/>
    </row>
    <row r="821" ht="15.75" customHeight="1">
      <c r="A821" s="12"/>
      <c r="D821" s="12"/>
      <c r="E821" s="12"/>
    </row>
    <row r="822" ht="15.75" customHeight="1">
      <c r="A822" s="12"/>
      <c r="D822" s="12"/>
      <c r="E822" s="12"/>
    </row>
    <row r="823" ht="15.75" customHeight="1">
      <c r="A823" s="12"/>
      <c r="D823" s="12"/>
      <c r="E823" s="12"/>
    </row>
    <row r="824" ht="15.75" customHeight="1">
      <c r="A824" s="12"/>
      <c r="D824" s="12"/>
      <c r="E824" s="12"/>
    </row>
    <row r="825" ht="15.75" customHeight="1">
      <c r="A825" s="12"/>
      <c r="D825" s="12"/>
      <c r="E825" s="12"/>
    </row>
    <row r="826" ht="15.75" customHeight="1">
      <c r="A826" s="12"/>
      <c r="D826" s="12"/>
      <c r="E826" s="12"/>
    </row>
    <row r="827" ht="15.75" customHeight="1">
      <c r="A827" s="12"/>
      <c r="D827" s="12"/>
      <c r="E827" s="12"/>
    </row>
    <row r="828" ht="15.75" customHeight="1">
      <c r="A828" s="12"/>
      <c r="D828" s="12"/>
      <c r="E828" s="12"/>
    </row>
    <row r="829" ht="15.75" customHeight="1">
      <c r="A829" s="12"/>
      <c r="D829" s="12"/>
      <c r="E829" s="12"/>
    </row>
    <row r="830" ht="15.75" customHeight="1">
      <c r="A830" s="12"/>
      <c r="D830" s="12"/>
      <c r="E830" s="12"/>
    </row>
    <row r="831" ht="15.75" customHeight="1">
      <c r="A831" s="12"/>
      <c r="D831" s="12"/>
      <c r="E831" s="12"/>
    </row>
    <row r="832" ht="15.75" customHeight="1">
      <c r="A832" s="12"/>
      <c r="D832" s="12"/>
      <c r="E832" s="12"/>
    </row>
    <row r="833" ht="15.75" customHeight="1">
      <c r="A833" s="12"/>
      <c r="D833" s="12"/>
      <c r="E833" s="12"/>
    </row>
    <row r="834" ht="15.75" customHeight="1">
      <c r="A834" s="12"/>
      <c r="D834" s="12"/>
      <c r="E834" s="12"/>
    </row>
    <row r="835" ht="15.75" customHeight="1">
      <c r="A835" s="12"/>
      <c r="D835" s="12"/>
      <c r="E835" s="12"/>
    </row>
    <row r="836" ht="15.75" customHeight="1">
      <c r="A836" s="12"/>
      <c r="D836" s="12"/>
      <c r="E836" s="12"/>
    </row>
    <row r="837" ht="15.75" customHeight="1">
      <c r="A837" s="12"/>
      <c r="D837" s="12"/>
      <c r="E837" s="12"/>
    </row>
    <row r="838" ht="15.75" customHeight="1">
      <c r="A838" s="12"/>
      <c r="D838" s="12"/>
      <c r="E838" s="12"/>
    </row>
    <row r="839" ht="15.75" customHeight="1">
      <c r="A839" s="12"/>
      <c r="D839" s="12"/>
      <c r="E839" s="12"/>
    </row>
    <row r="840" ht="15.75" customHeight="1">
      <c r="A840" s="12"/>
      <c r="D840" s="12"/>
      <c r="E840" s="12"/>
    </row>
    <row r="841" ht="15.75" customHeight="1">
      <c r="A841" s="12"/>
      <c r="D841" s="12"/>
      <c r="E841" s="12"/>
    </row>
    <row r="842" ht="15.75" customHeight="1">
      <c r="A842" s="12"/>
      <c r="D842" s="12"/>
      <c r="E842" s="12"/>
    </row>
    <row r="843" ht="15.75" customHeight="1">
      <c r="A843" s="12"/>
      <c r="D843" s="12"/>
      <c r="E843" s="12"/>
    </row>
    <row r="844" ht="15.75" customHeight="1">
      <c r="A844" s="12"/>
      <c r="D844" s="12"/>
      <c r="E844" s="12"/>
    </row>
    <row r="845" ht="15.75" customHeight="1">
      <c r="A845" s="12"/>
      <c r="D845" s="12"/>
      <c r="E845" s="12"/>
    </row>
    <row r="846" ht="15.75" customHeight="1">
      <c r="A846" s="12"/>
      <c r="D846" s="12"/>
      <c r="E846" s="12"/>
    </row>
    <row r="847" ht="15.75" customHeight="1">
      <c r="A847" s="12"/>
      <c r="D847" s="12"/>
      <c r="E847" s="12"/>
    </row>
    <row r="848" ht="15.75" customHeight="1">
      <c r="A848" s="12"/>
      <c r="D848" s="12"/>
      <c r="E848" s="12"/>
    </row>
    <row r="849" ht="15.75" customHeight="1">
      <c r="A849" s="12"/>
      <c r="D849" s="12"/>
      <c r="E849" s="12"/>
    </row>
    <row r="850" ht="15.75" customHeight="1">
      <c r="A850" s="12"/>
      <c r="D850" s="12"/>
      <c r="E850" s="12"/>
    </row>
    <row r="851" ht="15.75" customHeight="1">
      <c r="A851" s="12"/>
      <c r="D851" s="12"/>
      <c r="E851" s="12"/>
    </row>
    <row r="852" ht="15.75" customHeight="1">
      <c r="A852" s="12"/>
      <c r="D852" s="12"/>
      <c r="E852" s="12"/>
    </row>
    <row r="853" ht="15.75" customHeight="1">
      <c r="A853" s="12"/>
      <c r="D853" s="12"/>
      <c r="E853" s="12"/>
    </row>
    <row r="854" ht="15.75" customHeight="1">
      <c r="A854" s="12"/>
      <c r="D854" s="12"/>
      <c r="E854" s="12"/>
    </row>
    <row r="855" ht="15.75" customHeight="1">
      <c r="A855" s="12"/>
      <c r="D855" s="12"/>
      <c r="E855" s="12"/>
    </row>
    <row r="856" ht="15.75" customHeight="1">
      <c r="A856" s="12"/>
      <c r="D856" s="12"/>
      <c r="E856" s="12"/>
    </row>
    <row r="857" ht="15.75" customHeight="1">
      <c r="A857" s="12"/>
      <c r="D857" s="12"/>
      <c r="E857" s="12"/>
    </row>
    <row r="858" ht="15.75" customHeight="1">
      <c r="A858" s="12"/>
      <c r="D858" s="12"/>
      <c r="E858" s="12"/>
    </row>
    <row r="859" ht="15.75" customHeight="1">
      <c r="A859" s="12"/>
      <c r="D859" s="12"/>
      <c r="E859" s="12"/>
    </row>
    <row r="860" ht="15.75" customHeight="1">
      <c r="A860" s="12"/>
      <c r="D860" s="12"/>
      <c r="E860" s="12"/>
    </row>
    <row r="861" ht="15.75" customHeight="1">
      <c r="A861" s="12"/>
      <c r="D861" s="12"/>
      <c r="E861" s="12"/>
    </row>
    <row r="862" ht="15.75" customHeight="1">
      <c r="A862" s="12"/>
      <c r="D862" s="12"/>
      <c r="E862" s="12"/>
    </row>
    <row r="863" ht="15.75" customHeight="1">
      <c r="A863" s="12"/>
      <c r="D863" s="12"/>
      <c r="E863" s="12"/>
    </row>
    <row r="864" ht="15.75" customHeight="1">
      <c r="A864" s="12"/>
      <c r="D864" s="12"/>
      <c r="E864" s="12"/>
    </row>
    <row r="865" ht="15.75" customHeight="1">
      <c r="A865" s="12"/>
      <c r="D865" s="12"/>
      <c r="E865" s="12"/>
    </row>
    <row r="866" ht="15.75" customHeight="1">
      <c r="A866" s="12"/>
      <c r="D866" s="12"/>
      <c r="E866" s="12"/>
    </row>
    <row r="867" ht="15.75" customHeight="1">
      <c r="A867" s="12"/>
      <c r="D867" s="12"/>
      <c r="E867" s="12"/>
    </row>
    <row r="868" ht="15.75" customHeight="1">
      <c r="A868" s="12"/>
      <c r="D868" s="12"/>
      <c r="E868" s="12"/>
    </row>
    <row r="869" ht="15.75" customHeight="1">
      <c r="A869" s="12"/>
      <c r="D869" s="12"/>
      <c r="E869" s="12"/>
    </row>
    <row r="870" ht="15.75" customHeight="1">
      <c r="A870" s="12"/>
      <c r="D870" s="12"/>
      <c r="E870" s="12"/>
    </row>
    <row r="871" ht="15.75" customHeight="1">
      <c r="A871" s="12"/>
      <c r="D871" s="12"/>
      <c r="E871" s="12"/>
    </row>
    <row r="872" ht="15.75" customHeight="1">
      <c r="A872" s="12"/>
      <c r="D872" s="12"/>
      <c r="E872" s="12"/>
    </row>
    <row r="873" ht="15.75" customHeight="1">
      <c r="A873" s="12"/>
      <c r="D873" s="12"/>
      <c r="E873" s="12"/>
    </row>
    <row r="874" ht="15.75" customHeight="1">
      <c r="A874" s="12"/>
      <c r="D874" s="12"/>
      <c r="E874" s="12"/>
    </row>
    <row r="875" ht="15.75" customHeight="1">
      <c r="A875" s="12"/>
      <c r="D875" s="12"/>
      <c r="E875" s="12"/>
    </row>
    <row r="876" ht="15.75" customHeight="1">
      <c r="A876" s="12"/>
      <c r="D876" s="12"/>
      <c r="E876" s="12"/>
    </row>
    <row r="877" ht="15.75" customHeight="1">
      <c r="A877" s="12"/>
      <c r="D877" s="12"/>
      <c r="E877" s="12"/>
    </row>
    <row r="878" ht="15.75" customHeight="1">
      <c r="A878" s="12"/>
      <c r="D878" s="12"/>
      <c r="E878" s="12"/>
    </row>
    <row r="879" ht="15.75" customHeight="1">
      <c r="A879" s="12"/>
      <c r="D879" s="12"/>
      <c r="E879" s="12"/>
    </row>
    <row r="880" ht="15.75" customHeight="1">
      <c r="A880" s="12"/>
      <c r="D880" s="12"/>
      <c r="E880" s="12"/>
    </row>
    <row r="881" ht="15.75" customHeight="1">
      <c r="A881" s="12"/>
      <c r="D881" s="12"/>
      <c r="E881" s="12"/>
    </row>
    <row r="882" ht="15.75" customHeight="1">
      <c r="A882" s="12"/>
      <c r="D882" s="12"/>
      <c r="E882" s="12"/>
    </row>
    <row r="883" ht="15.75" customHeight="1">
      <c r="A883" s="12"/>
      <c r="D883" s="12"/>
      <c r="E883" s="12"/>
    </row>
    <row r="884" ht="15.75" customHeight="1">
      <c r="A884" s="12"/>
      <c r="D884" s="12"/>
      <c r="E884" s="12"/>
    </row>
    <row r="885" ht="15.75" customHeight="1">
      <c r="A885" s="12"/>
      <c r="D885" s="12"/>
      <c r="E885" s="12"/>
    </row>
    <row r="886" ht="15.75" customHeight="1">
      <c r="A886" s="12"/>
      <c r="D886" s="12"/>
      <c r="E886" s="12"/>
    </row>
    <row r="887" ht="15.75" customHeight="1">
      <c r="A887" s="12"/>
      <c r="D887" s="12"/>
      <c r="E887" s="12"/>
    </row>
    <row r="888" ht="15.75" customHeight="1">
      <c r="A888" s="12"/>
      <c r="D888" s="12"/>
      <c r="E888" s="12"/>
    </row>
    <row r="889" ht="15.75" customHeight="1">
      <c r="A889" s="12"/>
      <c r="D889" s="12"/>
      <c r="E889" s="12"/>
    </row>
    <row r="890" ht="15.75" customHeight="1">
      <c r="A890" s="12"/>
      <c r="D890" s="12"/>
      <c r="E890" s="12"/>
    </row>
    <row r="891" ht="15.75" customHeight="1">
      <c r="A891" s="12"/>
      <c r="D891" s="12"/>
      <c r="E891" s="12"/>
    </row>
    <row r="892" ht="15.75" customHeight="1">
      <c r="A892" s="12"/>
      <c r="D892" s="12"/>
      <c r="E892" s="12"/>
    </row>
    <row r="893" ht="15.75" customHeight="1">
      <c r="A893" s="12"/>
      <c r="D893" s="12"/>
      <c r="E893" s="12"/>
    </row>
    <row r="894" ht="15.75" customHeight="1">
      <c r="A894" s="12"/>
      <c r="D894" s="12"/>
      <c r="E894" s="12"/>
    </row>
    <row r="895" ht="15.75" customHeight="1">
      <c r="A895" s="12"/>
      <c r="D895" s="12"/>
      <c r="E895" s="12"/>
    </row>
    <row r="896" ht="15.75" customHeight="1">
      <c r="A896" s="12"/>
      <c r="D896" s="12"/>
      <c r="E896" s="12"/>
    </row>
    <row r="897" ht="15.75" customHeight="1">
      <c r="A897" s="12"/>
      <c r="D897" s="12"/>
      <c r="E897" s="12"/>
    </row>
    <row r="898" ht="15.75" customHeight="1">
      <c r="A898" s="12"/>
      <c r="D898" s="12"/>
      <c r="E898" s="12"/>
    </row>
    <row r="899" ht="15.75" customHeight="1">
      <c r="A899" s="12"/>
      <c r="D899" s="12"/>
      <c r="E899" s="12"/>
    </row>
    <row r="900" ht="15.75" customHeight="1">
      <c r="A900" s="12"/>
      <c r="D900" s="12"/>
      <c r="E900" s="12"/>
    </row>
    <row r="901" ht="15.75" customHeight="1">
      <c r="A901" s="12"/>
      <c r="D901" s="12"/>
      <c r="E901" s="12"/>
    </row>
    <row r="902" ht="15.75" customHeight="1">
      <c r="A902" s="12"/>
      <c r="D902" s="12"/>
      <c r="E902" s="12"/>
    </row>
    <row r="903" ht="15.75" customHeight="1">
      <c r="A903" s="12"/>
      <c r="D903" s="12"/>
      <c r="E903" s="12"/>
    </row>
    <row r="904" ht="15.75" customHeight="1">
      <c r="A904" s="12"/>
      <c r="D904" s="12"/>
      <c r="E904" s="12"/>
    </row>
    <row r="905" ht="15.75" customHeight="1">
      <c r="A905" s="12"/>
      <c r="D905" s="12"/>
      <c r="E905" s="12"/>
    </row>
    <row r="906" ht="15.75" customHeight="1">
      <c r="A906" s="12"/>
      <c r="D906" s="12"/>
      <c r="E906" s="12"/>
    </row>
    <row r="907" ht="15.75" customHeight="1">
      <c r="A907" s="12"/>
      <c r="D907" s="12"/>
      <c r="E907" s="12"/>
    </row>
    <row r="908" ht="15.75" customHeight="1">
      <c r="A908" s="12"/>
      <c r="D908" s="12"/>
      <c r="E908" s="12"/>
    </row>
    <row r="909" ht="15.75" customHeight="1">
      <c r="A909" s="12"/>
      <c r="D909" s="12"/>
      <c r="E909" s="12"/>
    </row>
    <row r="910" ht="15.75" customHeight="1">
      <c r="A910" s="12"/>
      <c r="D910" s="12"/>
      <c r="E910" s="12"/>
    </row>
    <row r="911" ht="15.75" customHeight="1">
      <c r="A911" s="12"/>
      <c r="D911" s="12"/>
      <c r="E911" s="12"/>
    </row>
    <row r="912" ht="15.75" customHeight="1">
      <c r="A912" s="12"/>
      <c r="D912" s="12"/>
      <c r="E912" s="12"/>
    </row>
    <row r="913" ht="15.75" customHeight="1">
      <c r="A913" s="12"/>
      <c r="D913" s="12"/>
      <c r="E913" s="12"/>
    </row>
    <row r="914" ht="15.75" customHeight="1">
      <c r="A914" s="12"/>
      <c r="D914" s="12"/>
      <c r="E914" s="12"/>
    </row>
    <row r="915" ht="15.75" customHeight="1">
      <c r="A915" s="12"/>
      <c r="D915" s="12"/>
      <c r="E915" s="12"/>
    </row>
    <row r="916" ht="15.75" customHeight="1">
      <c r="A916" s="12"/>
      <c r="D916" s="12"/>
      <c r="E916" s="12"/>
    </row>
    <row r="917" ht="15.75" customHeight="1">
      <c r="A917" s="12"/>
      <c r="D917" s="12"/>
      <c r="E917" s="12"/>
    </row>
    <row r="918" ht="15.75" customHeight="1">
      <c r="A918" s="12"/>
      <c r="D918" s="12"/>
      <c r="E918" s="12"/>
    </row>
    <row r="919" ht="15.75" customHeight="1">
      <c r="A919" s="12"/>
      <c r="D919" s="12"/>
      <c r="E919" s="12"/>
    </row>
    <row r="920" ht="15.75" customHeight="1">
      <c r="A920" s="12"/>
      <c r="D920" s="12"/>
      <c r="E920" s="12"/>
    </row>
    <row r="921" ht="15.75" customHeight="1">
      <c r="A921" s="12"/>
      <c r="D921" s="12"/>
      <c r="E921" s="12"/>
    </row>
    <row r="922" ht="15.75" customHeight="1">
      <c r="A922" s="12"/>
      <c r="D922" s="12"/>
      <c r="E922" s="12"/>
    </row>
    <row r="923" ht="15.75" customHeight="1">
      <c r="A923" s="12"/>
      <c r="D923" s="12"/>
      <c r="E923" s="12"/>
    </row>
    <row r="924" ht="15.75" customHeight="1">
      <c r="A924" s="12"/>
      <c r="D924" s="12"/>
      <c r="E924" s="12"/>
    </row>
    <row r="925" ht="15.75" customHeight="1">
      <c r="A925" s="12"/>
      <c r="D925" s="12"/>
      <c r="E925" s="12"/>
    </row>
    <row r="926" ht="15.75" customHeight="1">
      <c r="A926" s="12"/>
      <c r="D926" s="12"/>
      <c r="E926" s="12"/>
    </row>
    <row r="927" ht="15.75" customHeight="1">
      <c r="A927" s="12"/>
      <c r="D927" s="12"/>
      <c r="E927" s="12"/>
    </row>
    <row r="928" ht="15.75" customHeight="1">
      <c r="A928" s="12"/>
      <c r="D928" s="12"/>
      <c r="E928" s="12"/>
    </row>
    <row r="929" ht="15.75" customHeight="1">
      <c r="A929" s="12"/>
      <c r="D929" s="12"/>
      <c r="E929" s="12"/>
    </row>
    <row r="930" ht="15.75" customHeight="1">
      <c r="A930" s="12"/>
      <c r="D930" s="12"/>
      <c r="E930" s="12"/>
    </row>
    <row r="931" ht="15.75" customHeight="1">
      <c r="A931" s="12"/>
      <c r="D931" s="12"/>
      <c r="E931" s="12"/>
    </row>
    <row r="932" ht="15.75" customHeight="1">
      <c r="A932" s="12"/>
      <c r="D932" s="12"/>
      <c r="E932" s="12"/>
    </row>
    <row r="933" ht="15.75" customHeight="1">
      <c r="A933" s="12"/>
      <c r="D933" s="12"/>
      <c r="E933" s="12"/>
    </row>
    <row r="934" ht="15.75" customHeight="1">
      <c r="A934" s="12"/>
      <c r="D934" s="12"/>
      <c r="E934" s="12"/>
    </row>
    <row r="935" ht="15.75" customHeight="1">
      <c r="A935" s="12"/>
      <c r="D935" s="12"/>
      <c r="E935" s="12"/>
    </row>
    <row r="936" ht="15.75" customHeight="1">
      <c r="A936" s="12"/>
      <c r="D936" s="12"/>
      <c r="E936" s="12"/>
    </row>
    <row r="937" ht="15.75" customHeight="1">
      <c r="A937" s="12"/>
      <c r="D937" s="12"/>
      <c r="E937" s="12"/>
    </row>
    <row r="938" ht="15.75" customHeight="1">
      <c r="A938" s="12"/>
      <c r="D938" s="12"/>
      <c r="E938" s="12"/>
    </row>
    <row r="939" ht="15.75" customHeight="1">
      <c r="A939" s="12"/>
      <c r="D939" s="12"/>
      <c r="E939" s="12"/>
    </row>
    <row r="940" ht="15.75" customHeight="1">
      <c r="A940" s="12"/>
      <c r="D940" s="12"/>
      <c r="E940" s="12"/>
    </row>
    <row r="941" ht="15.75" customHeight="1">
      <c r="A941" s="12"/>
      <c r="D941" s="12"/>
      <c r="E941" s="12"/>
    </row>
    <row r="942" ht="15.75" customHeight="1">
      <c r="A942" s="12"/>
      <c r="D942" s="12"/>
      <c r="E942" s="12"/>
    </row>
    <row r="943" ht="15.75" customHeight="1">
      <c r="A943" s="12"/>
      <c r="D943" s="12"/>
      <c r="E943" s="12"/>
    </row>
    <row r="944" ht="15.75" customHeight="1">
      <c r="A944" s="12"/>
      <c r="D944" s="12"/>
      <c r="E944" s="12"/>
    </row>
    <row r="945" ht="15.75" customHeight="1">
      <c r="A945" s="12"/>
      <c r="D945" s="12"/>
      <c r="E945" s="12"/>
    </row>
    <row r="946" ht="15.75" customHeight="1">
      <c r="A946" s="12"/>
      <c r="D946" s="12"/>
      <c r="E946" s="12"/>
    </row>
    <row r="947" ht="15.75" customHeight="1">
      <c r="A947" s="12"/>
      <c r="D947" s="12"/>
      <c r="E947" s="12"/>
    </row>
    <row r="948" ht="15.75" customHeight="1">
      <c r="A948" s="12"/>
      <c r="D948" s="12"/>
      <c r="E948" s="12"/>
    </row>
    <row r="949" ht="15.75" customHeight="1">
      <c r="A949" s="12"/>
      <c r="D949" s="12"/>
      <c r="E949" s="12"/>
    </row>
    <row r="950" ht="15.75" customHeight="1">
      <c r="A950" s="12"/>
      <c r="D950" s="12"/>
      <c r="E950" s="12"/>
    </row>
    <row r="951" ht="15.75" customHeight="1">
      <c r="A951" s="12"/>
      <c r="D951" s="12"/>
      <c r="E951" s="12"/>
    </row>
    <row r="952" ht="15.75" customHeight="1">
      <c r="A952" s="12"/>
      <c r="D952" s="12"/>
      <c r="E952" s="12"/>
    </row>
    <row r="953" ht="15.75" customHeight="1">
      <c r="A953" s="12"/>
      <c r="D953" s="12"/>
      <c r="E953" s="12"/>
    </row>
    <row r="954" ht="15.75" customHeight="1">
      <c r="A954" s="12"/>
      <c r="D954" s="12"/>
      <c r="E954" s="12"/>
    </row>
    <row r="955" ht="15.75" customHeight="1">
      <c r="A955" s="12"/>
      <c r="D955" s="12"/>
      <c r="E955" s="12"/>
    </row>
    <row r="956" ht="15.75" customHeight="1">
      <c r="A956" s="12"/>
      <c r="D956" s="12"/>
      <c r="E956" s="12"/>
    </row>
    <row r="957" ht="15.75" customHeight="1">
      <c r="A957" s="12"/>
      <c r="D957" s="12"/>
      <c r="E957" s="12"/>
    </row>
    <row r="958" ht="15.75" customHeight="1">
      <c r="A958" s="12"/>
      <c r="D958" s="12"/>
      <c r="E958" s="12"/>
    </row>
    <row r="959" ht="15.75" customHeight="1">
      <c r="A959" s="12"/>
      <c r="D959" s="12"/>
      <c r="E959" s="12"/>
    </row>
    <row r="960" ht="15.75" customHeight="1">
      <c r="A960" s="12"/>
      <c r="D960" s="12"/>
      <c r="E960" s="12"/>
    </row>
    <row r="961" ht="15.75" customHeight="1">
      <c r="A961" s="12"/>
      <c r="D961" s="12"/>
      <c r="E961" s="12"/>
    </row>
    <row r="962" ht="15.75" customHeight="1">
      <c r="A962" s="12"/>
      <c r="D962" s="12"/>
      <c r="E962" s="12"/>
    </row>
    <row r="963" ht="15.75" customHeight="1">
      <c r="A963" s="12"/>
      <c r="D963" s="12"/>
      <c r="E963" s="12"/>
    </row>
    <row r="964" ht="15.75" customHeight="1">
      <c r="A964" s="12"/>
      <c r="D964" s="12"/>
      <c r="E964" s="12"/>
    </row>
    <row r="965" ht="15.75" customHeight="1">
      <c r="A965" s="12"/>
      <c r="D965" s="12"/>
      <c r="E965" s="12"/>
    </row>
    <row r="966" ht="15.75" customHeight="1">
      <c r="A966" s="12"/>
      <c r="D966" s="12"/>
      <c r="E966" s="12"/>
    </row>
    <row r="967" ht="15.75" customHeight="1">
      <c r="A967" s="12"/>
      <c r="D967" s="12"/>
      <c r="E967" s="12"/>
    </row>
    <row r="968" ht="15.75" customHeight="1">
      <c r="A968" s="12"/>
      <c r="D968" s="12"/>
      <c r="E968" s="12"/>
    </row>
    <row r="969" ht="15.75" customHeight="1">
      <c r="A969" s="12"/>
      <c r="D969" s="12"/>
      <c r="E969" s="12"/>
    </row>
    <row r="970" ht="15.75" customHeight="1">
      <c r="A970" s="12"/>
      <c r="D970" s="12"/>
      <c r="E970" s="12"/>
    </row>
    <row r="971" ht="15.75" customHeight="1">
      <c r="A971" s="12"/>
      <c r="D971" s="12"/>
      <c r="E971" s="12"/>
    </row>
    <row r="972" ht="15.75" customHeight="1">
      <c r="A972" s="12"/>
      <c r="D972" s="12"/>
      <c r="E972" s="12"/>
    </row>
    <row r="973" ht="15.75" customHeight="1">
      <c r="A973" s="12"/>
      <c r="D973" s="12"/>
      <c r="E973" s="12"/>
    </row>
    <row r="974" ht="15.75" customHeight="1">
      <c r="A974" s="12"/>
      <c r="D974" s="12"/>
      <c r="E974" s="12"/>
    </row>
    <row r="975" ht="15.75" customHeight="1">
      <c r="A975" s="12"/>
      <c r="D975" s="12"/>
      <c r="E975" s="12"/>
    </row>
    <row r="976" ht="15.75" customHeight="1">
      <c r="A976" s="12"/>
      <c r="D976" s="12"/>
      <c r="E976" s="12"/>
    </row>
    <row r="977" ht="15.75" customHeight="1">
      <c r="A977" s="12"/>
      <c r="D977" s="12"/>
      <c r="E977" s="12"/>
    </row>
    <row r="978" ht="15.75" customHeight="1">
      <c r="A978" s="12"/>
      <c r="D978" s="12"/>
      <c r="E978" s="12"/>
    </row>
    <row r="979" ht="15.75" customHeight="1">
      <c r="A979" s="12"/>
      <c r="D979" s="12"/>
      <c r="E979" s="12"/>
    </row>
    <row r="980" ht="15.75" customHeight="1">
      <c r="A980" s="12"/>
      <c r="D980" s="12"/>
      <c r="E980" s="12"/>
    </row>
    <row r="981" ht="15.75" customHeight="1">
      <c r="A981" s="12"/>
      <c r="D981" s="12"/>
      <c r="E981" s="12"/>
    </row>
    <row r="982" ht="15.75" customHeight="1">
      <c r="A982" s="12"/>
      <c r="D982" s="12"/>
      <c r="E982" s="12"/>
    </row>
    <row r="983" ht="15.75" customHeight="1">
      <c r="A983" s="12"/>
      <c r="D983" s="12"/>
      <c r="E983" s="12"/>
    </row>
    <row r="984" ht="15.75" customHeight="1">
      <c r="A984" s="12"/>
      <c r="D984" s="12"/>
      <c r="E984" s="12"/>
    </row>
    <row r="985" ht="15.75" customHeight="1">
      <c r="A985" s="12"/>
      <c r="D985" s="12"/>
      <c r="E985" s="12"/>
    </row>
    <row r="986" ht="15.75" customHeight="1">
      <c r="A986" s="12"/>
      <c r="D986" s="12"/>
      <c r="E986" s="12"/>
    </row>
    <row r="987" ht="15.75" customHeight="1">
      <c r="A987" s="12"/>
      <c r="D987" s="12"/>
      <c r="E987" s="12"/>
    </row>
    <row r="988" ht="15.75" customHeight="1">
      <c r="A988" s="12"/>
      <c r="D988" s="12"/>
      <c r="E988" s="12"/>
    </row>
    <row r="989" ht="15.75" customHeight="1">
      <c r="A989" s="12"/>
      <c r="D989" s="12"/>
      <c r="E989" s="12"/>
    </row>
    <row r="990" ht="15.75" customHeight="1">
      <c r="A990" s="12"/>
      <c r="D990" s="12"/>
      <c r="E990" s="12"/>
    </row>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E990">
      <formula1>"unit,dozen,inch,foot,mile,gallon,ounce,pound,ton,centimeter,meter,kilometer,gram,kilogram,metric ton,liter,cubic meter"</formula1>
    </dataValidation>
    <dataValidation type="custom" allowBlank="1" showDropDown="1" showErrorMessage="1" sqref="A2:A990">
      <formula1>OR(NOT(ISERROR(DATEVALUE(A2))), AND(ISNUMBER(A2), LEFT(CELL("format", A2))="D"))</formula1>
    </dataValidation>
    <dataValidation type="decimal" operator="greaterThan" allowBlank="1" showDropDown="1" showErrorMessage="1" sqref="D2:D990">
      <formula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272C"/>
    <outlinePr summaryBelow="0" summaryRight="0"/>
    <pageSetUpPr/>
  </sheetPr>
  <sheetViews>
    <sheetView showGridLines="0" workbookViewId="0"/>
  </sheetViews>
  <sheetFormatPr customHeight="1" defaultColWidth="12.63" defaultRowHeight="15.0"/>
  <cols>
    <col customWidth="1" min="1" max="1" width="3.88"/>
    <col customWidth="1" min="6" max="6" width="15.13"/>
    <col customWidth="1" min="7" max="7" width="2.63"/>
    <col customWidth="1" min="13" max="15" width="2.63"/>
    <col customWidth="1" min="21" max="22" width="2.63"/>
  </cols>
  <sheetData>
    <row r="1" ht="15.0" customHeight="1">
      <c r="A1" s="36"/>
      <c r="B1" s="36"/>
      <c r="C1" s="36"/>
      <c r="D1" s="36"/>
      <c r="E1" s="36"/>
      <c r="F1" s="36"/>
      <c r="G1" s="36"/>
      <c r="H1" s="36"/>
      <c r="I1" s="36"/>
      <c r="J1" s="36"/>
      <c r="K1" s="36"/>
      <c r="L1" s="36"/>
      <c r="M1" s="36"/>
      <c r="N1" s="36"/>
      <c r="O1" s="36"/>
      <c r="P1" s="36"/>
      <c r="Q1" s="36"/>
      <c r="R1" s="36"/>
      <c r="S1" s="36"/>
      <c r="T1" s="36"/>
      <c r="U1" s="36"/>
      <c r="V1" s="36"/>
    </row>
    <row r="2" ht="7.5" customHeight="1">
      <c r="A2" s="36"/>
      <c r="B2" s="36"/>
      <c r="C2" s="36"/>
      <c r="D2" s="36"/>
      <c r="E2" s="36"/>
      <c r="F2" s="36"/>
      <c r="G2" s="37"/>
      <c r="H2" s="38"/>
      <c r="I2" s="38"/>
      <c r="J2" s="38"/>
      <c r="K2" s="38"/>
      <c r="L2" s="38"/>
      <c r="M2" s="39"/>
      <c r="N2" s="36"/>
      <c r="O2" s="37"/>
      <c r="P2" s="38"/>
      <c r="Q2" s="38"/>
      <c r="R2" s="38"/>
      <c r="S2" s="38"/>
      <c r="T2" s="38"/>
      <c r="U2" s="39"/>
      <c r="V2" s="36"/>
    </row>
    <row r="3" ht="26.25" customHeight="1">
      <c r="A3" s="36"/>
      <c r="B3" s="36"/>
      <c r="C3" s="36"/>
      <c r="D3" s="36"/>
      <c r="E3" s="36"/>
      <c r="F3" s="36"/>
      <c r="G3" s="40"/>
      <c r="H3" s="41" t="s">
        <v>490</v>
      </c>
      <c r="I3" s="42"/>
      <c r="J3" s="42"/>
      <c r="K3" s="42"/>
      <c r="L3" s="42"/>
      <c r="M3" s="43"/>
      <c r="N3" s="36"/>
      <c r="O3" s="44"/>
      <c r="P3" s="45" t="s">
        <v>491</v>
      </c>
      <c r="Q3" s="42"/>
      <c r="R3" s="42"/>
      <c r="S3" s="42"/>
      <c r="T3" s="42"/>
      <c r="U3" s="46"/>
      <c r="V3" s="36"/>
    </row>
    <row r="4" ht="26.25" customHeight="1">
      <c r="A4" s="36"/>
      <c r="B4" s="36"/>
      <c r="C4" s="36"/>
      <c r="D4" s="36"/>
      <c r="E4" s="36"/>
      <c r="F4" s="36"/>
      <c r="G4" s="47"/>
      <c r="H4" s="48">
        <f>SUM('Current inventory list'!F2:F28)</f>
        <v>-1</v>
      </c>
      <c r="I4" s="49"/>
      <c r="J4" s="49"/>
      <c r="K4" s="49"/>
      <c r="L4" s="49"/>
      <c r="M4" s="43"/>
      <c r="N4" s="36"/>
      <c r="O4" s="50"/>
      <c r="P4" s="51" t="str">
        <f>IFERROR(__xludf.DUMMYFUNCTION("IFERROR(QUERY('Current inventory list'!A2:G28,""SELECT B WHERE F=0 LIMIT 9"",0),""None"")"),"Air Freshener")</f>
        <v>Air Freshener</v>
      </c>
      <c r="Q4" s="42"/>
      <c r="R4" s="42"/>
      <c r="S4" s="42"/>
      <c r="T4" s="42"/>
      <c r="U4" s="43"/>
      <c r="V4" s="36"/>
    </row>
    <row r="5" ht="26.25" customHeight="1">
      <c r="A5" s="52"/>
      <c r="B5" s="52"/>
      <c r="C5" s="52"/>
      <c r="D5" s="52"/>
      <c r="E5" s="52"/>
      <c r="F5" s="52"/>
      <c r="G5" s="47"/>
      <c r="H5" s="53"/>
      <c r="M5" s="54"/>
      <c r="N5" s="52"/>
      <c r="O5" s="55"/>
      <c r="P5" s="51" t="str">
        <f>IFERROR(__xludf.DUMMYFUNCTION("""COMPUTED_VALUE"""),"Alarm Clocks")</f>
        <v>Alarm Clocks</v>
      </c>
      <c r="Q5" s="42"/>
      <c r="R5" s="42"/>
      <c r="S5" s="42"/>
      <c r="T5" s="42"/>
      <c r="U5" s="54"/>
      <c r="V5" s="52"/>
    </row>
    <row r="6" ht="26.25" customHeight="1">
      <c r="A6" s="52"/>
      <c r="B6" s="52"/>
      <c r="C6" s="52"/>
      <c r="D6" s="52"/>
      <c r="E6" s="52"/>
      <c r="F6" s="52"/>
      <c r="G6" s="47"/>
      <c r="H6" s="53"/>
      <c r="M6" s="54"/>
      <c r="N6" s="52"/>
      <c r="O6" s="55"/>
      <c r="P6" s="51" t="str">
        <f>IFERROR(__xludf.DUMMYFUNCTION("""COMPUTED_VALUE"""),"Alcohol Swabs/Lens Wipes")</f>
        <v>Alcohol Swabs/Lens Wipes</v>
      </c>
      <c r="Q6" s="42"/>
      <c r="R6" s="42"/>
      <c r="S6" s="42"/>
      <c r="T6" s="42"/>
      <c r="U6" s="54"/>
      <c r="V6" s="52"/>
    </row>
    <row r="7" ht="26.25" customHeight="1">
      <c r="A7" s="52"/>
      <c r="B7" s="56"/>
      <c r="C7" s="56"/>
      <c r="D7" s="56"/>
      <c r="E7" s="57"/>
      <c r="F7" s="52"/>
      <c r="G7" s="58"/>
      <c r="H7" s="59"/>
      <c r="I7" s="59"/>
      <c r="J7" s="59"/>
      <c r="K7" s="59"/>
      <c r="L7" s="59"/>
      <c r="M7" s="60"/>
      <c r="N7" s="52"/>
      <c r="O7" s="55"/>
      <c r="P7" s="51" t="str">
        <f>IFERROR(__xludf.DUMMYFUNCTION("""COMPUTED_VALUE"""),"Aluminum Foil")</f>
        <v>Aluminum Foil</v>
      </c>
      <c r="Q7" s="42"/>
      <c r="R7" s="42"/>
      <c r="S7" s="42"/>
      <c r="T7" s="42"/>
      <c r="U7" s="54"/>
      <c r="V7" s="52"/>
    </row>
    <row r="8" ht="26.25" customHeight="1">
      <c r="A8" s="52"/>
      <c r="B8" s="61" t="s">
        <v>492</v>
      </c>
      <c r="C8" s="49"/>
      <c r="D8" s="49"/>
      <c r="E8" s="57"/>
      <c r="F8" s="52"/>
      <c r="G8" s="62"/>
      <c r="H8" s="63" t="s">
        <v>493</v>
      </c>
      <c r="I8" s="64"/>
      <c r="J8" s="64"/>
      <c r="K8" s="64"/>
      <c r="L8" s="64"/>
      <c r="M8" s="65"/>
      <c r="N8" s="52"/>
      <c r="O8" s="55"/>
      <c r="P8" s="51" t="str">
        <f>IFERROR(__xludf.DUMMYFUNCTION("""COMPUTED_VALUE"""),"Antiseptic")</f>
        <v>Antiseptic</v>
      </c>
      <c r="Q8" s="42"/>
      <c r="R8" s="42"/>
      <c r="S8" s="42"/>
      <c r="T8" s="42"/>
      <c r="U8" s="54"/>
      <c r="V8" s="52"/>
    </row>
    <row r="9" ht="26.25" customHeight="1">
      <c r="A9" s="52"/>
      <c r="B9" s="53"/>
      <c r="E9" s="66" t="s">
        <v>494</v>
      </c>
      <c r="F9" s="67"/>
      <c r="G9" s="68"/>
      <c r="H9" s="69" t="s">
        <v>495</v>
      </c>
      <c r="I9" s="70" t="str">
        <f>IFERROR(__xludf.DUMMYFUNCTION("QUERY('Current inventory list'!A2:G28,""SELECT B ORDER BY D DESC LIMIT 1"",0)"),"Air Freshener")</f>
        <v>Air Freshener</v>
      </c>
      <c r="J9" s="49"/>
      <c r="K9" s="49"/>
      <c r="L9" s="49"/>
      <c r="M9" s="54"/>
      <c r="N9" s="52"/>
      <c r="O9" s="55"/>
      <c r="P9" s="51" t="str">
        <f>IFERROR(__xludf.DUMMYFUNCTION("""COMPUTED_VALUE"""),"Baby Powder")</f>
        <v>Baby Powder</v>
      </c>
      <c r="Q9" s="42"/>
      <c r="R9" s="42"/>
      <c r="S9" s="42"/>
      <c r="T9" s="42"/>
      <c r="U9" s="54"/>
      <c r="V9" s="52"/>
    </row>
    <row r="10" ht="26.25" customHeight="1">
      <c r="A10" s="52"/>
      <c r="B10" s="52"/>
      <c r="C10" s="52"/>
      <c r="D10" s="52"/>
      <c r="E10" s="52"/>
      <c r="F10" s="52"/>
      <c r="G10" s="55"/>
      <c r="H10" s="71"/>
      <c r="I10" s="53"/>
      <c r="M10" s="54"/>
      <c r="N10" s="52"/>
      <c r="O10" s="55"/>
      <c r="P10" s="51" t="str">
        <f>IFERROR(__xludf.DUMMYFUNCTION("""COMPUTED_VALUE"""),"Baking Pans")</f>
        <v>Baking Pans</v>
      </c>
      <c r="Q10" s="42"/>
      <c r="R10" s="42"/>
      <c r="S10" s="42"/>
      <c r="T10" s="42"/>
      <c r="U10" s="54"/>
      <c r="V10" s="52"/>
    </row>
    <row r="11" ht="26.25" customHeight="1">
      <c r="A11" s="52"/>
      <c r="B11" s="52"/>
      <c r="C11" s="52"/>
      <c r="D11" s="52"/>
      <c r="E11" s="72"/>
      <c r="F11" s="52"/>
      <c r="G11" s="68"/>
      <c r="H11" s="69" t="s">
        <v>496</v>
      </c>
      <c r="I11" s="70" t="str">
        <f>IFERROR(__xludf.DUMMYFUNCTION("QUERY('Current inventory list'!A10:G28,""SELECT B ORDER BY E DESC LIMIT 1"",0)"),"Barware")</f>
        <v>Barware</v>
      </c>
      <c r="J11" s="49"/>
      <c r="K11" s="49"/>
      <c r="L11" s="49"/>
      <c r="M11" s="54"/>
      <c r="N11" s="52"/>
      <c r="O11" s="55"/>
      <c r="P11" s="51" t="str">
        <f>IFERROR(__xludf.DUMMYFUNCTION("""COMPUTED_VALUE"""),"Band-Aids")</f>
        <v>Band-Aids</v>
      </c>
      <c r="Q11" s="42"/>
      <c r="R11" s="42"/>
      <c r="S11" s="42"/>
      <c r="T11" s="42"/>
      <c r="U11" s="54"/>
      <c r="V11" s="52"/>
    </row>
    <row r="12" ht="26.25" customHeight="1">
      <c r="A12" s="52"/>
      <c r="B12" s="52"/>
      <c r="C12" s="52"/>
      <c r="D12" s="52"/>
      <c r="E12" s="52"/>
      <c r="F12" s="52"/>
      <c r="G12" s="55"/>
      <c r="H12" s="71"/>
      <c r="I12" s="53"/>
      <c r="M12" s="54"/>
      <c r="N12" s="52"/>
      <c r="O12" s="55"/>
      <c r="P12" s="51" t="str">
        <f>IFERROR(__xludf.DUMMYFUNCTION("""COMPUTED_VALUE"""),"Baskets")</f>
        <v>Baskets</v>
      </c>
      <c r="Q12" s="42"/>
      <c r="R12" s="42"/>
      <c r="S12" s="42"/>
      <c r="T12" s="42"/>
      <c r="U12" s="54"/>
      <c r="V12" s="52"/>
    </row>
    <row r="13" ht="15.0" customHeight="1">
      <c r="A13" s="52"/>
      <c r="B13" s="52"/>
      <c r="C13" s="52"/>
      <c r="D13" s="52"/>
      <c r="E13" s="52"/>
      <c r="F13" s="52"/>
      <c r="G13" s="73"/>
      <c r="H13" s="74"/>
      <c r="I13" s="75"/>
      <c r="J13" s="75"/>
      <c r="K13" s="75"/>
      <c r="L13" s="75"/>
      <c r="M13" s="60"/>
      <c r="N13" s="52"/>
      <c r="O13" s="73"/>
      <c r="P13" s="74"/>
      <c r="Q13" s="74"/>
      <c r="R13" s="74"/>
      <c r="S13" s="74"/>
      <c r="T13" s="74"/>
      <c r="U13" s="60"/>
      <c r="V13" s="52"/>
    </row>
    <row r="14" ht="15.0" customHeight="1">
      <c r="A14" s="52"/>
      <c r="B14" s="52"/>
      <c r="C14" s="52"/>
      <c r="D14" s="52"/>
      <c r="E14" s="52"/>
      <c r="F14" s="52"/>
      <c r="G14" s="52"/>
      <c r="H14" s="52"/>
      <c r="I14" s="76"/>
      <c r="J14" s="76"/>
      <c r="K14" s="76"/>
      <c r="L14" s="76"/>
      <c r="M14" s="52"/>
      <c r="N14" s="52"/>
      <c r="O14" s="52"/>
      <c r="P14" s="52"/>
      <c r="Q14" s="52"/>
      <c r="R14" s="52"/>
      <c r="S14" s="52"/>
      <c r="T14" s="52"/>
      <c r="U14" s="52"/>
      <c r="V14" s="52"/>
    </row>
    <row r="15" ht="7.5" customHeight="1">
      <c r="A15" s="52"/>
      <c r="B15" s="52"/>
      <c r="C15" s="52"/>
      <c r="D15" s="52"/>
      <c r="E15" s="52"/>
      <c r="F15" s="52"/>
      <c r="G15" s="52"/>
      <c r="H15" s="52"/>
      <c r="I15" s="52"/>
      <c r="J15" s="52"/>
      <c r="K15" s="52"/>
      <c r="L15" s="52"/>
      <c r="M15" s="52"/>
      <c r="N15" s="52"/>
      <c r="O15" s="52"/>
      <c r="P15" s="52"/>
      <c r="Q15" s="52"/>
      <c r="R15" s="52"/>
      <c r="S15" s="52"/>
      <c r="T15" s="52"/>
      <c r="U15" s="52"/>
      <c r="V15" s="52"/>
    </row>
    <row r="16" ht="26.25" customHeight="1">
      <c r="A16" s="52"/>
      <c r="B16" s="52"/>
      <c r="C16" s="52"/>
      <c r="D16" s="52"/>
      <c r="E16" s="52"/>
      <c r="F16" s="52"/>
      <c r="G16" s="52"/>
      <c r="H16" s="52"/>
      <c r="I16" s="52"/>
      <c r="J16" s="52"/>
      <c r="K16" s="52"/>
      <c r="L16" s="52"/>
      <c r="M16" s="52"/>
      <c r="N16" s="52"/>
      <c r="O16" s="52"/>
      <c r="P16" s="52"/>
      <c r="Q16" s="52"/>
      <c r="R16" s="52"/>
      <c r="S16" s="52"/>
      <c r="T16" s="52"/>
      <c r="U16" s="52"/>
      <c r="V16" s="52"/>
    </row>
    <row r="17" ht="26.25" customHeight="1">
      <c r="A17" s="52"/>
      <c r="B17" s="52"/>
      <c r="C17" s="52"/>
      <c r="D17" s="52"/>
      <c r="E17" s="52"/>
      <c r="F17" s="52"/>
      <c r="G17" s="52"/>
      <c r="H17" s="52"/>
      <c r="I17" s="52"/>
      <c r="J17" s="52"/>
      <c r="K17" s="52"/>
      <c r="L17" s="52"/>
      <c r="M17" s="52"/>
      <c r="N17" s="52"/>
      <c r="O17" s="52"/>
      <c r="P17" s="52"/>
      <c r="Q17" s="52"/>
      <c r="R17" s="52"/>
      <c r="S17" s="52"/>
      <c r="T17" s="52"/>
      <c r="U17" s="52"/>
      <c r="V17" s="52"/>
    </row>
    <row r="18" ht="26.25" customHeight="1">
      <c r="A18" s="52"/>
      <c r="B18" s="52"/>
      <c r="C18" s="52"/>
      <c r="D18" s="52"/>
      <c r="E18" s="52"/>
      <c r="F18" s="52"/>
      <c r="G18" s="52"/>
      <c r="H18" s="52"/>
      <c r="I18" s="52"/>
      <c r="J18" s="52"/>
      <c r="K18" s="52"/>
      <c r="L18" s="52"/>
      <c r="M18" s="52"/>
      <c r="N18" s="52"/>
      <c r="O18" s="52"/>
      <c r="P18" s="52"/>
      <c r="Q18" s="52"/>
      <c r="R18" s="52"/>
      <c r="S18" s="52"/>
      <c r="T18" s="52"/>
      <c r="U18" s="52"/>
      <c r="V18" s="52"/>
    </row>
    <row r="19" ht="26.25" customHeight="1">
      <c r="A19" s="52"/>
      <c r="B19" s="52"/>
      <c r="C19" s="52"/>
      <c r="D19" s="52"/>
      <c r="E19" s="52"/>
      <c r="F19" s="52"/>
      <c r="G19" s="52"/>
      <c r="H19" s="52"/>
      <c r="I19" s="52"/>
      <c r="J19" s="52"/>
      <c r="K19" s="52"/>
      <c r="L19" s="52"/>
      <c r="M19" s="52"/>
      <c r="N19" s="52"/>
      <c r="O19" s="52"/>
      <c r="P19" s="52"/>
      <c r="Q19" s="52"/>
      <c r="R19" s="52"/>
      <c r="S19" s="52"/>
      <c r="T19" s="52"/>
      <c r="U19" s="52"/>
      <c r="V19" s="52"/>
    </row>
    <row r="20" ht="26.25" customHeight="1">
      <c r="A20" s="52"/>
      <c r="B20" s="52"/>
      <c r="C20" s="52"/>
      <c r="D20" s="52"/>
      <c r="E20" s="52"/>
      <c r="F20" s="52"/>
      <c r="G20" s="52"/>
      <c r="H20" s="52"/>
      <c r="I20" s="52"/>
      <c r="J20" s="52"/>
      <c r="K20" s="52"/>
      <c r="L20" s="52"/>
      <c r="M20" s="52"/>
      <c r="N20" s="52"/>
      <c r="O20" s="52"/>
      <c r="P20" s="52"/>
      <c r="Q20" s="52"/>
      <c r="R20" s="52"/>
      <c r="S20" s="52"/>
      <c r="T20" s="52"/>
      <c r="U20" s="52"/>
      <c r="V20" s="52"/>
    </row>
    <row r="21" ht="26.25" customHeight="1">
      <c r="A21" s="52"/>
      <c r="B21" s="52"/>
      <c r="C21" s="52"/>
      <c r="D21" s="52"/>
      <c r="E21" s="52"/>
      <c r="F21" s="52"/>
      <c r="G21" s="52"/>
      <c r="H21" s="52"/>
      <c r="I21" s="52"/>
      <c r="J21" s="52"/>
      <c r="K21" s="52"/>
      <c r="L21" s="52"/>
      <c r="M21" s="52"/>
      <c r="N21" s="52"/>
      <c r="O21" s="52"/>
      <c r="P21" s="52"/>
      <c r="Q21" s="52"/>
      <c r="R21" s="52"/>
      <c r="S21" s="52"/>
      <c r="T21" s="52"/>
      <c r="U21" s="52"/>
      <c r="V21" s="52"/>
    </row>
    <row r="22" ht="26.25" customHeight="1">
      <c r="A22" s="52"/>
      <c r="B22" s="52"/>
      <c r="C22" s="52"/>
      <c r="D22" s="52"/>
      <c r="E22" s="52"/>
      <c r="F22" s="52"/>
      <c r="G22" s="52"/>
      <c r="H22" s="52"/>
      <c r="I22" s="52"/>
      <c r="J22" s="52"/>
      <c r="K22" s="52"/>
      <c r="L22" s="52"/>
      <c r="M22" s="52"/>
      <c r="N22" s="52"/>
      <c r="O22" s="52"/>
      <c r="P22" s="52"/>
      <c r="Q22" s="52"/>
      <c r="R22" s="52"/>
      <c r="S22" s="52"/>
      <c r="T22" s="52"/>
      <c r="U22" s="52"/>
      <c r="V22" s="52"/>
    </row>
    <row r="23" ht="26.25" customHeight="1">
      <c r="A23" s="52"/>
      <c r="B23" s="52"/>
      <c r="C23" s="52"/>
      <c r="D23" s="52"/>
      <c r="E23" s="52"/>
      <c r="F23" s="52"/>
      <c r="G23" s="52"/>
      <c r="H23" s="52"/>
      <c r="I23" s="52"/>
      <c r="J23" s="52"/>
      <c r="K23" s="52"/>
      <c r="L23" s="52"/>
      <c r="M23" s="52"/>
      <c r="N23" s="52"/>
      <c r="O23" s="52"/>
      <c r="P23" s="52"/>
      <c r="Q23" s="52"/>
      <c r="R23" s="52"/>
      <c r="S23" s="52"/>
      <c r="T23" s="52"/>
      <c r="U23" s="52"/>
      <c r="V23" s="52"/>
    </row>
    <row r="24" ht="26.25" customHeight="1">
      <c r="A24" s="52"/>
      <c r="B24" s="52"/>
      <c r="C24" s="52"/>
      <c r="D24" s="52"/>
      <c r="E24" s="52"/>
      <c r="F24" s="52"/>
      <c r="G24" s="52"/>
      <c r="H24" s="52"/>
      <c r="I24" s="52"/>
      <c r="J24" s="52"/>
      <c r="K24" s="52"/>
      <c r="L24" s="52"/>
      <c r="M24" s="52"/>
      <c r="N24" s="52"/>
      <c r="O24" s="52"/>
      <c r="P24" s="52"/>
      <c r="Q24" s="52"/>
      <c r="R24" s="52"/>
      <c r="S24" s="52"/>
      <c r="T24" s="52"/>
      <c r="U24" s="52"/>
      <c r="V24" s="52"/>
    </row>
    <row r="25" ht="26.25" customHeight="1">
      <c r="A25" s="52"/>
      <c r="B25" s="52"/>
      <c r="C25" s="52"/>
      <c r="D25" s="52"/>
      <c r="E25" s="52"/>
      <c r="F25" s="52"/>
      <c r="G25" s="52"/>
      <c r="H25" s="52"/>
      <c r="I25" s="52"/>
      <c r="J25" s="52"/>
      <c r="K25" s="52"/>
      <c r="L25" s="52"/>
      <c r="M25" s="52"/>
      <c r="N25" s="52"/>
      <c r="O25" s="52"/>
      <c r="P25" s="52"/>
      <c r="Q25" s="52"/>
      <c r="R25" s="52"/>
      <c r="S25" s="52"/>
      <c r="T25" s="52"/>
      <c r="U25" s="52"/>
      <c r="V25" s="52"/>
    </row>
    <row r="26" ht="15.0" customHeight="1">
      <c r="A26" s="52"/>
      <c r="B26" s="52"/>
      <c r="C26" s="52"/>
      <c r="D26" s="52"/>
      <c r="E26" s="52"/>
      <c r="F26" s="52"/>
      <c r="G26" s="52"/>
      <c r="H26" s="52"/>
      <c r="I26" s="52"/>
      <c r="J26" s="52"/>
      <c r="K26" s="52"/>
      <c r="L26" s="52"/>
      <c r="M26" s="52"/>
      <c r="N26" s="52"/>
      <c r="O26" s="52"/>
      <c r="P26" s="52"/>
      <c r="Q26" s="52"/>
      <c r="R26" s="52"/>
      <c r="S26" s="52"/>
      <c r="T26" s="52"/>
      <c r="U26" s="52"/>
      <c r="V26" s="52"/>
    </row>
    <row r="27" ht="7.5" customHeight="1">
      <c r="A27" s="52"/>
      <c r="B27" s="52"/>
      <c r="C27" s="52"/>
      <c r="D27" s="52"/>
      <c r="E27" s="52"/>
      <c r="F27" s="52"/>
      <c r="G27" s="52"/>
      <c r="H27" s="52"/>
      <c r="I27" s="52"/>
      <c r="J27" s="52"/>
      <c r="K27" s="52"/>
      <c r="L27" s="52"/>
      <c r="M27" s="52"/>
      <c r="N27" s="52"/>
      <c r="O27" s="52"/>
      <c r="P27" s="52"/>
      <c r="Q27" s="52"/>
      <c r="R27" s="52"/>
      <c r="S27" s="52"/>
      <c r="T27" s="52"/>
      <c r="U27" s="52"/>
      <c r="V27" s="52"/>
    </row>
    <row r="28" ht="15.0" customHeight="1">
      <c r="A28" s="52"/>
      <c r="B28" s="52"/>
      <c r="C28" s="52"/>
      <c r="D28" s="52"/>
      <c r="E28" s="52"/>
      <c r="F28" s="52"/>
      <c r="G28" s="52"/>
      <c r="H28" s="52"/>
      <c r="I28" s="52"/>
      <c r="J28" s="52"/>
      <c r="K28" s="52"/>
      <c r="L28" s="52"/>
      <c r="M28" s="52"/>
      <c r="N28" s="52"/>
      <c r="O28" s="52"/>
      <c r="P28" s="52"/>
      <c r="Q28" s="52"/>
      <c r="R28" s="52"/>
      <c r="S28" s="52"/>
      <c r="T28" s="52"/>
      <c r="U28" s="52"/>
      <c r="V28" s="5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L6"/>
    <mergeCell ref="H8:L8"/>
    <mergeCell ref="H9:H10"/>
    <mergeCell ref="I9:L10"/>
    <mergeCell ref="H11:H12"/>
    <mergeCell ref="I11:L12"/>
    <mergeCell ref="P8:T8"/>
    <mergeCell ref="P9:T9"/>
    <mergeCell ref="P10:T10"/>
    <mergeCell ref="P11:T11"/>
    <mergeCell ref="P12:T12"/>
    <mergeCell ref="H3:L3"/>
    <mergeCell ref="P3:T3"/>
    <mergeCell ref="P4:T4"/>
    <mergeCell ref="P5:T5"/>
    <mergeCell ref="P6:T6"/>
    <mergeCell ref="P7:T7"/>
    <mergeCell ref="B8:D9"/>
  </mergeCells>
  <conditionalFormatting sqref="P4">
    <cfRule type="cellIs" dxfId="0" priority="1" operator="equal">
      <formula>"None"</formula>
    </cfRule>
  </conditionalFormatting>
  <dataValidations>
    <dataValidation type="decimal" operator="greaterThan" allowBlank="1" showDropDown="1" showInputMessage="1" showErrorMessage="1" prompt="Enter a number greater than 0" sqref="E11">
      <formula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37.63"/>
    <col customWidth="1" min="3" max="7" width="13.38"/>
  </cols>
  <sheetData>
    <row r="1" ht="35.25" customHeight="1">
      <c r="A1" s="77" t="str">
        <f t="array" ref="A1:A241">UNIQUE(INDIRECT("'Check-in'!"&amp;LEFT(ADDRESS(1,MATCH("Stock Keeping Unit (SKU)",'Check-in'!1:1,FALSE),4,TRUE))&amp;":"&amp;LEFT(ADDRESS(1,MATCH("Stock Keeping Unit (SKU)",'Check-in'!1:1,FALSE),4,TRUE))&amp;""))</f>
        <v>Stock keeping unit (SKU)</v>
      </c>
      <c r="B1" s="77" t="s">
        <v>8</v>
      </c>
      <c r="C1" s="77" t="s">
        <v>9</v>
      </c>
      <c r="D1" s="78" t="str">
        <f t="array" ref="D1:D1000">IF(ROW(A1:A1000)=1,"Check-in total",IF(A1:A1000="","",SUMIF(INDIRECT("'Check-in'!"&amp;LEFT(ADDRESS(1,MATCH("Stock keeping unit (SKU)",'Check-in'!1:1,FALSE),4,TRUE))&amp;":"&amp;LEFT(ADDRESS(1,MATCH("Stock keeping unit (SKU)",'Check-in'!1:1,FALSE),4,TRUE))&amp;""),A1:A1000,INDIRECT("'Check-in'!"&amp;LEFT(ADDRESS(1,MATCH("Quantity",'Check-in'!1:1,FALSE),4,TRUE))&amp;":"&amp;LEFT(ADDRESS(1,MATCH("Quantity",'Check-in'!1:1,FALSE),4,TRUE))&amp;""))))</f>
        <v>Check-in total</v>
      </c>
      <c r="E1" s="78" t="str">
        <f t="array" ref="E1:E1000">IF(ROW(A1:A1000)=1,"Check-out total",IF(A1:A1000="","",SUMIF(INDIRECT("'Check-out'!"&amp;LEFT(ADDRESS(1,MATCH("Stock keeping unit (SKU)",'Check-out'!1:1,FALSE),4,TRUE))&amp;":"&amp;LEFT(ADDRESS(1,MATCH("Stock keeping unit (SKU)",'Check-out'!1:1,FALSE),4,TRUE))&amp;""),A1:A1000,INDIRECT("'Check-out'!"&amp;LEFT(ADDRESS(1,MATCH("Quantity",'Check-out'!1:1,FALSE),4,TRUE))&amp;":"&amp;LEFT(ADDRESS(1,MATCH("Quantity",'Check-out'!1:1,FALSE),4,TRUE))&amp;""))))</f>
        <v>Check-out total</v>
      </c>
      <c r="F1" s="78" t="str">
        <f t="array" ref="F1:F1000">IF(ROW(A1:A1000)=1,"Inventory",IF(A1:A1000="","",(D1:D1000-E1:E1000)))</f>
        <v>Inventory</v>
      </c>
      <c r="G1" s="79" t="str">
        <f t="array" ref="G1:G1000">IF(ROW(A1:A1000)=1,"% Available",IFERROR(IF(F1:F1000="","",F1:F1000/D1:D1000),0))</f>
        <v>% Available</v>
      </c>
    </row>
    <row r="2" ht="22.5" customHeight="1">
      <c r="A2" s="80" t="s">
        <v>10</v>
      </c>
      <c r="B2" s="81" t="s">
        <v>11</v>
      </c>
      <c r="C2" s="82" t="s">
        <v>5</v>
      </c>
      <c r="D2" s="82">
        <v>0.0</v>
      </c>
      <c r="E2" s="82">
        <v>0.0</v>
      </c>
      <c r="F2" s="82">
        <v>0.0</v>
      </c>
      <c r="G2" s="83">
        <v>0.0</v>
      </c>
    </row>
    <row r="3" ht="22.5" customHeight="1">
      <c r="A3" s="80" t="s">
        <v>12</v>
      </c>
      <c r="B3" s="81" t="s">
        <v>13</v>
      </c>
      <c r="C3" s="82" t="s">
        <v>5</v>
      </c>
      <c r="D3" s="82">
        <v>0.0</v>
      </c>
      <c r="E3" s="82">
        <v>0.0</v>
      </c>
      <c r="F3" s="82">
        <v>0.0</v>
      </c>
      <c r="G3" s="83">
        <v>0.0</v>
      </c>
    </row>
    <row r="4" ht="22.5" customHeight="1">
      <c r="A4" s="80" t="s">
        <v>14</v>
      </c>
      <c r="B4" s="81" t="s">
        <v>15</v>
      </c>
      <c r="C4" s="82" t="s">
        <v>5</v>
      </c>
      <c r="D4" s="82">
        <v>0.0</v>
      </c>
      <c r="E4" s="82">
        <v>0.0</v>
      </c>
      <c r="F4" s="82">
        <v>0.0</v>
      </c>
      <c r="G4" s="83">
        <v>0.0</v>
      </c>
    </row>
    <row r="5" ht="22.5" customHeight="1">
      <c r="A5" s="80" t="s">
        <v>16</v>
      </c>
      <c r="B5" s="81" t="s">
        <v>17</v>
      </c>
      <c r="C5" s="82" t="s">
        <v>5</v>
      </c>
      <c r="D5" s="82">
        <v>0.0</v>
      </c>
      <c r="E5" s="82">
        <v>0.0</v>
      </c>
      <c r="F5" s="82">
        <v>0.0</v>
      </c>
      <c r="G5" s="83">
        <v>0.0</v>
      </c>
    </row>
    <row r="6" ht="22.5" customHeight="1">
      <c r="A6" s="80" t="s">
        <v>18</v>
      </c>
      <c r="B6" s="81" t="s">
        <v>19</v>
      </c>
      <c r="C6" s="82" t="s">
        <v>5</v>
      </c>
      <c r="D6" s="82">
        <v>0.0</v>
      </c>
      <c r="E6" s="82">
        <v>0.0</v>
      </c>
      <c r="F6" s="82">
        <v>0.0</v>
      </c>
      <c r="G6" s="83">
        <v>0.0</v>
      </c>
    </row>
    <row r="7" ht="22.5" customHeight="1">
      <c r="A7" s="80" t="s">
        <v>20</v>
      </c>
      <c r="B7" s="81" t="s">
        <v>21</v>
      </c>
      <c r="C7" s="82" t="s">
        <v>5</v>
      </c>
      <c r="D7" s="82">
        <v>0.0</v>
      </c>
      <c r="E7" s="82">
        <v>0.0</v>
      </c>
      <c r="F7" s="82">
        <v>0.0</v>
      </c>
      <c r="G7" s="83">
        <v>0.0</v>
      </c>
    </row>
    <row r="8" ht="22.5" customHeight="1">
      <c r="A8" s="80" t="s">
        <v>22</v>
      </c>
      <c r="B8" s="81" t="s">
        <v>23</v>
      </c>
      <c r="C8" s="82" t="s">
        <v>5</v>
      </c>
      <c r="D8" s="82">
        <v>0.0</v>
      </c>
      <c r="E8" s="82">
        <v>0.0</v>
      </c>
      <c r="F8" s="82">
        <v>0.0</v>
      </c>
      <c r="G8" s="83">
        <v>0.0</v>
      </c>
    </row>
    <row r="9" ht="22.5" customHeight="1">
      <c r="A9" s="80" t="s">
        <v>24</v>
      </c>
      <c r="B9" s="81" t="s">
        <v>25</v>
      </c>
      <c r="C9" s="82" t="s">
        <v>5</v>
      </c>
      <c r="D9" s="82">
        <v>0.0</v>
      </c>
      <c r="E9" s="82">
        <v>0.0</v>
      </c>
      <c r="F9" s="82">
        <v>0.0</v>
      </c>
      <c r="G9" s="83">
        <v>0.0</v>
      </c>
    </row>
    <row r="10" ht="22.5" customHeight="1">
      <c r="A10" s="80" t="s">
        <v>3</v>
      </c>
      <c r="B10" s="81" t="s">
        <v>4</v>
      </c>
      <c r="C10" s="82" t="s">
        <v>5</v>
      </c>
      <c r="D10" s="82">
        <v>0.0</v>
      </c>
      <c r="E10" s="82">
        <v>1.0</v>
      </c>
      <c r="F10" s="82">
        <v>-1.0</v>
      </c>
      <c r="G10" s="83">
        <v>0.0</v>
      </c>
    </row>
    <row r="11" ht="22.5" customHeight="1">
      <c r="A11" s="80" t="s">
        <v>26</v>
      </c>
      <c r="B11" s="81" t="s">
        <v>27</v>
      </c>
      <c r="C11" s="82" t="s">
        <v>5</v>
      </c>
      <c r="D11" s="82">
        <v>0.0</v>
      </c>
      <c r="E11" s="82">
        <v>0.0</v>
      </c>
      <c r="F11" s="82">
        <v>0.0</v>
      </c>
      <c r="G11" s="83">
        <v>0.0</v>
      </c>
    </row>
    <row r="12" ht="22.5" customHeight="1">
      <c r="A12" s="80" t="s">
        <v>28</v>
      </c>
      <c r="B12" s="81" t="s">
        <v>29</v>
      </c>
      <c r="C12" s="82" t="s">
        <v>5</v>
      </c>
      <c r="D12" s="82">
        <v>0.0</v>
      </c>
      <c r="E12" s="82">
        <v>0.0</v>
      </c>
      <c r="F12" s="82">
        <v>0.0</v>
      </c>
      <c r="G12" s="83">
        <v>0.0</v>
      </c>
    </row>
    <row r="13" ht="22.5" customHeight="1">
      <c r="A13" s="80" t="s">
        <v>30</v>
      </c>
      <c r="B13" s="81" t="s">
        <v>31</v>
      </c>
      <c r="C13" s="82" t="s">
        <v>5</v>
      </c>
      <c r="D13" s="82">
        <v>0.0</v>
      </c>
      <c r="E13" s="82">
        <v>0.0</v>
      </c>
      <c r="F13" s="82">
        <v>0.0</v>
      </c>
      <c r="G13" s="83">
        <v>0.0</v>
      </c>
    </row>
    <row r="14" ht="22.5" customHeight="1">
      <c r="A14" s="80" t="s">
        <v>32</v>
      </c>
      <c r="B14" s="81" t="s">
        <v>33</v>
      </c>
      <c r="C14" s="82" t="s">
        <v>5</v>
      </c>
      <c r="D14" s="82">
        <v>0.0</v>
      </c>
      <c r="E14" s="82">
        <v>0.0</v>
      </c>
      <c r="F14" s="82">
        <v>0.0</v>
      </c>
      <c r="G14" s="83">
        <v>0.0</v>
      </c>
    </row>
    <row r="15" ht="22.5" customHeight="1">
      <c r="A15" s="80" t="s">
        <v>34</v>
      </c>
      <c r="B15" s="81" t="s">
        <v>35</v>
      </c>
      <c r="C15" s="82" t="s">
        <v>5</v>
      </c>
      <c r="D15" s="82">
        <v>0.0</v>
      </c>
      <c r="E15" s="82">
        <v>0.0</v>
      </c>
      <c r="F15" s="82">
        <v>0.0</v>
      </c>
      <c r="G15" s="83">
        <v>0.0</v>
      </c>
    </row>
    <row r="16" ht="22.5" customHeight="1">
      <c r="A16" s="80" t="s">
        <v>36</v>
      </c>
      <c r="B16" s="81" t="s">
        <v>37</v>
      </c>
      <c r="C16" s="82" t="s">
        <v>5</v>
      </c>
      <c r="D16" s="82">
        <v>0.0</v>
      </c>
      <c r="E16" s="82">
        <v>0.0</v>
      </c>
      <c r="F16" s="82">
        <v>0.0</v>
      </c>
      <c r="G16" s="83">
        <v>0.0</v>
      </c>
    </row>
    <row r="17" ht="22.5" customHeight="1">
      <c r="A17" s="80" t="s">
        <v>38</v>
      </c>
      <c r="B17" s="81" t="s">
        <v>39</v>
      </c>
      <c r="C17" s="82" t="s">
        <v>5</v>
      </c>
      <c r="D17" s="82">
        <v>0.0</v>
      </c>
      <c r="E17" s="82">
        <v>0.0</v>
      </c>
      <c r="F17" s="82">
        <v>0.0</v>
      </c>
      <c r="G17" s="83">
        <v>0.0</v>
      </c>
    </row>
    <row r="18" ht="22.5" customHeight="1">
      <c r="A18" s="80" t="s">
        <v>40</v>
      </c>
      <c r="B18" s="81" t="s">
        <v>41</v>
      </c>
      <c r="C18" s="82" t="s">
        <v>5</v>
      </c>
      <c r="D18" s="82">
        <v>0.0</v>
      </c>
      <c r="E18" s="82">
        <v>0.0</v>
      </c>
      <c r="F18" s="82">
        <v>0.0</v>
      </c>
      <c r="G18" s="83">
        <v>0.0</v>
      </c>
    </row>
    <row r="19" ht="22.5" customHeight="1">
      <c r="A19" s="80" t="s">
        <v>42</v>
      </c>
      <c r="B19" s="81" t="s">
        <v>43</v>
      </c>
      <c r="C19" s="82" t="s">
        <v>5</v>
      </c>
      <c r="D19" s="82">
        <v>0.0</v>
      </c>
      <c r="E19" s="82">
        <v>0.0</v>
      </c>
      <c r="F19" s="82">
        <v>0.0</v>
      </c>
      <c r="G19" s="83">
        <v>0.0</v>
      </c>
    </row>
    <row r="20" ht="22.5" customHeight="1">
      <c r="A20" s="80" t="s">
        <v>44</v>
      </c>
      <c r="B20" s="81" t="s">
        <v>45</v>
      </c>
      <c r="C20" s="82" t="s">
        <v>5</v>
      </c>
      <c r="D20" s="82">
        <v>0.0</v>
      </c>
      <c r="E20" s="82">
        <v>0.0</v>
      </c>
      <c r="F20" s="82">
        <v>0.0</v>
      </c>
      <c r="G20" s="83">
        <v>0.0</v>
      </c>
    </row>
    <row r="21" ht="22.5" customHeight="1">
      <c r="A21" s="80" t="s">
        <v>46</v>
      </c>
      <c r="B21" s="81" t="s">
        <v>47</v>
      </c>
      <c r="C21" s="82" t="s">
        <v>5</v>
      </c>
      <c r="D21" s="82">
        <v>0.0</v>
      </c>
      <c r="E21" s="82">
        <v>0.0</v>
      </c>
      <c r="F21" s="82">
        <v>0.0</v>
      </c>
      <c r="G21" s="83">
        <v>0.0</v>
      </c>
    </row>
    <row r="22" ht="22.5" customHeight="1">
      <c r="A22" s="80" t="s">
        <v>48</v>
      </c>
      <c r="B22" s="81" t="s">
        <v>49</v>
      </c>
      <c r="C22" s="82" t="s">
        <v>5</v>
      </c>
      <c r="D22" s="82">
        <v>0.0</v>
      </c>
      <c r="E22" s="82">
        <v>0.0</v>
      </c>
      <c r="F22" s="82">
        <v>0.0</v>
      </c>
      <c r="G22" s="83">
        <v>0.0</v>
      </c>
    </row>
    <row r="23" ht="22.5" customHeight="1">
      <c r="A23" s="80" t="s">
        <v>50</v>
      </c>
      <c r="B23" s="81" t="s">
        <v>51</v>
      </c>
      <c r="C23" s="82" t="s">
        <v>5</v>
      </c>
      <c r="D23" s="82">
        <v>0.0</v>
      </c>
      <c r="E23" s="82">
        <v>0.0</v>
      </c>
      <c r="F23" s="82">
        <v>0.0</v>
      </c>
      <c r="G23" s="83">
        <v>0.0</v>
      </c>
    </row>
    <row r="24" ht="22.5" customHeight="1">
      <c r="A24" s="80" t="s">
        <v>52</v>
      </c>
      <c r="B24" s="81" t="s">
        <v>53</v>
      </c>
      <c r="C24" s="82" t="s">
        <v>5</v>
      </c>
      <c r="D24" s="82">
        <v>0.0</v>
      </c>
      <c r="E24" s="82">
        <v>0.0</v>
      </c>
      <c r="F24" s="82">
        <v>0.0</v>
      </c>
      <c r="G24" s="83">
        <v>0.0</v>
      </c>
    </row>
    <row r="25" ht="22.5" customHeight="1">
      <c r="A25" s="80" t="s">
        <v>54</v>
      </c>
      <c r="B25" s="81" t="s">
        <v>55</v>
      </c>
      <c r="C25" s="82" t="s">
        <v>5</v>
      </c>
      <c r="D25" s="82">
        <v>0.0</v>
      </c>
      <c r="E25" s="82">
        <v>0.0</v>
      </c>
      <c r="F25" s="82">
        <v>0.0</v>
      </c>
      <c r="G25" s="83">
        <v>0.0</v>
      </c>
    </row>
    <row r="26" ht="22.5" customHeight="1">
      <c r="A26" s="80" t="s">
        <v>56</v>
      </c>
      <c r="B26" s="81" t="s">
        <v>57</v>
      </c>
      <c r="C26" s="82" t="s">
        <v>5</v>
      </c>
      <c r="D26" s="82">
        <v>0.0</v>
      </c>
      <c r="E26" s="82">
        <v>0.0</v>
      </c>
      <c r="F26" s="82">
        <v>0.0</v>
      </c>
      <c r="G26" s="83">
        <v>0.0</v>
      </c>
    </row>
    <row r="27" ht="22.5" customHeight="1">
      <c r="A27" s="80" t="s">
        <v>58</v>
      </c>
      <c r="B27" s="81" t="s">
        <v>59</v>
      </c>
      <c r="C27" s="82" t="s">
        <v>5</v>
      </c>
      <c r="D27" s="82">
        <v>0.0</v>
      </c>
      <c r="E27" s="82">
        <v>0.0</v>
      </c>
      <c r="F27" s="82">
        <v>0.0</v>
      </c>
      <c r="G27" s="83">
        <v>0.0</v>
      </c>
    </row>
    <row r="28" ht="22.5" customHeight="1">
      <c r="A28" s="80" t="s">
        <v>60</v>
      </c>
      <c r="B28" s="81" t="s">
        <v>61</v>
      </c>
      <c r="C28" s="82" t="s">
        <v>5</v>
      </c>
      <c r="D28" s="82">
        <v>0.0</v>
      </c>
      <c r="E28" s="82">
        <v>0.0</v>
      </c>
      <c r="F28" s="82">
        <v>0.0</v>
      </c>
      <c r="G28" s="83">
        <v>0.0</v>
      </c>
    </row>
    <row r="29" ht="22.5" customHeight="1">
      <c r="A29" s="80" t="s">
        <v>62</v>
      </c>
      <c r="B29" s="81" t="s">
        <v>63</v>
      </c>
      <c r="C29" s="82" t="s">
        <v>5</v>
      </c>
      <c r="D29" s="82">
        <v>0.0</v>
      </c>
      <c r="E29" s="82">
        <v>0.0</v>
      </c>
      <c r="F29" s="82">
        <v>0.0</v>
      </c>
      <c r="G29" s="83">
        <v>0.0</v>
      </c>
    </row>
    <row r="30" ht="22.5" customHeight="1">
      <c r="A30" s="80" t="s">
        <v>64</v>
      </c>
      <c r="B30" s="81" t="s">
        <v>65</v>
      </c>
      <c r="C30" s="82" t="s">
        <v>5</v>
      </c>
      <c r="D30" s="82">
        <v>0.0</v>
      </c>
      <c r="E30" s="82">
        <v>0.0</v>
      </c>
      <c r="F30" s="82">
        <v>0.0</v>
      </c>
      <c r="G30" s="83">
        <v>0.0</v>
      </c>
    </row>
    <row r="31" ht="22.5" customHeight="1">
      <c r="A31" s="80" t="s">
        <v>66</v>
      </c>
      <c r="B31" s="81" t="s">
        <v>67</v>
      </c>
      <c r="C31" s="82" t="s">
        <v>5</v>
      </c>
      <c r="D31" s="82">
        <v>0.0</v>
      </c>
      <c r="E31" s="82">
        <v>0.0</v>
      </c>
      <c r="F31" s="82">
        <v>0.0</v>
      </c>
      <c r="G31" s="83">
        <v>0.0</v>
      </c>
    </row>
    <row r="32" ht="22.5" customHeight="1">
      <c r="A32" s="80" t="s">
        <v>68</v>
      </c>
      <c r="B32" s="81" t="s">
        <v>69</v>
      </c>
      <c r="C32" s="82" t="s">
        <v>5</v>
      </c>
      <c r="D32" s="82">
        <v>0.0</v>
      </c>
      <c r="E32" s="82">
        <v>0.0</v>
      </c>
      <c r="F32" s="82">
        <v>0.0</v>
      </c>
      <c r="G32" s="83">
        <v>0.0</v>
      </c>
    </row>
    <row r="33" ht="22.5" customHeight="1">
      <c r="A33" s="80" t="s">
        <v>70</v>
      </c>
      <c r="B33" s="81" t="s">
        <v>71</v>
      </c>
      <c r="C33" s="82" t="s">
        <v>5</v>
      </c>
      <c r="D33" s="82">
        <v>0.0</v>
      </c>
      <c r="E33" s="82">
        <v>0.0</v>
      </c>
      <c r="F33" s="82">
        <v>0.0</v>
      </c>
      <c r="G33" s="83">
        <v>0.0</v>
      </c>
    </row>
    <row r="34" ht="22.5" customHeight="1">
      <c r="A34" s="80" t="s">
        <v>72</v>
      </c>
      <c r="B34" s="81" t="s">
        <v>73</v>
      </c>
      <c r="C34" s="82" t="s">
        <v>5</v>
      </c>
      <c r="D34" s="82">
        <v>0.0</v>
      </c>
      <c r="E34" s="82">
        <v>0.0</v>
      </c>
      <c r="F34" s="82">
        <v>0.0</v>
      </c>
      <c r="G34" s="83">
        <v>0.0</v>
      </c>
    </row>
    <row r="35" ht="22.5" customHeight="1">
      <c r="A35" s="80" t="s">
        <v>74</v>
      </c>
      <c r="B35" s="81" t="s">
        <v>75</v>
      </c>
      <c r="C35" s="82" t="s">
        <v>5</v>
      </c>
      <c r="D35" s="82">
        <v>0.0</v>
      </c>
      <c r="E35" s="82">
        <v>0.0</v>
      </c>
      <c r="F35" s="82">
        <v>0.0</v>
      </c>
      <c r="G35" s="83">
        <v>0.0</v>
      </c>
    </row>
    <row r="36" ht="22.5" customHeight="1">
      <c r="A36" s="80" t="s">
        <v>76</v>
      </c>
      <c r="B36" s="81" t="s">
        <v>77</v>
      </c>
      <c r="C36" s="82" t="s">
        <v>5</v>
      </c>
      <c r="D36" s="82">
        <v>0.0</v>
      </c>
      <c r="E36" s="82">
        <v>0.0</v>
      </c>
      <c r="F36" s="82">
        <v>0.0</v>
      </c>
      <c r="G36" s="83">
        <v>0.0</v>
      </c>
    </row>
    <row r="37" ht="22.5" customHeight="1">
      <c r="A37" s="80" t="s">
        <v>78</v>
      </c>
      <c r="B37" s="81" t="s">
        <v>79</v>
      </c>
      <c r="C37" s="82" t="s">
        <v>5</v>
      </c>
      <c r="D37" s="82">
        <v>0.0</v>
      </c>
      <c r="E37" s="82">
        <v>0.0</v>
      </c>
      <c r="F37" s="82">
        <v>0.0</v>
      </c>
      <c r="G37" s="83">
        <v>0.0</v>
      </c>
    </row>
    <row r="38" ht="22.5" customHeight="1">
      <c r="A38" s="80" t="s">
        <v>80</v>
      </c>
      <c r="B38" s="81" t="s">
        <v>81</v>
      </c>
      <c r="C38" s="82" t="s">
        <v>5</v>
      </c>
      <c r="D38" s="82">
        <v>0.0</v>
      </c>
      <c r="E38" s="82">
        <v>0.0</v>
      </c>
      <c r="F38" s="82">
        <v>0.0</v>
      </c>
      <c r="G38" s="83">
        <v>0.0</v>
      </c>
    </row>
    <row r="39" ht="22.5" customHeight="1">
      <c r="A39" s="80" t="s">
        <v>82</v>
      </c>
      <c r="B39" s="81" t="s">
        <v>83</v>
      </c>
      <c r="C39" s="82" t="s">
        <v>5</v>
      </c>
      <c r="D39" s="82">
        <v>0.0</v>
      </c>
      <c r="E39" s="82">
        <v>0.0</v>
      </c>
      <c r="F39" s="82">
        <v>0.0</v>
      </c>
      <c r="G39" s="83">
        <v>0.0</v>
      </c>
    </row>
    <row r="40" ht="22.5" customHeight="1">
      <c r="A40" s="80" t="s">
        <v>84</v>
      </c>
      <c r="B40" s="81" t="s">
        <v>85</v>
      </c>
      <c r="C40" s="82" t="s">
        <v>5</v>
      </c>
      <c r="D40" s="82">
        <v>0.0</v>
      </c>
      <c r="E40" s="82">
        <v>0.0</v>
      </c>
      <c r="F40" s="82">
        <v>0.0</v>
      </c>
      <c r="G40" s="83">
        <v>0.0</v>
      </c>
    </row>
    <row r="41" ht="22.5" customHeight="1">
      <c r="A41" s="80" t="s">
        <v>86</v>
      </c>
      <c r="B41" s="81" t="s">
        <v>87</v>
      </c>
      <c r="C41" s="82" t="s">
        <v>5</v>
      </c>
      <c r="D41" s="82">
        <v>0.0</v>
      </c>
      <c r="E41" s="82">
        <v>0.0</v>
      </c>
      <c r="F41" s="82">
        <v>0.0</v>
      </c>
      <c r="G41" s="83">
        <v>0.0</v>
      </c>
    </row>
    <row r="42" ht="22.5" customHeight="1">
      <c r="A42" s="80" t="s">
        <v>88</v>
      </c>
      <c r="B42" s="81" t="s">
        <v>89</v>
      </c>
      <c r="C42" s="82" t="s">
        <v>5</v>
      </c>
      <c r="D42" s="82">
        <v>0.0</v>
      </c>
      <c r="E42" s="82">
        <v>0.0</v>
      </c>
      <c r="F42" s="82">
        <v>0.0</v>
      </c>
      <c r="G42" s="83">
        <v>0.0</v>
      </c>
    </row>
    <row r="43" ht="22.5" customHeight="1">
      <c r="A43" s="80" t="s">
        <v>90</v>
      </c>
      <c r="B43" s="81" t="s">
        <v>91</v>
      </c>
      <c r="C43" s="82" t="s">
        <v>5</v>
      </c>
      <c r="D43" s="82">
        <v>0.0</v>
      </c>
      <c r="E43" s="82">
        <v>0.0</v>
      </c>
      <c r="F43" s="82">
        <v>0.0</v>
      </c>
      <c r="G43" s="83">
        <v>0.0</v>
      </c>
    </row>
    <row r="44" ht="22.5" customHeight="1">
      <c r="A44" s="80" t="s">
        <v>92</v>
      </c>
      <c r="B44" s="81" t="s">
        <v>93</v>
      </c>
      <c r="C44" s="82" t="s">
        <v>5</v>
      </c>
      <c r="D44" s="82">
        <v>0.0</v>
      </c>
      <c r="E44" s="82">
        <v>0.0</v>
      </c>
      <c r="F44" s="82">
        <v>0.0</v>
      </c>
      <c r="G44" s="83">
        <v>0.0</v>
      </c>
    </row>
    <row r="45" ht="22.5" customHeight="1">
      <c r="A45" s="80" t="s">
        <v>94</v>
      </c>
      <c r="B45" s="81" t="s">
        <v>95</v>
      </c>
      <c r="C45" s="82" t="s">
        <v>5</v>
      </c>
      <c r="D45" s="82">
        <v>0.0</v>
      </c>
      <c r="E45" s="82">
        <v>0.0</v>
      </c>
      <c r="F45" s="82">
        <v>0.0</v>
      </c>
      <c r="G45" s="83">
        <v>0.0</v>
      </c>
    </row>
    <row r="46" ht="22.5" customHeight="1">
      <c r="A46" s="80" t="s">
        <v>96</v>
      </c>
      <c r="B46" s="81" t="s">
        <v>97</v>
      </c>
      <c r="C46" s="82" t="s">
        <v>5</v>
      </c>
      <c r="D46" s="82">
        <v>0.0</v>
      </c>
      <c r="E46" s="82">
        <v>0.0</v>
      </c>
      <c r="F46" s="82">
        <v>0.0</v>
      </c>
      <c r="G46" s="83">
        <v>0.0</v>
      </c>
    </row>
    <row r="47" ht="22.5" customHeight="1">
      <c r="A47" s="80" t="s">
        <v>98</v>
      </c>
      <c r="B47" s="81" t="s">
        <v>99</v>
      </c>
      <c r="C47" s="82" t="s">
        <v>5</v>
      </c>
      <c r="D47" s="82">
        <v>0.0</v>
      </c>
      <c r="E47" s="82">
        <v>0.0</v>
      </c>
      <c r="F47" s="82">
        <v>0.0</v>
      </c>
      <c r="G47" s="83">
        <v>0.0</v>
      </c>
    </row>
    <row r="48" ht="22.5" customHeight="1">
      <c r="A48" s="80" t="s">
        <v>100</v>
      </c>
      <c r="B48" s="81" t="s">
        <v>101</v>
      </c>
      <c r="C48" s="82" t="s">
        <v>5</v>
      </c>
      <c r="D48" s="82">
        <v>0.0</v>
      </c>
      <c r="E48" s="82">
        <v>0.0</v>
      </c>
      <c r="F48" s="82">
        <v>0.0</v>
      </c>
      <c r="G48" s="83">
        <v>0.0</v>
      </c>
    </row>
    <row r="49" ht="22.5" customHeight="1">
      <c r="A49" s="80" t="s">
        <v>102</v>
      </c>
      <c r="B49" s="81" t="s">
        <v>103</v>
      </c>
      <c r="C49" s="82" t="s">
        <v>5</v>
      </c>
      <c r="D49" s="82">
        <v>0.0</v>
      </c>
      <c r="E49" s="82">
        <v>0.0</v>
      </c>
      <c r="F49" s="82">
        <v>0.0</v>
      </c>
      <c r="G49" s="83">
        <v>0.0</v>
      </c>
    </row>
    <row r="50" ht="22.5" customHeight="1">
      <c r="A50" s="80" t="s">
        <v>104</v>
      </c>
      <c r="B50" s="81" t="s">
        <v>105</v>
      </c>
      <c r="C50" s="82" t="s">
        <v>5</v>
      </c>
      <c r="D50" s="82">
        <v>0.0</v>
      </c>
      <c r="E50" s="82">
        <v>0.0</v>
      </c>
      <c r="F50" s="82">
        <v>0.0</v>
      </c>
      <c r="G50" s="83">
        <v>0.0</v>
      </c>
    </row>
    <row r="51" ht="22.5" customHeight="1">
      <c r="A51" s="80" t="s">
        <v>106</v>
      </c>
      <c r="B51" s="81" t="s">
        <v>107</v>
      </c>
      <c r="C51" s="82" t="s">
        <v>5</v>
      </c>
      <c r="D51" s="82">
        <v>0.0</v>
      </c>
      <c r="E51" s="82">
        <v>0.0</v>
      </c>
      <c r="F51" s="82">
        <v>0.0</v>
      </c>
      <c r="G51" s="83">
        <v>0.0</v>
      </c>
    </row>
    <row r="52" ht="22.5" customHeight="1">
      <c r="A52" s="80" t="s">
        <v>108</v>
      </c>
      <c r="B52" s="81" t="s">
        <v>109</v>
      </c>
      <c r="C52" s="82" t="s">
        <v>5</v>
      </c>
      <c r="D52" s="82">
        <v>0.0</v>
      </c>
      <c r="E52" s="82">
        <v>0.0</v>
      </c>
      <c r="F52" s="82">
        <v>0.0</v>
      </c>
      <c r="G52" s="83">
        <v>0.0</v>
      </c>
    </row>
    <row r="53" ht="22.5" customHeight="1">
      <c r="A53" s="80" t="s">
        <v>110</v>
      </c>
      <c r="B53" s="81" t="s">
        <v>111</v>
      </c>
      <c r="C53" s="82" t="s">
        <v>5</v>
      </c>
      <c r="D53" s="82">
        <v>0.0</v>
      </c>
      <c r="E53" s="82">
        <v>0.0</v>
      </c>
      <c r="F53" s="82">
        <v>0.0</v>
      </c>
      <c r="G53" s="83">
        <v>0.0</v>
      </c>
    </row>
    <row r="54" ht="22.5" customHeight="1">
      <c r="A54" s="80" t="s">
        <v>112</v>
      </c>
      <c r="B54" s="81" t="s">
        <v>113</v>
      </c>
      <c r="C54" s="82" t="s">
        <v>5</v>
      </c>
      <c r="D54" s="82">
        <v>0.0</v>
      </c>
      <c r="E54" s="82">
        <v>0.0</v>
      </c>
      <c r="F54" s="82">
        <v>0.0</v>
      </c>
      <c r="G54" s="83">
        <v>0.0</v>
      </c>
    </row>
    <row r="55" ht="22.5" customHeight="1">
      <c r="A55" s="80" t="s">
        <v>114</v>
      </c>
      <c r="B55" s="81" t="s">
        <v>115</v>
      </c>
      <c r="C55" s="82" t="s">
        <v>5</v>
      </c>
      <c r="D55" s="82">
        <v>0.0</v>
      </c>
      <c r="E55" s="82">
        <v>0.0</v>
      </c>
      <c r="F55" s="82">
        <v>0.0</v>
      </c>
      <c r="G55" s="83">
        <v>0.0</v>
      </c>
    </row>
    <row r="56" ht="22.5" customHeight="1">
      <c r="A56" s="80" t="s">
        <v>116</v>
      </c>
      <c r="B56" s="81" t="s">
        <v>117</v>
      </c>
      <c r="C56" s="82" t="s">
        <v>5</v>
      </c>
      <c r="D56" s="82">
        <v>0.0</v>
      </c>
      <c r="E56" s="82">
        <v>0.0</v>
      </c>
      <c r="F56" s="82">
        <v>0.0</v>
      </c>
      <c r="G56" s="83">
        <v>0.0</v>
      </c>
    </row>
    <row r="57" ht="22.5" customHeight="1">
      <c r="A57" s="80" t="s">
        <v>118</v>
      </c>
      <c r="B57" s="81" t="s">
        <v>119</v>
      </c>
      <c r="C57" s="82" t="s">
        <v>5</v>
      </c>
      <c r="D57" s="82">
        <v>0.0</v>
      </c>
      <c r="E57" s="82">
        <v>0.0</v>
      </c>
      <c r="F57" s="82">
        <v>0.0</v>
      </c>
      <c r="G57" s="83">
        <v>0.0</v>
      </c>
    </row>
    <row r="58" ht="22.5" customHeight="1">
      <c r="A58" s="80" t="s">
        <v>120</v>
      </c>
      <c r="B58" s="81" t="s">
        <v>121</v>
      </c>
      <c r="C58" s="82" t="s">
        <v>5</v>
      </c>
      <c r="D58" s="82">
        <v>0.0</v>
      </c>
      <c r="E58" s="82">
        <v>0.0</v>
      </c>
      <c r="F58" s="82">
        <v>0.0</v>
      </c>
      <c r="G58" s="83">
        <v>0.0</v>
      </c>
    </row>
    <row r="59" ht="22.5" customHeight="1">
      <c r="A59" s="80" t="s">
        <v>122</v>
      </c>
      <c r="B59" s="81" t="s">
        <v>123</v>
      </c>
      <c r="C59" s="82" t="s">
        <v>5</v>
      </c>
      <c r="D59" s="82">
        <v>0.0</v>
      </c>
      <c r="E59" s="82">
        <v>0.0</v>
      </c>
      <c r="F59" s="82">
        <v>0.0</v>
      </c>
      <c r="G59" s="83">
        <v>0.0</v>
      </c>
    </row>
    <row r="60" ht="22.5" customHeight="1">
      <c r="A60" s="80" t="s">
        <v>124</v>
      </c>
      <c r="B60" s="81" t="s">
        <v>125</v>
      </c>
      <c r="C60" s="82" t="s">
        <v>5</v>
      </c>
      <c r="D60" s="82">
        <v>0.0</v>
      </c>
      <c r="E60" s="82">
        <v>0.0</v>
      </c>
      <c r="F60" s="82">
        <v>0.0</v>
      </c>
      <c r="G60" s="83">
        <v>0.0</v>
      </c>
    </row>
    <row r="61" ht="22.5" customHeight="1">
      <c r="A61" s="80" t="s">
        <v>126</v>
      </c>
      <c r="B61" s="81" t="s">
        <v>127</v>
      </c>
      <c r="C61" s="82" t="s">
        <v>5</v>
      </c>
      <c r="D61" s="82">
        <v>0.0</v>
      </c>
      <c r="E61" s="82">
        <v>0.0</v>
      </c>
      <c r="F61" s="82">
        <v>0.0</v>
      </c>
      <c r="G61" s="83">
        <v>0.0</v>
      </c>
    </row>
    <row r="62" ht="22.5" customHeight="1">
      <c r="A62" s="80" t="s">
        <v>128</v>
      </c>
      <c r="B62" s="81" t="s">
        <v>129</v>
      </c>
      <c r="C62" s="82" t="s">
        <v>5</v>
      </c>
      <c r="D62" s="82">
        <v>0.0</v>
      </c>
      <c r="E62" s="82">
        <v>0.0</v>
      </c>
      <c r="F62" s="82">
        <v>0.0</v>
      </c>
      <c r="G62" s="83">
        <v>0.0</v>
      </c>
    </row>
    <row r="63" ht="22.5" customHeight="1">
      <c r="A63" s="80" t="s">
        <v>130</v>
      </c>
      <c r="B63" s="81" t="s">
        <v>131</v>
      </c>
      <c r="C63" s="82" t="s">
        <v>5</v>
      </c>
      <c r="D63" s="82">
        <v>0.0</v>
      </c>
      <c r="E63" s="82">
        <v>0.0</v>
      </c>
      <c r="F63" s="82">
        <v>0.0</v>
      </c>
      <c r="G63" s="83">
        <v>0.0</v>
      </c>
    </row>
    <row r="64" ht="22.5" customHeight="1">
      <c r="A64" s="80" t="s">
        <v>132</v>
      </c>
      <c r="B64" s="81" t="s">
        <v>133</v>
      </c>
      <c r="C64" s="82" t="s">
        <v>5</v>
      </c>
      <c r="D64" s="82">
        <v>0.0</v>
      </c>
      <c r="E64" s="82">
        <v>0.0</v>
      </c>
      <c r="F64" s="82">
        <v>0.0</v>
      </c>
      <c r="G64" s="83">
        <v>0.0</v>
      </c>
    </row>
    <row r="65" ht="22.5" customHeight="1">
      <c r="A65" s="80" t="s">
        <v>134</v>
      </c>
      <c r="B65" s="81" t="s">
        <v>135</v>
      </c>
      <c r="C65" s="82" t="s">
        <v>5</v>
      </c>
      <c r="D65" s="82">
        <v>0.0</v>
      </c>
      <c r="E65" s="82">
        <v>0.0</v>
      </c>
      <c r="F65" s="82">
        <v>0.0</v>
      </c>
      <c r="G65" s="83">
        <v>0.0</v>
      </c>
    </row>
    <row r="66" ht="22.5" customHeight="1">
      <c r="A66" s="80" t="s">
        <v>136</v>
      </c>
      <c r="B66" s="81" t="s">
        <v>137</v>
      </c>
      <c r="C66" s="82" t="s">
        <v>5</v>
      </c>
      <c r="D66" s="82">
        <v>0.0</v>
      </c>
      <c r="E66" s="82">
        <v>0.0</v>
      </c>
      <c r="F66" s="82">
        <v>0.0</v>
      </c>
      <c r="G66" s="83">
        <v>0.0</v>
      </c>
    </row>
    <row r="67" ht="22.5" customHeight="1">
      <c r="A67" s="80" t="s">
        <v>138</v>
      </c>
      <c r="B67" s="81" t="s">
        <v>139</v>
      </c>
      <c r="C67" s="82" t="s">
        <v>5</v>
      </c>
      <c r="D67" s="82">
        <v>0.0</v>
      </c>
      <c r="E67" s="82">
        <v>0.0</v>
      </c>
      <c r="F67" s="82">
        <v>0.0</v>
      </c>
      <c r="G67" s="83">
        <v>0.0</v>
      </c>
    </row>
    <row r="68" ht="22.5" customHeight="1">
      <c r="A68" s="80" t="s">
        <v>140</v>
      </c>
      <c r="B68" s="81" t="s">
        <v>141</v>
      </c>
      <c r="C68" s="82" t="s">
        <v>5</v>
      </c>
      <c r="D68" s="82">
        <v>0.0</v>
      </c>
      <c r="E68" s="82">
        <v>0.0</v>
      </c>
      <c r="F68" s="82">
        <v>0.0</v>
      </c>
      <c r="G68" s="83">
        <v>0.0</v>
      </c>
    </row>
    <row r="69" ht="22.5" customHeight="1">
      <c r="A69" s="80" t="s">
        <v>142</v>
      </c>
      <c r="B69" s="81" t="s">
        <v>143</v>
      </c>
      <c r="C69" s="82" t="s">
        <v>5</v>
      </c>
      <c r="D69" s="82">
        <v>0.0</v>
      </c>
      <c r="E69" s="82">
        <v>0.0</v>
      </c>
      <c r="F69" s="82">
        <v>0.0</v>
      </c>
      <c r="G69" s="83">
        <v>0.0</v>
      </c>
    </row>
    <row r="70" ht="22.5" customHeight="1">
      <c r="A70" s="80" t="s">
        <v>144</v>
      </c>
      <c r="B70" s="81" t="s">
        <v>145</v>
      </c>
      <c r="C70" s="82" t="s">
        <v>5</v>
      </c>
      <c r="D70" s="82">
        <v>0.0</v>
      </c>
      <c r="E70" s="82">
        <v>0.0</v>
      </c>
      <c r="F70" s="82">
        <v>0.0</v>
      </c>
      <c r="G70" s="83">
        <v>0.0</v>
      </c>
    </row>
    <row r="71" ht="22.5" customHeight="1">
      <c r="A71" s="80" t="s">
        <v>146</v>
      </c>
      <c r="B71" s="81" t="s">
        <v>147</v>
      </c>
      <c r="C71" s="82" t="s">
        <v>5</v>
      </c>
      <c r="D71" s="82">
        <v>0.0</v>
      </c>
      <c r="E71" s="82">
        <v>0.0</v>
      </c>
      <c r="F71" s="82">
        <v>0.0</v>
      </c>
      <c r="G71" s="83">
        <v>0.0</v>
      </c>
    </row>
    <row r="72" ht="22.5" customHeight="1">
      <c r="A72" s="80" t="s">
        <v>148</v>
      </c>
      <c r="B72" s="81" t="s">
        <v>149</v>
      </c>
      <c r="C72" s="82" t="s">
        <v>5</v>
      </c>
      <c r="D72" s="82">
        <v>0.0</v>
      </c>
      <c r="E72" s="82">
        <v>0.0</v>
      </c>
      <c r="F72" s="82">
        <v>0.0</v>
      </c>
      <c r="G72" s="83">
        <v>0.0</v>
      </c>
    </row>
    <row r="73" ht="22.5" customHeight="1">
      <c r="A73" s="80" t="s">
        <v>150</v>
      </c>
      <c r="B73" s="81" t="s">
        <v>151</v>
      </c>
      <c r="C73" s="82" t="s">
        <v>5</v>
      </c>
      <c r="D73" s="82">
        <v>0.0</v>
      </c>
      <c r="E73" s="82">
        <v>0.0</v>
      </c>
      <c r="F73" s="82">
        <v>0.0</v>
      </c>
      <c r="G73" s="83">
        <v>0.0</v>
      </c>
    </row>
    <row r="74" ht="22.5" customHeight="1">
      <c r="A74" s="80" t="s">
        <v>152</v>
      </c>
      <c r="B74" s="81" t="s">
        <v>153</v>
      </c>
      <c r="C74" s="82" t="s">
        <v>5</v>
      </c>
      <c r="D74" s="82">
        <v>0.0</v>
      </c>
      <c r="E74" s="82">
        <v>0.0</v>
      </c>
      <c r="F74" s="82">
        <v>0.0</v>
      </c>
      <c r="G74" s="83">
        <v>0.0</v>
      </c>
    </row>
    <row r="75" ht="22.5" customHeight="1">
      <c r="A75" s="80" t="s">
        <v>154</v>
      </c>
      <c r="B75" s="81" t="s">
        <v>155</v>
      </c>
      <c r="C75" s="82" t="s">
        <v>5</v>
      </c>
      <c r="D75" s="82">
        <v>0.0</v>
      </c>
      <c r="E75" s="82">
        <v>0.0</v>
      </c>
      <c r="F75" s="82">
        <v>0.0</v>
      </c>
      <c r="G75" s="83">
        <v>0.0</v>
      </c>
    </row>
    <row r="76" ht="22.5" customHeight="1">
      <c r="A76" s="80" t="s">
        <v>156</v>
      </c>
      <c r="B76" s="81" t="s">
        <v>157</v>
      </c>
      <c r="C76" s="82" t="s">
        <v>5</v>
      </c>
      <c r="D76" s="82">
        <v>0.0</v>
      </c>
      <c r="E76" s="82">
        <v>0.0</v>
      </c>
      <c r="F76" s="82">
        <v>0.0</v>
      </c>
      <c r="G76" s="83">
        <v>0.0</v>
      </c>
    </row>
    <row r="77" ht="22.5" customHeight="1">
      <c r="A77" s="80" t="s">
        <v>158</v>
      </c>
      <c r="B77" s="81" t="s">
        <v>159</v>
      </c>
      <c r="C77" s="82" t="s">
        <v>5</v>
      </c>
      <c r="D77" s="82">
        <v>0.0</v>
      </c>
      <c r="E77" s="82">
        <v>0.0</v>
      </c>
      <c r="F77" s="82">
        <v>0.0</v>
      </c>
      <c r="G77" s="83">
        <v>0.0</v>
      </c>
    </row>
    <row r="78" ht="22.5" customHeight="1">
      <c r="A78" s="80" t="s">
        <v>160</v>
      </c>
      <c r="B78" s="81" t="s">
        <v>161</v>
      </c>
      <c r="C78" s="82" t="s">
        <v>5</v>
      </c>
      <c r="D78" s="82">
        <v>0.0</v>
      </c>
      <c r="E78" s="82">
        <v>0.0</v>
      </c>
      <c r="F78" s="82">
        <v>0.0</v>
      </c>
      <c r="G78" s="83">
        <v>0.0</v>
      </c>
    </row>
    <row r="79" ht="22.5" customHeight="1">
      <c r="A79" s="80" t="s">
        <v>163</v>
      </c>
      <c r="B79" s="81" t="s">
        <v>164</v>
      </c>
      <c r="C79" s="82" t="s">
        <v>5</v>
      </c>
      <c r="D79" s="82">
        <v>0.0</v>
      </c>
      <c r="E79" s="82">
        <v>0.0</v>
      </c>
      <c r="F79" s="82">
        <v>0.0</v>
      </c>
      <c r="G79" s="83">
        <v>0.0</v>
      </c>
    </row>
    <row r="80" ht="22.5" customHeight="1">
      <c r="A80" s="80" t="s">
        <v>165</v>
      </c>
      <c r="B80" s="81" t="s">
        <v>166</v>
      </c>
      <c r="C80" s="82" t="s">
        <v>5</v>
      </c>
      <c r="D80" s="82">
        <v>0.0</v>
      </c>
      <c r="E80" s="82">
        <v>0.0</v>
      </c>
      <c r="F80" s="82">
        <v>0.0</v>
      </c>
      <c r="G80" s="83">
        <v>0.0</v>
      </c>
    </row>
    <row r="81" ht="22.5" customHeight="1">
      <c r="A81" s="80" t="s">
        <v>167</v>
      </c>
      <c r="B81" s="81" t="s">
        <v>168</v>
      </c>
      <c r="C81" s="82" t="s">
        <v>5</v>
      </c>
      <c r="D81" s="82">
        <v>0.0</v>
      </c>
      <c r="E81" s="82">
        <v>0.0</v>
      </c>
      <c r="F81" s="82">
        <v>0.0</v>
      </c>
      <c r="G81" s="83">
        <v>0.0</v>
      </c>
    </row>
    <row r="82" ht="22.5" customHeight="1">
      <c r="A82" s="80" t="s">
        <v>169</v>
      </c>
      <c r="B82" s="81" t="s">
        <v>170</v>
      </c>
      <c r="C82" s="82" t="s">
        <v>5</v>
      </c>
      <c r="D82" s="82">
        <v>0.0</v>
      </c>
      <c r="E82" s="82">
        <v>0.0</v>
      </c>
      <c r="F82" s="82">
        <v>0.0</v>
      </c>
      <c r="G82" s="83">
        <v>0.0</v>
      </c>
    </row>
    <row r="83" ht="22.5" customHeight="1">
      <c r="A83" s="80" t="s">
        <v>171</v>
      </c>
      <c r="B83" s="81" t="s">
        <v>172</v>
      </c>
      <c r="C83" s="82" t="s">
        <v>5</v>
      </c>
      <c r="D83" s="82">
        <v>0.0</v>
      </c>
      <c r="E83" s="82">
        <v>0.0</v>
      </c>
      <c r="F83" s="82">
        <v>0.0</v>
      </c>
      <c r="G83" s="83">
        <v>0.0</v>
      </c>
    </row>
    <row r="84" ht="22.5" customHeight="1">
      <c r="A84" s="80" t="s">
        <v>173</v>
      </c>
      <c r="B84" s="81" t="s">
        <v>174</v>
      </c>
      <c r="C84" s="82" t="s">
        <v>5</v>
      </c>
      <c r="D84" s="82">
        <v>0.0</v>
      </c>
      <c r="E84" s="82">
        <v>0.0</v>
      </c>
      <c r="F84" s="82">
        <v>0.0</v>
      </c>
      <c r="G84" s="83">
        <v>0.0</v>
      </c>
    </row>
    <row r="85" ht="22.5" customHeight="1">
      <c r="A85" s="80" t="s">
        <v>175</v>
      </c>
      <c r="B85" s="81" t="s">
        <v>176</v>
      </c>
      <c r="C85" s="82" t="s">
        <v>5</v>
      </c>
      <c r="D85" s="82">
        <v>0.0</v>
      </c>
      <c r="E85" s="82">
        <v>0.0</v>
      </c>
      <c r="F85" s="82">
        <v>0.0</v>
      </c>
      <c r="G85" s="83">
        <v>0.0</v>
      </c>
    </row>
    <row r="86" ht="22.5" customHeight="1">
      <c r="A86" s="80" t="s">
        <v>177</v>
      </c>
      <c r="B86" s="81" t="s">
        <v>178</v>
      </c>
      <c r="C86" s="82" t="s">
        <v>5</v>
      </c>
      <c r="D86" s="82">
        <v>0.0</v>
      </c>
      <c r="E86" s="82">
        <v>0.0</v>
      </c>
      <c r="F86" s="82">
        <v>0.0</v>
      </c>
      <c r="G86" s="83">
        <v>0.0</v>
      </c>
    </row>
    <row r="87" ht="22.5" customHeight="1">
      <c r="A87" s="80" t="s">
        <v>179</v>
      </c>
      <c r="B87" s="81" t="s">
        <v>180</v>
      </c>
      <c r="C87" s="82" t="s">
        <v>5</v>
      </c>
      <c r="D87" s="82">
        <v>0.0</v>
      </c>
      <c r="E87" s="82">
        <v>0.0</v>
      </c>
      <c r="F87" s="82">
        <v>0.0</v>
      </c>
      <c r="G87" s="83">
        <v>0.0</v>
      </c>
    </row>
    <row r="88" ht="22.5" customHeight="1">
      <c r="A88" s="80" t="s">
        <v>181</v>
      </c>
      <c r="B88" s="81" t="s">
        <v>182</v>
      </c>
      <c r="C88" s="82" t="s">
        <v>5</v>
      </c>
      <c r="D88" s="82">
        <v>0.0</v>
      </c>
      <c r="E88" s="82">
        <v>0.0</v>
      </c>
      <c r="F88" s="82">
        <v>0.0</v>
      </c>
      <c r="G88" s="83">
        <v>0.0</v>
      </c>
    </row>
    <row r="89" ht="22.5" customHeight="1">
      <c r="A89" s="80" t="s">
        <v>183</v>
      </c>
      <c r="B89" s="81" t="s">
        <v>184</v>
      </c>
      <c r="C89" s="82" t="s">
        <v>5</v>
      </c>
      <c r="D89" s="82">
        <v>0.0</v>
      </c>
      <c r="E89" s="82">
        <v>0.0</v>
      </c>
      <c r="F89" s="82">
        <v>0.0</v>
      </c>
      <c r="G89" s="83">
        <v>0.0</v>
      </c>
    </row>
    <row r="90" ht="22.5" customHeight="1">
      <c r="A90" s="80" t="s">
        <v>185</v>
      </c>
      <c r="B90" s="81" t="s">
        <v>186</v>
      </c>
      <c r="C90" s="82" t="s">
        <v>5</v>
      </c>
      <c r="D90" s="82">
        <v>0.0</v>
      </c>
      <c r="E90" s="82">
        <v>0.0</v>
      </c>
      <c r="F90" s="82">
        <v>0.0</v>
      </c>
      <c r="G90" s="83">
        <v>0.0</v>
      </c>
    </row>
    <row r="91" ht="22.5" customHeight="1">
      <c r="A91" s="80" t="s">
        <v>187</v>
      </c>
      <c r="B91" s="81" t="s">
        <v>188</v>
      </c>
      <c r="C91" s="82" t="s">
        <v>5</v>
      </c>
      <c r="D91" s="82">
        <v>0.0</v>
      </c>
      <c r="E91" s="82">
        <v>0.0</v>
      </c>
      <c r="F91" s="82">
        <v>0.0</v>
      </c>
      <c r="G91" s="83">
        <v>0.0</v>
      </c>
    </row>
    <row r="92" ht="22.5" customHeight="1">
      <c r="A92" s="80" t="s">
        <v>189</v>
      </c>
      <c r="B92" s="81" t="s">
        <v>190</v>
      </c>
      <c r="C92" s="82" t="s">
        <v>5</v>
      </c>
      <c r="D92" s="82">
        <v>0.0</v>
      </c>
      <c r="E92" s="82">
        <v>0.0</v>
      </c>
      <c r="F92" s="82">
        <v>0.0</v>
      </c>
      <c r="G92" s="83">
        <v>0.0</v>
      </c>
    </row>
    <row r="93" ht="22.5" customHeight="1">
      <c r="A93" s="80" t="s">
        <v>191</v>
      </c>
      <c r="B93" s="81" t="s">
        <v>192</v>
      </c>
      <c r="C93" s="82" t="s">
        <v>5</v>
      </c>
      <c r="D93" s="82">
        <v>0.0</v>
      </c>
      <c r="E93" s="82">
        <v>0.0</v>
      </c>
      <c r="F93" s="82">
        <v>0.0</v>
      </c>
      <c r="G93" s="83">
        <v>0.0</v>
      </c>
    </row>
    <row r="94" ht="22.5" customHeight="1">
      <c r="A94" s="80" t="s">
        <v>193</v>
      </c>
      <c r="B94" s="81" t="s">
        <v>194</v>
      </c>
      <c r="C94" s="82" t="s">
        <v>5</v>
      </c>
      <c r="D94" s="82">
        <v>0.0</v>
      </c>
      <c r="E94" s="82">
        <v>0.0</v>
      </c>
      <c r="F94" s="82">
        <v>0.0</v>
      </c>
      <c r="G94" s="83">
        <v>0.0</v>
      </c>
    </row>
    <row r="95" ht="22.5" customHeight="1">
      <c r="A95" s="80" t="s">
        <v>195</v>
      </c>
      <c r="B95" s="81" t="s">
        <v>196</v>
      </c>
      <c r="C95" s="82" t="s">
        <v>5</v>
      </c>
      <c r="D95" s="82">
        <v>0.0</v>
      </c>
      <c r="E95" s="82">
        <v>0.0</v>
      </c>
      <c r="F95" s="82">
        <v>0.0</v>
      </c>
      <c r="G95" s="83">
        <v>0.0</v>
      </c>
    </row>
    <row r="96" ht="22.5" customHeight="1">
      <c r="A96" s="80" t="s">
        <v>197</v>
      </c>
      <c r="B96" s="81" t="s">
        <v>198</v>
      </c>
      <c r="C96" s="82" t="s">
        <v>5</v>
      </c>
      <c r="D96" s="82">
        <v>0.0</v>
      </c>
      <c r="E96" s="82">
        <v>0.0</v>
      </c>
      <c r="F96" s="82">
        <v>0.0</v>
      </c>
      <c r="G96" s="83">
        <v>0.0</v>
      </c>
    </row>
    <row r="97" ht="22.5" customHeight="1">
      <c r="A97" s="80" t="s">
        <v>199</v>
      </c>
      <c r="B97" s="81" t="s">
        <v>200</v>
      </c>
      <c r="C97" s="82" t="s">
        <v>5</v>
      </c>
      <c r="D97" s="82">
        <v>0.0</v>
      </c>
      <c r="E97" s="82">
        <v>0.0</v>
      </c>
      <c r="F97" s="82">
        <v>0.0</v>
      </c>
      <c r="G97" s="83">
        <v>0.0</v>
      </c>
    </row>
    <row r="98" ht="22.5" customHeight="1">
      <c r="A98" s="80" t="s">
        <v>201</v>
      </c>
      <c r="B98" s="81" t="s">
        <v>202</v>
      </c>
      <c r="C98" s="82" t="s">
        <v>5</v>
      </c>
      <c r="D98" s="82">
        <v>0.0</v>
      </c>
      <c r="E98" s="82">
        <v>0.0</v>
      </c>
      <c r="F98" s="82">
        <v>0.0</v>
      </c>
      <c r="G98" s="83">
        <v>0.0</v>
      </c>
    </row>
    <row r="99" ht="22.5" customHeight="1">
      <c r="A99" s="80" t="s">
        <v>203</v>
      </c>
      <c r="B99" s="81" t="s">
        <v>204</v>
      </c>
      <c r="C99" s="82" t="s">
        <v>5</v>
      </c>
      <c r="D99" s="82">
        <v>0.0</v>
      </c>
      <c r="E99" s="82">
        <v>0.0</v>
      </c>
      <c r="F99" s="82">
        <v>0.0</v>
      </c>
      <c r="G99" s="83">
        <v>0.0</v>
      </c>
    </row>
    <row r="100" ht="22.5" customHeight="1">
      <c r="A100" s="80" t="s">
        <v>205</v>
      </c>
      <c r="B100" s="81" t="s">
        <v>206</v>
      </c>
      <c r="C100" s="82" t="s">
        <v>5</v>
      </c>
      <c r="D100" s="82">
        <v>0.0</v>
      </c>
      <c r="E100" s="82">
        <v>0.0</v>
      </c>
      <c r="F100" s="82">
        <v>0.0</v>
      </c>
      <c r="G100" s="83">
        <v>0.0</v>
      </c>
    </row>
    <row r="101" ht="22.5" customHeight="1">
      <c r="A101" s="80" t="s">
        <v>207</v>
      </c>
      <c r="B101" s="81" t="s">
        <v>208</v>
      </c>
      <c r="C101" s="82" t="s">
        <v>5</v>
      </c>
      <c r="D101" s="82">
        <v>0.0</v>
      </c>
      <c r="E101" s="82">
        <v>0.0</v>
      </c>
      <c r="F101" s="82">
        <v>0.0</v>
      </c>
      <c r="G101" s="83">
        <v>0.0</v>
      </c>
    </row>
    <row r="102" ht="22.5" customHeight="1">
      <c r="A102" s="80" t="s">
        <v>209</v>
      </c>
      <c r="B102" s="81" t="s">
        <v>210</v>
      </c>
      <c r="C102" s="82" t="s">
        <v>5</v>
      </c>
      <c r="D102" s="82">
        <v>0.0</v>
      </c>
      <c r="E102" s="82">
        <v>0.0</v>
      </c>
      <c r="F102" s="82">
        <v>0.0</v>
      </c>
      <c r="G102" s="83">
        <v>0.0</v>
      </c>
    </row>
    <row r="103" ht="22.5" customHeight="1">
      <c r="A103" s="80" t="s">
        <v>211</v>
      </c>
      <c r="B103" s="81" t="s">
        <v>212</v>
      </c>
      <c r="C103" s="82" t="s">
        <v>5</v>
      </c>
      <c r="D103" s="82">
        <v>0.0</v>
      </c>
      <c r="E103" s="82">
        <v>0.0</v>
      </c>
      <c r="F103" s="82">
        <v>0.0</v>
      </c>
      <c r="G103" s="83">
        <v>0.0</v>
      </c>
    </row>
    <row r="104" ht="22.5" customHeight="1">
      <c r="A104" s="80" t="s">
        <v>213</v>
      </c>
      <c r="B104" s="81" t="s">
        <v>214</v>
      </c>
      <c r="C104" s="82" t="s">
        <v>5</v>
      </c>
      <c r="D104" s="82">
        <v>0.0</v>
      </c>
      <c r="E104" s="82">
        <v>0.0</v>
      </c>
      <c r="F104" s="82">
        <v>0.0</v>
      </c>
      <c r="G104" s="83">
        <v>0.0</v>
      </c>
    </row>
    <row r="105" ht="22.5" customHeight="1">
      <c r="A105" s="80" t="s">
        <v>215</v>
      </c>
      <c r="B105" s="81" t="s">
        <v>216</v>
      </c>
      <c r="C105" s="82" t="s">
        <v>5</v>
      </c>
      <c r="D105" s="82">
        <v>0.0</v>
      </c>
      <c r="E105" s="82">
        <v>0.0</v>
      </c>
      <c r="F105" s="82">
        <v>0.0</v>
      </c>
      <c r="G105" s="83">
        <v>0.0</v>
      </c>
    </row>
    <row r="106" ht="22.5" customHeight="1">
      <c r="A106" s="80" t="s">
        <v>217</v>
      </c>
      <c r="B106" s="81" t="s">
        <v>218</v>
      </c>
      <c r="C106" s="82" t="s">
        <v>5</v>
      </c>
      <c r="D106" s="82">
        <v>0.0</v>
      </c>
      <c r="E106" s="82">
        <v>0.0</v>
      </c>
      <c r="F106" s="82">
        <v>0.0</v>
      </c>
      <c r="G106" s="83">
        <v>0.0</v>
      </c>
    </row>
    <row r="107" ht="22.5" customHeight="1">
      <c r="A107" s="80" t="s">
        <v>219</v>
      </c>
      <c r="B107" s="81" t="s">
        <v>220</v>
      </c>
      <c r="C107" s="82" t="s">
        <v>5</v>
      </c>
      <c r="D107" s="82">
        <v>0.0</v>
      </c>
      <c r="E107" s="82">
        <v>0.0</v>
      </c>
      <c r="F107" s="82">
        <v>0.0</v>
      </c>
      <c r="G107" s="83">
        <v>0.0</v>
      </c>
    </row>
    <row r="108" ht="22.5" customHeight="1">
      <c r="A108" s="80" t="s">
        <v>221</v>
      </c>
      <c r="B108" s="81" t="s">
        <v>222</v>
      </c>
      <c r="C108" s="82" t="s">
        <v>5</v>
      </c>
      <c r="D108" s="82">
        <v>0.0</v>
      </c>
      <c r="E108" s="82">
        <v>0.0</v>
      </c>
      <c r="F108" s="82">
        <v>0.0</v>
      </c>
      <c r="G108" s="83">
        <v>0.0</v>
      </c>
    </row>
    <row r="109" ht="22.5" customHeight="1">
      <c r="A109" s="80" t="s">
        <v>223</v>
      </c>
      <c r="B109" s="81" t="s">
        <v>224</v>
      </c>
      <c r="C109" s="82" t="s">
        <v>5</v>
      </c>
      <c r="D109" s="82">
        <v>0.0</v>
      </c>
      <c r="E109" s="82">
        <v>0.0</v>
      </c>
      <c r="F109" s="82">
        <v>0.0</v>
      </c>
      <c r="G109" s="83">
        <v>0.0</v>
      </c>
    </row>
    <row r="110" ht="22.5" customHeight="1">
      <c r="A110" s="80" t="s">
        <v>225</v>
      </c>
      <c r="B110" s="81" t="s">
        <v>226</v>
      </c>
      <c r="C110" s="82" t="s">
        <v>5</v>
      </c>
      <c r="D110" s="82">
        <v>0.0</v>
      </c>
      <c r="E110" s="82">
        <v>0.0</v>
      </c>
      <c r="F110" s="82">
        <v>0.0</v>
      </c>
      <c r="G110" s="83">
        <v>0.0</v>
      </c>
    </row>
    <row r="111" ht="22.5" customHeight="1">
      <c r="A111" s="80" t="s">
        <v>227</v>
      </c>
      <c r="B111" s="81" t="s">
        <v>228</v>
      </c>
      <c r="C111" s="82" t="s">
        <v>5</v>
      </c>
      <c r="D111" s="82">
        <v>0.0</v>
      </c>
      <c r="E111" s="82">
        <v>0.0</v>
      </c>
      <c r="F111" s="82">
        <v>0.0</v>
      </c>
      <c r="G111" s="83">
        <v>0.0</v>
      </c>
    </row>
    <row r="112" ht="22.5" customHeight="1">
      <c r="A112" s="80" t="s">
        <v>229</v>
      </c>
      <c r="B112" s="81" t="s">
        <v>230</v>
      </c>
      <c r="C112" s="82" t="s">
        <v>5</v>
      </c>
      <c r="D112" s="82">
        <v>0.0</v>
      </c>
      <c r="E112" s="82">
        <v>0.0</v>
      </c>
      <c r="F112" s="82">
        <v>0.0</v>
      </c>
      <c r="G112" s="83">
        <v>0.0</v>
      </c>
    </row>
    <row r="113" ht="22.5" customHeight="1">
      <c r="A113" s="80" t="s">
        <v>231</v>
      </c>
      <c r="B113" s="81" t="s">
        <v>232</v>
      </c>
      <c r="C113" s="82" t="s">
        <v>5</v>
      </c>
      <c r="D113" s="82">
        <v>0.0</v>
      </c>
      <c r="E113" s="82">
        <v>0.0</v>
      </c>
      <c r="F113" s="82">
        <v>0.0</v>
      </c>
      <c r="G113" s="83">
        <v>0.0</v>
      </c>
    </row>
    <row r="114" ht="22.5" customHeight="1">
      <c r="A114" s="80" t="s">
        <v>233</v>
      </c>
      <c r="B114" s="81" t="s">
        <v>234</v>
      </c>
      <c r="C114" s="82" t="s">
        <v>5</v>
      </c>
      <c r="D114" s="82">
        <v>0.0</v>
      </c>
      <c r="E114" s="82">
        <v>0.0</v>
      </c>
      <c r="F114" s="82">
        <v>0.0</v>
      </c>
      <c r="G114" s="83">
        <v>0.0</v>
      </c>
    </row>
    <row r="115" ht="22.5" customHeight="1">
      <c r="A115" s="80" t="s">
        <v>235</v>
      </c>
      <c r="B115" s="81" t="s">
        <v>236</v>
      </c>
      <c r="C115" s="82" t="s">
        <v>5</v>
      </c>
      <c r="D115" s="82">
        <v>0.0</v>
      </c>
      <c r="E115" s="82">
        <v>0.0</v>
      </c>
      <c r="F115" s="82">
        <v>0.0</v>
      </c>
      <c r="G115" s="83">
        <v>0.0</v>
      </c>
    </row>
    <row r="116" ht="22.5" customHeight="1">
      <c r="A116" s="80" t="s">
        <v>237</v>
      </c>
      <c r="B116" s="81" t="s">
        <v>238</v>
      </c>
      <c r="C116" s="82" t="s">
        <v>5</v>
      </c>
      <c r="D116" s="82">
        <v>0.0</v>
      </c>
      <c r="E116" s="82">
        <v>0.0</v>
      </c>
      <c r="F116" s="82">
        <v>0.0</v>
      </c>
      <c r="G116" s="83">
        <v>0.0</v>
      </c>
    </row>
    <row r="117" ht="22.5" customHeight="1">
      <c r="A117" s="80" t="s">
        <v>239</v>
      </c>
      <c r="B117" s="81" t="s">
        <v>240</v>
      </c>
      <c r="C117" s="82" t="s">
        <v>5</v>
      </c>
      <c r="D117" s="82">
        <v>0.0</v>
      </c>
      <c r="E117" s="82">
        <v>0.0</v>
      </c>
      <c r="F117" s="82">
        <v>0.0</v>
      </c>
      <c r="G117" s="83">
        <v>0.0</v>
      </c>
    </row>
    <row r="118" ht="22.5" customHeight="1">
      <c r="A118" s="80" t="s">
        <v>241</v>
      </c>
      <c r="B118" s="81" t="s">
        <v>242</v>
      </c>
      <c r="C118" s="82" t="s">
        <v>5</v>
      </c>
      <c r="D118" s="82">
        <v>0.0</v>
      </c>
      <c r="E118" s="82">
        <v>0.0</v>
      </c>
      <c r="F118" s="82">
        <v>0.0</v>
      </c>
      <c r="G118" s="83">
        <v>0.0</v>
      </c>
    </row>
    <row r="119" ht="22.5" customHeight="1">
      <c r="A119" s="80" t="s">
        <v>243</v>
      </c>
      <c r="B119" s="81" t="s">
        <v>244</v>
      </c>
      <c r="C119" s="82" t="s">
        <v>5</v>
      </c>
      <c r="D119" s="82">
        <v>0.0</v>
      </c>
      <c r="E119" s="82">
        <v>0.0</v>
      </c>
      <c r="F119" s="82">
        <v>0.0</v>
      </c>
      <c r="G119" s="83">
        <v>0.0</v>
      </c>
    </row>
    <row r="120" ht="22.5" customHeight="1">
      <c r="A120" s="80" t="s">
        <v>245</v>
      </c>
      <c r="B120" s="81" t="s">
        <v>246</v>
      </c>
      <c r="C120" s="82" t="s">
        <v>5</v>
      </c>
      <c r="D120" s="82">
        <v>0.0</v>
      </c>
      <c r="E120" s="82">
        <v>0.0</v>
      </c>
      <c r="F120" s="82">
        <v>0.0</v>
      </c>
      <c r="G120" s="83">
        <v>0.0</v>
      </c>
    </row>
    <row r="121" ht="22.5" customHeight="1">
      <c r="A121" s="80" t="s">
        <v>247</v>
      </c>
      <c r="B121" s="81" t="s">
        <v>248</v>
      </c>
      <c r="C121" s="82" t="s">
        <v>5</v>
      </c>
      <c r="D121" s="82">
        <v>0.0</v>
      </c>
      <c r="E121" s="82">
        <v>0.0</v>
      </c>
      <c r="F121" s="82">
        <v>0.0</v>
      </c>
      <c r="G121" s="83">
        <v>0.0</v>
      </c>
    </row>
    <row r="122" ht="22.5" customHeight="1">
      <c r="A122" s="80" t="s">
        <v>249</v>
      </c>
      <c r="B122" s="81" t="s">
        <v>250</v>
      </c>
      <c r="C122" s="82" t="s">
        <v>5</v>
      </c>
      <c r="D122" s="82">
        <v>0.0</v>
      </c>
      <c r="E122" s="82">
        <v>0.0</v>
      </c>
      <c r="F122" s="82">
        <v>0.0</v>
      </c>
      <c r="G122" s="83">
        <v>0.0</v>
      </c>
    </row>
    <row r="123" ht="22.5" customHeight="1">
      <c r="A123" s="80" t="s">
        <v>251</v>
      </c>
      <c r="B123" s="81" t="s">
        <v>252</v>
      </c>
      <c r="C123" s="82" t="s">
        <v>5</v>
      </c>
      <c r="D123" s="82">
        <v>0.0</v>
      </c>
      <c r="E123" s="82">
        <v>0.0</v>
      </c>
      <c r="F123" s="82">
        <v>0.0</v>
      </c>
      <c r="G123" s="83">
        <v>0.0</v>
      </c>
    </row>
    <row r="124" ht="22.5" customHeight="1">
      <c r="A124" s="80" t="s">
        <v>253</v>
      </c>
      <c r="B124" s="81" t="s">
        <v>254</v>
      </c>
      <c r="C124" s="82" t="s">
        <v>5</v>
      </c>
      <c r="D124" s="82">
        <v>0.0</v>
      </c>
      <c r="E124" s="82">
        <v>0.0</v>
      </c>
      <c r="F124" s="82">
        <v>0.0</v>
      </c>
      <c r="G124" s="83">
        <v>0.0</v>
      </c>
    </row>
    <row r="125" ht="22.5" customHeight="1">
      <c r="A125" s="80" t="s">
        <v>255</v>
      </c>
      <c r="B125" s="81" t="s">
        <v>256</v>
      </c>
      <c r="C125" s="82" t="s">
        <v>5</v>
      </c>
      <c r="D125" s="82">
        <v>0.0</v>
      </c>
      <c r="E125" s="82">
        <v>0.0</v>
      </c>
      <c r="F125" s="82">
        <v>0.0</v>
      </c>
      <c r="G125" s="83">
        <v>0.0</v>
      </c>
    </row>
    <row r="126" ht="22.5" customHeight="1">
      <c r="A126" s="80" t="s">
        <v>257</v>
      </c>
      <c r="B126" s="81" t="s">
        <v>258</v>
      </c>
      <c r="C126" s="82" t="s">
        <v>5</v>
      </c>
      <c r="D126" s="82">
        <v>0.0</v>
      </c>
      <c r="E126" s="82">
        <v>0.0</v>
      </c>
      <c r="F126" s="82">
        <v>0.0</v>
      </c>
      <c r="G126" s="83">
        <v>0.0</v>
      </c>
    </row>
    <row r="127" ht="22.5" customHeight="1">
      <c r="A127" s="80" t="s">
        <v>259</v>
      </c>
      <c r="B127" s="81" t="s">
        <v>260</v>
      </c>
      <c r="C127" s="82" t="s">
        <v>5</v>
      </c>
      <c r="D127" s="82">
        <v>0.0</v>
      </c>
      <c r="E127" s="82">
        <v>0.0</v>
      </c>
      <c r="F127" s="82">
        <v>0.0</v>
      </c>
      <c r="G127" s="83">
        <v>0.0</v>
      </c>
    </row>
    <row r="128" ht="22.5" customHeight="1">
      <c r="A128" s="80" t="s">
        <v>261</v>
      </c>
      <c r="B128" s="81" t="s">
        <v>262</v>
      </c>
      <c r="C128" s="82" t="s">
        <v>5</v>
      </c>
      <c r="D128" s="82">
        <v>0.0</v>
      </c>
      <c r="E128" s="82">
        <v>0.0</v>
      </c>
      <c r="F128" s="82">
        <v>0.0</v>
      </c>
      <c r="G128" s="83">
        <v>0.0</v>
      </c>
    </row>
    <row r="129" ht="22.5" customHeight="1">
      <c r="A129" s="80" t="s">
        <v>263</v>
      </c>
      <c r="B129" s="81" t="s">
        <v>264</v>
      </c>
      <c r="C129" s="82" t="s">
        <v>5</v>
      </c>
      <c r="D129" s="82">
        <v>0.0</v>
      </c>
      <c r="E129" s="82">
        <v>0.0</v>
      </c>
      <c r="F129" s="82">
        <v>0.0</v>
      </c>
      <c r="G129" s="83">
        <v>0.0</v>
      </c>
    </row>
    <row r="130" ht="22.5" customHeight="1">
      <c r="A130" s="80" t="s">
        <v>265</v>
      </c>
      <c r="B130" s="81" t="s">
        <v>266</v>
      </c>
      <c r="C130" s="82" t="s">
        <v>5</v>
      </c>
      <c r="D130" s="82">
        <v>0.0</v>
      </c>
      <c r="E130" s="82">
        <v>0.0</v>
      </c>
      <c r="F130" s="82">
        <v>0.0</v>
      </c>
      <c r="G130" s="83">
        <v>0.0</v>
      </c>
    </row>
    <row r="131" ht="22.5" customHeight="1">
      <c r="A131" s="80" t="s">
        <v>267</v>
      </c>
      <c r="B131" s="81" t="s">
        <v>268</v>
      </c>
      <c r="C131" s="82" t="s">
        <v>5</v>
      </c>
      <c r="D131" s="82">
        <v>0.0</v>
      </c>
      <c r="E131" s="82">
        <v>0.0</v>
      </c>
      <c r="F131" s="82">
        <v>0.0</v>
      </c>
      <c r="G131" s="83">
        <v>0.0</v>
      </c>
    </row>
    <row r="132" ht="22.5" customHeight="1">
      <c r="A132" s="80" t="s">
        <v>269</v>
      </c>
      <c r="B132" s="81" t="s">
        <v>270</v>
      </c>
      <c r="C132" s="82" t="s">
        <v>5</v>
      </c>
      <c r="D132" s="82">
        <v>0.0</v>
      </c>
      <c r="E132" s="82">
        <v>0.0</v>
      </c>
      <c r="F132" s="82">
        <v>0.0</v>
      </c>
      <c r="G132" s="83">
        <v>0.0</v>
      </c>
    </row>
    <row r="133" ht="22.5" customHeight="1">
      <c r="A133" s="80" t="s">
        <v>271</v>
      </c>
      <c r="B133" s="81" t="s">
        <v>272</v>
      </c>
      <c r="C133" s="82" t="s">
        <v>5</v>
      </c>
      <c r="D133" s="82">
        <v>0.0</v>
      </c>
      <c r="E133" s="82">
        <v>0.0</v>
      </c>
      <c r="F133" s="82">
        <v>0.0</v>
      </c>
      <c r="G133" s="83">
        <v>0.0</v>
      </c>
    </row>
    <row r="134" ht="22.5" customHeight="1">
      <c r="A134" s="80" t="s">
        <v>273</v>
      </c>
      <c r="B134" s="81" t="s">
        <v>274</v>
      </c>
      <c r="C134" s="82" t="s">
        <v>5</v>
      </c>
      <c r="D134" s="82">
        <v>0.0</v>
      </c>
      <c r="E134" s="82">
        <v>0.0</v>
      </c>
      <c r="F134" s="82">
        <v>0.0</v>
      </c>
      <c r="G134" s="83">
        <v>0.0</v>
      </c>
    </row>
    <row r="135" ht="22.5" customHeight="1">
      <c r="A135" s="80" t="s">
        <v>275</v>
      </c>
      <c r="B135" s="81" t="s">
        <v>276</v>
      </c>
      <c r="C135" s="82" t="s">
        <v>5</v>
      </c>
      <c r="D135" s="82">
        <v>0.0</v>
      </c>
      <c r="E135" s="82">
        <v>0.0</v>
      </c>
      <c r="F135" s="82">
        <v>0.0</v>
      </c>
      <c r="G135" s="83">
        <v>0.0</v>
      </c>
    </row>
    <row r="136" ht="22.5" customHeight="1">
      <c r="A136" s="80" t="s">
        <v>277</v>
      </c>
      <c r="B136" s="81" t="s">
        <v>278</v>
      </c>
      <c r="C136" s="82" t="s">
        <v>5</v>
      </c>
      <c r="D136" s="82">
        <v>0.0</v>
      </c>
      <c r="E136" s="82">
        <v>0.0</v>
      </c>
      <c r="F136" s="82">
        <v>0.0</v>
      </c>
      <c r="G136" s="83">
        <v>0.0</v>
      </c>
    </row>
    <row r="137" ht="22.5" customHeight="1">
      <c r="A137" s="80" t="s">
        <v>279</v>
      </c>
      <c r="B137" s="81" t="s">
        <v>280</v>
      </c>
      <c r="C137" s="82" t="s">
        <v>5</v>
      </c>
      <c r="D137" s="82">
        <v>0.0</v>
      </c>
      <c r="E137" s="82">
        <v>0.0</v>
      </c>
      <c r="F137" s="82">
        <v>0.0</v>
      </c>
      <c r="G137" s="83">
        <v>0.0</v>
      </c>
    </row>
    <row r="138" ht="22.5" customHeight="1">
      <c r="A138" s="80" t="s">
        <v>281</v>
      </c>
      <c r="B138" s="81" t="s">
        <v>280</v>
      </c>
      <c r="C138" s="82" t="s">
        <v>5</v>
      </c>
      <c r="D138" s="82">
        <v>0.0</v>
      </c>
      <c r="E138" s="82">
        <v>0.0</v>
      </c>
      <c r="F138" s="82">
        <v>0.0</v>
      </c>
      <c r="G138" s="83">
        <v>0.0</v>
      </c>
    </row>
    <row r="139" ht="22.5" customHeight="1">
      <c r="A139" s="80" t="s">
        <v>282</v>
      </c>
      <c r="B139" s="81" t="s">
        <v>283</v>
      </c>
      <c r="C139" s="82" t="s">
        <v>5</v>
      </c>
      <c r="D139" s="82">
        <v>0.0</v>
      </c>
      <c r="E139" s="82">
        <v>0.0</v>
      </c>
      <c r="F139" s="82">
        <v>0.0</v>
      </c>
      <c r="G139" s="83">
        <v>0.0</v>
      </c>
    </row>
    <row r="140" ht="22.5" customHeight="1">
      <c r="A140" s="80" t="s">
        <v>284</v>
      </c>
      <c r="B140" s="81" t="s">
        <v>285</v>
      </c>
      <c r="C140" s="82" t="s">
        <v>5</v>
      </c>
      <c r="D140" s="82">
        <v>0.0</v>
      </c>
      <c r="E140" s="82">
        <v>0.0</v>
      </c>
      <c r="F140" s="82">
        <v>0.0</v>
      </c>
      <c r="G140" s="83">
        <v>0.0</v>
      </c>
    </row>
    <row r="141" ht="22.5" customHeight="1">
      <c r="A141" s="80" t="s">
        <v>286</v>
      </c>
      <c r="B141" s="81" t="s">
        <v>287</v>
      </c>
      <c r="C141" s="82" t="s">
        <v>5</v>
      </c>
      <c r="D141" s="82">
        <v>0.0</v>
      </c>
      <c r="E141" s="82">
        <v>0.0</v>
      </c>
      <c r="F141" s="82">
        <v>0.0</v>
      </c>
      <c r="G141" s="83">
        <v>0.0</v>
      </c>
    </row>
    <row r="142" ht="22.5" customHeight="1">
      <c r="A142" s="80" t="s">
        <v>288</v>
      </c>
      <c r="B142" s="81" t="s">
        <v>289</v>
      </c>
      <c r="C142" s="82" t="s">
        <v>5</v>
      </c>
      <c r="D142" s="82">
        <v>0.0</v>
      </c>
      <c r="E142" s="82">
        <v>0.0</v>
      </c>
      <c r="F142" s="82">
        <v>0.0</v>
      </c>
      <c r="G142" s="83">
        <v>0.0</v>
      </c>
    </row>
    <row r="143" ht="22.5" customHeight="1">
      <c r="A143" s="80" t="s">
        <v>291</v>
      </c>
      <c r="B143" s="81" t="s">
        <v>292</v>
      </c>
      <c r="C143" s="82" t="s">
        <v>5</v>
      </c>
      <c r="D143" s="82">
        <v>0.0</v>
      </c>
      <c r="E143" s="82">
        <v>0.0</v>
      </c>
      <c r="F143" s="82">
        <v>0.0</v>
      </c>
      <c r="G143" s="83">
        <v>0.0</v>
      </c>
    </row>
    <row r="144" ht="22.5" customHeight="1">
      <c r="A144" s="80" t="s">
        <v>293</v>
      </c>
      <c r="B144" s="81" t="s">
        <v>294</v>
      </c>
      <c r="C144" s="82" t="s">
        <v>5</v>
      </c>
      <c r="D144" s="82">
        <v>0.0</v>
      </c>
      <c r="E144" s="82">
        <v>0.0</v>
      </c>
      <c r="F144" s="82">
        <v>0.0</v>
      </c>
      <c r="G144" s="83">
        <v>0.0</v>
      </c>
    </row>
    <row r="145" ht="22.5" customHeight="1">
      <c r="A145" s="80" t="s">
        <v>295</v>
      </c>
      <c r="B145" s="81" t="s">
        <v>296</v>
      </c>
      <c r="C145" s="82" t="s">
        <v>5</v>
      </c>
      <c r="D145" s="82">
        <v>0.0</v>
      </c>
      <c r="E145" s="82">
        <v>0.0</v>
      </c>
      <c r="F145" s="82">
        <v>0.0</v>
      </c>
      <c r="G145" s="83">
        <v>0.0</v>
      </c>
    </row>
    <row r="146" ht="22.5" customHeight="1">
      <c r="A146" s="80" t="s">
        <v>297</v>
      </c>
      <c r="B146" s="81" t="s">
        <v>298</v>
      </c>
      <c r="C146" s="82" t="s">
        <v>5</v>
      </c>
      <c r="D146" s="82">
        <v>0.0</v>
      </c>
      <c r="E146" s="82">
        <v>0.0</v>
      </c>
      <c r="F146" s="82">
        <v>0.0</v>
      </c>
      <c r="G146" s="83">
        <v>0.0</v>
      </c>
    </row>
    <row r="147" ht="22.5" customHeight="1">
      <c r="A147" s="80" t="s">
        <v>299</v>
      </c>
      <c r="B147" s="81" t="s">
        <v>300</v>
      </c>
      <c r="C147" s="82" t="s">
        <v>5</v>
      </c>
      <c r="D147" s="82">
        <v>0.0</v>
      </c>
      <c r="E147" s="82">
        <v>0.0</v>
      </c>
      <c r="F147" s="82">
        <v>0.0</v>
      </c>
      <c r="G147" s="83">
        <v>0.0</v>
      </c>
    </row>
    <row r="148" ht="22.5" customHeight="1">
      <c r="A148" s="80" t="s">
        <v>301</v>
      </c>
      <c r="B148" s="81" t="s">
        <v>302</v>
      </c>
      <c r="C148" s="82" t="s">
        <v>5</v>
      </c>
      <c r="D148" s="82">
        <v>0.0</v>
      </c>
      <c r="E148" s="82">
        <v>0.0</v>
      </c>
      <c r="F148" s="82">
        <v>0.0</v>
      </c>
      <c r="G148" s="83">
        <v>0.0</v>
      </c>
    </row>
    <row r="149" ht="22.5" customHeight="1">
      <c r="A149" s="80" t="s">
        <v>303</v>
      </c>
      <c r="B149" s="81" t="s">
        <v>304</v>
      </c>
      <c r="C149" s="82" t="s">
        <v>5</v>
      </c>
      <c r="D149" s="82">
        <v>0.0</v>
      </c>
      <c r="E149" s="82">
        <v>0.0</v>
      </c>
      <c r="F149" s="82">
        <v>0.0</v>
      </c>
      <c r="G149" s="83">
        <v>0.0</v>
      </c>
    </row>
    <row r="150" ht="22.5" customHeight="1">
      <c r="A150" s="80" t="s">
        <v>305</v>
      </c>
      <c r="B150" s="81" t="s">
        <v>306</v>
      </c>
      <c r="C150" s="82" t="s">
        <v>5</v>
      </c>
      <c r="D150" s="82">
        <v>0.0</v>
      </c>
      <c r="E150" s="82">
        <v>0.0</v>
      </c>
      <c r="F150" s="82">
        <v>0.0</v>
      </c>
      <c r="G150" s="83">
        <v>0.0</v>
      </c>
    </row>
    <row r="151" ht="22.5" customHeight="1">
      <c r="A151" s="80" t="s">
        <v>307</v>
      </c>
      <c r="B151" s="81" t="s">
        <v>308</v>
      </c>
      <c r="C151" s="82" t="s">
        <v>5</v>
      </c>
      <c r="D151" s="82">
        <v>0.0</v>
      </c>
      <c r="E151" s="82">
        <v>0.0</v>
      </c>
      <c r="F151" s="82">
        <v>0.0</v>
      </c>
      <c r="G151" s="83">
        <v>0.0</v>
      </c>
    </row>
    <row r="152" ht="22.5" customHeight="1">
      <c r="A152" s="80" t="s">
        <v>309</v>
      </c>
      <c r="B152" s="81" t="s">
        <v>310</v>
      </c>
      <c r="C152" s="82" t="s">
        <v>5</v>
      </c>
      <c r="D152" s="82">
        <v>0.0</v>
      </c>
      <c r="E152" s="82">
        <v>0.0</v>
      </c>
      <c r="F152" s="82">
        <v>0.0</v>
      </c>
      <c r="G152" s="83">
        <v>0.0</v>
      </c>
    </row>
    <row r="153" ht="22.5" customHeight="1">
      <c r="A153" s="80" t="s">
        <v>311</v>
      </c>
      <c r="B153" s="81" t="s">
        <v>312</v>
      </c>
      <c r="C153" s="82" t="s">
        <v>5</v>
      </c>
      <c r="D153" s="82">
        <v>0.0</v>
      </c>
      <c r="E153" s="82">
        <v>0.0</v>
      </c>
      <c r="F153" s="82">
        <v>0.0</v>
      </c>
      <c r="G153" s="83">
        <v>0.0</v>
      </c>
    </row>
    <row r="154" ht="22.5" customHeight="1">
      <c r="A154" s="80" t="s">
        <v>313</v>
      </c>
      <c r="B154" s="81" t="s">
        <v>314</v>
      </c>
      <c r="C154" s="82" t="s">
        <v>5</v>
      </c>
      <c r="D154" s="82">
        <v>0.0</v>
      </c>
      <c r="E154" s="82">
        <v>0.0</v>
      </c>
      <c r="F154" s="82">
        <v>0.0</v>
      </c>
      <c r="G154" s="83">
        <v>0.0</v>
      </c>
    </row>
    <row r="155" ht="22.5" customHeight="1">
      <c r="A155" s="80" t="s">
        <v>315</v>
      </c>
      <c r="B155" s="81" t="s">
        <v>316</v>
      </c>
      <c r="C155" s="82" t="s">
        <v>5</v>
      </c>
      <c r="D155" s="82">
        <v>0.0</v>
      </c>
      <c r="E155" s="82">
        <v>0.0</v>
      </c>
      <c r="F155" s="82">
        <v>0.0</v>
      </c>
      <c r="G155" s="83">
        <v>0.0</v>
      </c>
    </row>
    <row r="156" ht="22.5" customHeight="1">
      <c r="A156" s="80" t="s">
        <v>317</v>
      </c>
      <c r="B156" s="81" t="s">
        <v>318</v>
      </c>
      <c r="C156" s="82" t="s">
        <v>5</v>
      </c>
      <c r="D156" s="82">
        <v>0.0</v>
      </c>
      <c r="E156" s="82">
        <v>0.0</v>
      </c>
      <c r="F156" s="82">
        <v>0.0</v>
      </c>
      <c r="G156" s="83">
        <v>0.0</v>
      </c>
    </row>
    <row r="157" ht="22.5" customHeight="1">
      <c r="A157" s="80" t="s">
        <v>319</v>
      </c>
      <c r="B157" s="81" t="s">
        <v>320</v>
      </c>
      <c r="C157" s="82" t="s">
        <v>5</v>
      </c>
      <c r="D157" s="82">
        <v>0.0</v>
      </c>
      <c r="E157" s="82">
        <v>0.0</v>
      </c>
      <c r="F157" s="82">
        <v>0.0</v>
      </c>
      <c r="G157" s="83">
        <v>0.0</v>
      </c>
    </row>
    <row r="158" ht="22.5" customHeight="1">
      <c r="A158" s="80" t="s">
        <v>321</v>
      </c>
      <c r="B158" s="81" t="s">
        <v>322</v>
      </c>
      <c r="C158" s="82" t="s">
        <v>5</v>
      </c>
      <c r="D158" s="82">
        <v>0.0</v>
      </c>
      <c r="E158" s="82">
        <v>0.0</v>
      </c>
      <c r="F158" s="82">
        <v>0.0</v>
      </c>
      <c r="G158" s="83">
        <v>0.0</v>
      </c>
    </row>
    <row r="159" ht="22.5" customHeight="1">
      <c r="A159" s="80" t="s">
        <v>323</v>
      </c>
      <c r="B159" s="81" t="s">
        <v>324</v>
      </c>
      <c r="C159" s="82" t="s">
        <v>5</v>
      </c>
      <c r="D159" s="82">
        <v>0.0</v>
      </c>
      <c r="E159" s="82">
        <v>0.0</v>
      </c>
      <c r="F159" s="82">
        <v>0.0</v>
      </c>
      <c r="G159" s="83">
        <v>0.0</v>
      </c>
    </row>
    <row r="160" ht="22.5" customHeight="1">
      <c r="A160" s="80" t="s">
        <v>325</v>
      </c>
      <c r="B160" s="81" t="s">
        <v>326</v>
      </c>
      <c r="C160" s="82" t="s">
        <v>5</v>
      </c>
      <c r="D160" s="82">
        <v>0.0</v>
      </c>
      <c r="E160" s="82">
        <v>0.0</v>
      </c>
      <c r="F160" s="82">
        <v>0.0</v>
      </c>
      <c r="G160" s="83">
        <v>0.0</v>
      </c>
    </row>
    <row r="161" ht="22.5" customHeight="1">
      <c r="A161" s="80" t="s">
        <v>327</v>
      </c>
      <c r="B161" s="81" t="s">
        <v>328</v>
      </c>
      <c r="C161" s="82" t="s">
        <v>5</v>
      </c>
      <c r="D161" s="82">
        <v>0.0</v>
      </c>
      <c r="E161" s="82">
        <v>0.0</v>
      </c>
      <c r="F161" s="82">
        <v>0.0</v>
      </c>
      <c r="G161" s="83">
        <v>0.0</v>
      </c>
    </row>
    <row r="162" ht="22.5" customHeight="1">
      <c r="A162" s="80" t="s">
        <v>329</v>
      </c>
      <c r="B162" s="81" t="s">
        <v>330</v>
      </c>
      <c r="C162" s="82" t="s">
        <v>5</v>
      </c>
      <c r="D162" s="82">
        <v>0.0</v>
      </c>
      <c r="E162" s="82">
        <v>0.0</v>
      </c>
      <c r="F162" s="82">
        <v>0.0</v>
      </c>
      <c r="G162" s="83">
        <v>0.0</v>
      </c>
    </row>
    <row r="163" ht="22.5" customHeight="1">
      <c r="A163" s="80" t="s">
        <v>331</v>
      </c>
      <c r="B163" s="81" t="s">
        <v>332</v>
      </c>
      <c r="C163" s="82" t="s">
        <v>5</v>
      </c>
      <c r="D163" s="82">
        <v>0.0</v>
      </c>
      <c r="E163" s="82">
        <v>0.0</v>
      </c>
      <c r="F163" s="82">
        <v>0.0</v>
      </c>
      <c r="G163" s="83">
        <v>0.0</v>
      </c>
    </row>
    <row r="164" ht="22.5" customHeight="1">
      <c r="A164" s="80" t="s">
        <v>333</v>
      </c>
      <c r="B164" s="81" t="s">
        <v>334</v>
      </c>
      <c r="C164" s="82" t="s">
        <v>5</v>
      </c>
      <c r="D164" s="82">
        <v>0.0</v>
      </c>
      <c r="E164" s="82">
        <v>0.0</v>
      </c>
      <c r="F164" s="82">
        <v>0.0</v>
      </c>
      <c r="G164" s="83">
        <v>0.0</v>
      </c>
    </row>
    <row r="165" ht="22.5" customHeight="1">
      <c r="A165" s="80" t="s">
        <v>335</v>
      </c>
      <c r="B165" s="81" t="s">
        <v>336</v>
      </c>
      <c r="C165" s="82" t="s">
        <v>5</v>
      </c>
      <c r="D165" s="82">
        <v>0.0</v>
      </c>
      <c r="E165" s="82">
        <v>0.0</v>
      </c>
      <c r="F165" s="82">
        <v>0.0</v>
      </c>
      <c r="G165" s="83">
        <v>0.0</v>
      </c>
    </row>
    <row r="166" ht="22.5" customHeight="1">
      <c r="A166" s="80" t="s">
        <v>337</v>
      </c>
      <c r="B166" s="81" t="s">
        <v>338</v>
      </c>
      <c r="C166" s="82" t="s">
        <v>5</v>
      </c>
      <c r="D166" s="82">
        <v>0.0</v>
      </c>
      <c r="E166" s="82">
        <v>0.0</v>
      </c>
      <c r="F166" s="82">
        <v>0.0</v>
      </c>
      <c r="G166" s="83">
        <v>0.0</v>
      </c>
    </row>
    <row r="167" ht="22.5" customHeight="1">
      <c r="A167" s="80" t="s">
        <v>339</v>
      </c>
      <c r="B167" s="81" t="s">
        <v>340</v>
      </c>
      <c r="C167" s="82" t="s">
        <v>5</v>
      </c>
      <c r="D167" s="82">
        <v>0.0</v>
      </c>
      <c r="E167" s="82">
        <v>0.0</v>
      </c>
      <c r="F167" s="82">
        <v>0.0</v>
      </c>
      <c r="G167" s="83">
        <v>0.0</v>
      </c>
    </row>
    <row r="168" ht="22.5" customHeight="1">
      <c r="A168" s="80" t="s">
        <v>341</v>
      </c>
      <c r="B168" s="81" t="s">
        <v>342</v>
      </c>
      <c r="C168" s="82" t="s">
        <v>5</v>
      </c>
      <c r="D168" s="82">
        <v>0.0</v>
      </c>
      <c r="E168" s="82">
        <v>0.0</v>
      </c>
      <c r="F168" s="82">
        <v>0.0</v>
      </c>
      <c r="G168" s="83">
        <v>0.0</v>
      </c>
    </row>
    <row r="169" ht="22.5" customHeight="1">
      <c r="A169" s="80" t="s">
        <v>343</v>
      </c>
      <c r="B169" s="81" t="s">
        <v>344</v>
      </c>
      <c r="C169" s="82" t="s">
        <v>5</v>
      </c>
      <c r="D169" s="82">
        <v>0.0</v>
      </c>
      <c r="E169" s="82">
        <v>0.0</v>
      </c>
      <c r="F169" s="82">
        <v>0.0</v>
      </c>
      <c r="G169" s="83">
        <v>0.0</v>
      </c>
    </row>
    <row r="170" ht="22.5" customHeight="1">
      <c r="A170" s="80" t="s">
        <v>345</v>
      </c>
      <c r="B170" s="81" t="s">
        <v>346</v>
      </c>
      <c r="C170" s="82" t="s">
        <v>5</v>
      </c>
      <c r="D170" s="82">
        <v>0.0</v>
      </c>
      <c r="E170" s="82">
        <v>0.0</v>
      </c>
      <c r="F170" s="82">
        <v>0.0</v>
      </c>
      <c r="G170" s="83">
        <v>0.0</v>
      </c>
    </row>
    <row r="171" ht="22.5" customHeight="1">
      <c r="A171" s="80" t="s">
        <v>347</v>
      </c>
      <c r="B171" s="81" t="s">
        <v>348</v>
      </c>
      <c r="C171" s="82" t="s">
        <v>5</v>
      </c>
      <c r="D171" s="82">
        <v>0.0</v>
      </c>
      <c r="E171" s="82">
        <v>0.0</v>
      </c>
      <c r="F171" s="82">
        <v>0.0</v>
      </c>
      <c r="G171" s="83">
        <v>0.0</v>
      </c>
    </row>
    <row r="172" ht="22.5" customHeight="1">
      <c r="A172" s="80" t="s">
        <v>349</v>
      </c>
      <c r="B172" s="81" t="s">
        <v>350</v>
      </c>
      <c r="C172" s="82" t="s">
        <v>5</v>
      </c>
      <c r="D172" s="82">
        <v>0.0</v>
      </c>
      <c r="E172" s="82">
        <v>0.0</v>
      </c>
      <c r="F172" s="82">
        <v>0.0</v>
      </c>
      <c r="G172" s="83">
        <v>0.0</v>
      </c>
    </row>
    <row r="173" ht="22.5" customHeight="1">
      <c r="A173" s="80" t="s">
        <v>352</v>
      </c>
      <c r="B173" s="81" t="s">
        <v>353</v>
      </c>
      <c r="C173" s="82" t="s">
        <v>5</v>
      </c>
      <c r="D173" s="82">
        <v>0.0</v>
      </c>
      <c r="E173" s="82">
        <v>0.0</v>
      </c>
      <c r="F173" s="82">
        <v>0.0</v>
      </c>
      <c r="G173" s="83">
        <v>0.0</v>
      </c>
    </row>
    <row r="174" ht="22.5" customHeight="1">
      <c r="A174" s="80" t="s">
        <v>354</v>
      </c>
      <c r="B174" s="81" t="s">
        <v>355</v>
      </c>
      <c r="C174" s="82" t="s">
        <v>5</v>
      </c>
      <c r="D174" s="82">
        <v>0.0</v>
      </c>
      <c r="E174" s="82">
        <v>0.0</v>
      </c>
      <c r="F174" s="82">
        <v>0.0</v>
      </c>
      <c r="G174" s="83">
        <v>0.0</v>
      </c>
    </row>
    <row r="175" ht="22.5" customHeight="1">
      <c r="A175" s="80" t="s">
        <v>356</v>
      </c>
      <c r="B175" s="81" t="s">
        <v>357</v>
      </c>
      <c r="C175" s="82" t="s">
        <v>5</v>
      </c>
      <c r="D175" s="82">
        <v>0.0</v>
      </c>
      <c r="E175" s="82">
        <v>0.0</v>
      </c>
      <c r="F175" s="82">
        <v>0.0</v>
      </c>
      <c r="G175" s="83">
        <v>0.0</v>
      </c>
    </row>
    <row r="176" ht="22.5" customHeight="1">
      <c r="A176" s="80" t="s">
        <v>358</v>
      </c>
      <c r="B176" s="81" t="s">
        <v>359</v>
      </c>
      <c r="C176" s="82" t="s">
        <v>5</v>
      </c>
      <c r="D176" s="82">
        <v>0.0</v>
      </c>
      <c r="E176" s="82">
        <v>0.0</v>
      </c>
      <c r="F176" s="82">
        <v>0.0</v>
      </c>
      <c r="G176" s="83">
        <v>0.0</v>
      </c>
    </row>
    <row r="177" ht="22.5" customHeight="1">
      <c r="A177" s="80" t="s">
        <v>360</v>
      </c>
      <c r="B177" s="81" t="s">
        <v>361</v>
      </c>
      <c r="C177" s="82" t="s">
        <v>5</v>
      </c>
      <c r="D177" s="82">
        <v>0.0</v>
      </c>
      <c r="E177" s="82">
        <v>0.0</v>
      </c>
      <c r="F177" s="82">
        <v>0.0</v>
      </c>
      <c r="G177" s="83">
        <v>0.0</v>
      </c>
    </row>
    <row r="178" ht="22.5" customHeight="1">
      <c r="A178" s="80" t="s">
        <v>362</v>
      </c>
      <c r="B178" s="81" t="s">
        <v>363</v>
      </c>
      <c r="C178" s="82" t="s">
        <v>5</v>
      </c>
      <c r="D178" s="82">
        <v>0.0</v>
      </c>
      <c r="E178" s="82">
        <v>0.0</v>
      </c>
      <c r="F178" s="82">
        <v>0.0</v>
      </c>
      <c r="G178" s="83">
        <v>0.0</v>
      </c>
    </row>
    <row r="179" ht="22.5" customHeight="1">
      <c r="A179" s="80" t="s">
        <v>364</v>
      </c>
      <c r="B179" s="81" t="s">
        <v>365</v>
      </c>
      <c r="C179" s="82" t="s">
        <v>5</v>
      </c>
      <c r="D179" s="82">
        <v>0.0</v>
      </c>
      <c r="E179" s="82">
        <v>0.0</v>
      </c>
      <c r="F179" s="82">
        <v>0.0</v>
      </c>
      <c r="G179" s="83">
        <v>0.0</v>
      </c>
    </row>
    <row r="180" ht="22.5" customHeight="1">
      <c r="A180" s="80" t="s">
        <v>366</v>
      </c>
      <c r="B180" s="81" t="s">
        <v>367</v>
      </c>
      <c r="C180" s="82" t="s">
        <v>5</v>
      </c>
      <c r="D180" s="82">
        <v>0.0</v>
      </c>
      <c r="E180" s="82">
        <v>0.0</v>
      </c>
      <c r="F180" s="82">
        <v>0.0</v>
      </c>
      <c r="G180" s="83">
        <v>0.0</v>
      </c>
    </row>
    <row r="181" ht="22.5" customHeight="1">
      <c r="A181" s="80" t="s">
        <v>368</v>
      </c>
      <c r="B181" s="81" t="s">
        <v>369</v>
      </c>
      <c r="C181" s="82" t="s">
        <v>5</v>
      </c>
      <c r="D181" s="82">
        <v>0.0</v>
      </c>
      <c r="E181" s="82">
        <v>0.0</v>
      </c>
      <c r="F181" s="82">
        <v>0.0</v>
      </c>
      <c r="G181" s="83">
        <v>0.0</v>
      </c>
    </row>
    <row r="182" ht="22.5" customHeight="1">
      <c r="A182" s="80" t="s">
        <v>370</v>
      </c>
      <c r="B182" s="81" t="s">
        <v>371</v>
      </c>
      <c r="C182" s="82" t="s">
        <v>5</v>
      </c>
      <c r="D182" s="82">
        <v>0.0</v>
      </c>
      <c r="E182" s="82">
        <v>0.0</v>
      </c>
      <c r="F182" s="82">
        <v>0.0</v>
      </c>
      <c r="G182" s="83">
        <v>0.0</v>
      </c>
    </row>
    <row r="183" ht="22.5" customHeight="1">
      <c r="A183" s="80" t="s">
        <v>372</v>
      </c>
      <c r="B183" s="81" t="s">
        <v>373</v>
      </c>
      <c r="C183" s="82" t="s">
        <v>5</v>
      </c>
      <c r="D183" s="82">
        <v>0.0</v>
      </c>
      <c r="E183" s="82">
        <v>0.0</v>
      </c>
      <c r="F183" s="82">
        <v>0.0</v>
      </c>
      <c r="G183" s="83">
        <v>0.0</v>
      </c>
    </row>
    <row r="184" ht="22.5" customHeight="1">
      <c r="A184" s="80" t="s">
        <v>374</v>
      </c>
      <c r="B184" s="81" t="s">
        <v>375</v>
      </c>
      <c r="C184" s="82" t="s">
        <v>5</v>
      </c>
      <c r="D184" s="82">
        <v>0.0</v>
      </c>
      <c r="E184" s="82">
        <v>0.0</v>
      </c>
      <c r="F184" s="82">
        <v>0.0</v>
      </c>
      <c r="G184" s="83">
        <v>0.0</v>
      </c>
    </row>
    <row r="185" ht="22.5" customHeight="1">
      <c r="A185" s="80" t="s">
        <v>376</v>
      </c>
      <c r="B185" s="81" t="s">
        <v>377</v>
      </c>
      <c r="C185" s="82" t="s">
        <v>5</v>
      </c>
      <c r="D185" s="82">
        <v>0.0</v>
      </c>
      <c r="E185" s="82">
        <v>0.0</v>
      </c>
      <c r="F185" s="82">
        <v>0.0</v>
      </c>
      <c r="G185" s="83">
        <v>0.0</v>
      </c>
    </row>
    <row r="186" ht="22.5" customHeight="1">
      <c r="A186" s="80" t="s">
        <v>378</v>
      </c>
      <c r="B186" s="81" t="s">
        <v>379</v>
      </c>
      <c r="C186" s="82" t="s">
        <v>5</v>
      </c>
      <c r="D186" s="82">
        <v>0.0</v>
      </c>
      <c r="E186" s="82">
        <v>0.0</v>
      </c>
      <c r="F186" s="82">
        <v>0.0</v>
      </c>
      <c r="G186" s="83">
        <v>0.0</v>
      </c>
    </row>
    <row r="187" ht="22.5" customHeight="1">
      <c r="A187" s="80" t="s">
        <v>380</v>
      </c>
      <c r="B187" s="81" t="s">
        <v>381</v>
      </c>
      <c r="C187" s="82" t="s">
        <v>5</v>
      </c>
      <c r="D187" s="82">
        <v>0.0</v>
      </c>
      <c r="E187" s="82">
        <v>0.0</v>
      </c>
      <c r="F187" s="82">
        <v>0.0</v>
      </c>
      <c r="G187" s="83">
        <v>0.0</v>
      </c>
    </row>
    <row r="188" ht="22.5" customHeight="1">
      <c r="A188" s="80" t="s">
        <v>382</v>
      </c>
      <c r="B188" s="81" t="s">
        <v>383</v>
      </c>
      <c r="C188" s="82" t="s">
        <v>5</v>
      </c>
      <c r="D188" s="82">
        <v>0.0</v>
      </c>
      <c r="E188" s="82">
        <v>0.0</v>
      </c>
      <c r="F188" s="82">
        <v>0.0</v>
      </c>
      <c r="G188" s="83">
        <v>0.0</v>
      </c>
    </row>
    <row r="189" ht="22.5" customHeight="1">
      <c r="A189" s="80" t="s">
        <v>385</v>
      </c>
      <c r="B189" s="81" t="s">
        <v>386</v>
      </c>
      <c r="C189" s="82" t="s">
        <v>5</v>
      </c>
      <c r="D189" s="82">
        <v>0.0</v>
      </c>
      <c r="E189" s="82">
        <v>0.0</v>
      </c>
      <c r="F189" s="82">
        <v>0.0</v>
      </c>
      <c r="G189" s="83">
        <v>0.0</v>
      </c>
    </row>
    <row r="190" ht="22.5" customHeight="1">
      <c r="A190" s="80" t="s">
        <v>387</v>
      </c>
      <c r="B190" s="81" t="s">
        <v>388</v>
      </c>
      <c r="C190" s="82" t="s">
        <v>5</v>
      </c>
      <c r="D190" s="82">
        <v>0.0</v>
      </c>
      <c r="E190" s="82">
        <v>0.0</v>
      </c>
      <c r="F190" s="82">
        <v>0.0</v>
      </c>
      <c r="G190" s="83">
        <v>0.0</v>
      </c>
    </row>
    <row r="191" ht="22.5" customHeight="1">
      <c r="A191" s="80" t="s">
        <v>389</v>
      </c>
      <c r="B191" s="81" t="s">
        <v>390</v>
      </c>
      <c r="C191" s="82" t="s">
        <v>5</v>
      </c>
      <c r="D191" s="82">
        <v>0.0</v>
      </c>
      <c r="E191" s="82">
        <v>0.0</v>
      </c>
      <c r="F191" s="82">
        <v>0.0</v>
      </c>
      <c r="G191" s="83">
        <v>0.0</v>
      </c>
    </row>
    <row r="192" ht="22.5" customHeight="1">
      <c r="A192" s="80" t="s">
        <v>391</v>
      </c>
      <c r="B192" s="81" t="s">
        <v>392</v>
      </c>
      <c r="C192" s="82" t="s">
        <v>5</v>
      </c>
      <c r="D192" s="82">
        <v>0.0</v>
      </c>
      <c r="E192" s="82">
        <v>0.0</v>
      </c>
      <c r="F192" s="82">
        <v>0.0</v>
      </c>
      <c r="G192" s="83">
        <v>0.0</v>
      </c>
    </row>
    <row r="193" ht="22.5" customHeight="1">
      <c r="A193" s="80" t="s">
        <v>393</v>
      </c>
      <c r="B193" s="81" t="s">
        <v>394</v>
      </c>
      <c r="C193" s="82" t="s">
        <v>5</v>
      </c>
      <c r="D193" s="82">
        <v>0.0</v>
      </c>
      <c r="E193" s="82">
        <v>0.0</v>
      </c>
      <c r="F193" s="82">
        <v>0.0</v>
      </c>
      <c r="G193" s="83">
        <v>0.0</v>
      </c>
    </row>
    <row r="194" ht="22.5" customHeight="1">
      <c r="A194" s="80" t="s">
        <v>395</v>
      </c>
      <c r="B194" s="81" t="s">
        <v>396</v>
      </c>
      <c r="C194" s="82" t="s">
        <v>5</v>
      </c>
      <c r="D194" s="82">
        <v>0.0</v>
      </c>
      <c r="E194" s="82">
        <v>0.0</v>
      </c>
      <c r="F194" s="82">
        <v>0.0</v>
      </c>
      <c r="G194" s="83">
        <v>0.0</v>
      </c>
    </row>
    <row r="195" ht="22.5" customHeight="1">
      <c r="A195" s="80" t="s">
        <v>397</v>
      </c>
      <c r="B195" s="81" t="s">
        <v>398</v>
      </c>
      <c r="C195" s="82" t="s">
        <v>5</v>
      </c>
      <c r="D195" s="82">
        <v>0.0</v>
      </c>
      <c r="E195" s="82">
        <v>0.0</v>
      </c>
      <c r="F195" s="82">
        <v>0.0</v>
      </c>
      <c r="G195" s="83">
        <v>0.0</v>
      </c>
    </row>
    <row r="196" ht="22.5" customHeight="1">
      <c r="A196" s="80" t="s">
        <v>399</v>
      </c>
      <c r="B196" s="81" t="s">
        <v>400</v>
      </c>
      <c r="C196" s="82" t="s">
        <v>5</v>
      </c>
      <c r="D196" s="82">
        <v>0.0</v>
      </c>
      <c r="E196" s="82">
        <v>0.0</v>
      </c>
      <c r="F196" s="82">
        <v>0.0</v>
      </c>
      <c r="G196" s="83">
        <v>0.0</v>
      </c>
    </row>
    <row r="197" ht="22.5" customHeight="1">
      <c r="A197" s="80" t="s">
        <v>401</v>
      </c>
      <c r="B197" s="81" t="s">
        <v>402</v>
      </c>
      <c r="C197" s="82" t="s">
        <v>5</v>
      </c>
      <c r="D197" s="82">
        <v>0.0</v>
      </c>
      <c r="E197" s="82">
        <v>0.0</v>
      </c>
      <c r="F197" s="82">
        <v>0.0</v>
      </c>
      <c r="G197" s="83">
        <v>0.0</v>
      </c>
    </row>
    <row r="198" ht="22.5" customHeight="1">
      <c r="A198" s="80" t="s">
        <v>403</v>
      </c>
      <c r="B198" s="81" t="s">
        <v>404</v>
      </c>
      <c r="C198" s="82" t="s">
        <v>5</v>
      </c>
      <c r="D198" s="82">
        <v>0.0</v>
      </c>
      <c r="E198" s="82">
        <v>0.0</v>
      </c>
      <c r="F198" s="82">
        <v>0.0</v>
      </c>
      <c r="G198" s="83">
        <v>0.0</v>
      </c>
    </row>
    <row r="199" ht="22.5" customHeight="1">
      <c r="A199" s="80" t="s">
        <v>405</v>
      </c>
      <c r="B199" s="81" t="s">
        <v>406</v>
      </c>
      <c r="C199" s="82" t="s">
        <v>5</v>
      </c>
      <c r="D199" s="82">
        <v>0.0</v>
      </c>
      <c r="E199" s="82">
        <v>0.0</v>
      </c>
      <c r="F199" s="82">
        <v>0.0</v>
      </c>
      <c r="G199" s="83">
        <v>0.0</v>
      </c>
    </row>
    <row r="200" ht="22.5" customHeight="1">
      <c r="A200" s="80" t="s">
        <v>407</v>
      </c>
      <c r="B200" s="81" t="s">
        <v>408</v>
      </c>
      <c r="C200" s="82" t="s">
        <v>5</v>
      </c>
      <c r="D200" s="82">
        <v>0.0</v>
      </c>
      <c r="E200" s="82">
        <v>0.0</v>
      </c>
      <c r="F200" s="82">
        <v>0.0</v>
      </c>
      <c r="G200" s="83">
        <v>0.0</v>
      </c>
    </row>
    <row r="201" ht="22.5" customHeight="1">
      <c r="A201" s="80" t="s">
        <v>409</v>
      </c>
      <c r="B201" s="81" t="s">
        <v>410</v>
      </c>
      <c r="C201" s="82" t="s">
        <v>5</v>
      </c>
      <c r="D201" s="82">
        <v>0.0</v>
      </c>
      <c r="E201" s="82">
        <v>0.0</v>
      </c>
      <c r="F201" s="82">
        <v>0.0</v>
      </c>
      <c r="G201" s="83">
        <v>0.0</v>
      </c>
    </row>
    <row r="202" ht="22.5" customHeight="1">
      <c r="A202" s="80" t="s">
        <v>411</v>
      </c>
      <c r="B202" s="81" t="s">
        <v>412</v>
      </c>
      <c r="C202" s="82" t="s">
        <v>5</v>
      </c>
      <c r="D202" s="82">
        <v>0.0</v>
      </c>
      <c r="E202" s="82">
        <v>0.0</v>
      </c>
      <c r="F202" s="82">
        <v>0.0</v>
      </c>
      <c r="G202" s="83">
        <v>0.0</v>
      </c>
    </row>
    <row r="203" ht="22.5" customHeight="1">
      <c r="A203" s="80" t="s">
        <v>413</v>
      </c>
      <c r="B203" s="81" t="s">
        <v>414</v>
      </c>
      <c r="C203" s="82" t="s">
        <v>5</v>
      </c>
      <c r="D203" s="82">
        <v>0.0</v>
      </c>
      <c r="E203" s="82">
        <v>0.0</v>
      </c>
      <c r="F203" s="82">
        <v>0.0</v>
      </c>
      <c r="G203" s="83">
        <v>0.0</v>
      </c>
    </row>
    <row r="204" ht="22.5" customHeight="1">
      <c r="A204" s="80" t="s">
        <v>415</v>
      </c>
      <c r="B204" s="81" t="s">
        <v>416</v>
      </c>
      <c r="C204" s="82" t="s">
        <v>5</v>
      </c>
      <c r="D204" s="82">
        <v>0.0</v>
      </c>
      <c r="E204" s="82">
        <v>0.0</v>
      </c>
      <c r="F204" s="82">
        <v>0.0</v>
      </c>
      <c r="G204" s="83">
        <v>0.0</v>
      </c>
    </row>
    <row r="205" ht="22.5" customHeight="1">
      <c r="A205" s="80" t="s">
        <v>417</v>
      </c>
      <c r="B205" s="81" t="s">
        <v>418</v>
      </c>
      <c r="C205" s="82" t="s">
        <v>5</v>
      </c>
      <c r="D205" s="82">
        <v>0.0</v>
      </c>
      <c r="E205" s="82">
        <v>0.0</v>
      </c>
      <c r="F205" s="82">
        <v>0.0</v>
      </c>
      <c r="G205" s="83">
        <v>0.0</v>
      </c>
    </row>
    <row r="206" ht="22.5" customHeight="1">
      <c r="A206" s="80" t="s">
        <v>419</v>
      </c>
      <c r="B206" s="81" t="s">
        <v>420</v>
      </c>
      <c r="C206" s="82" t="s">
        <v>5</v>
      </c>
      <c r="D206" s="82">
        <v>0.0</v>
      </c>
      <c r="E206" s="82">
        <v>0.0</v>
      </c>
      <c r="F206" s="82">
        <v>0.0</v>
      </c>
      <c r="G206" s="83">
        <v>0.0</v>
      </c>
    </row>
    <row r="207" ht="22.5" customHeight="1">
      <c r="A207" s="80" t="s">
        <v>421</v>
      </c>
      <c r="B207" s="81" t="s">
        <v>422</v>
      </c>
      <c r="C207" s="82" t="s">
        <v>5</v>
      </c>
      <c r="D207" s="82">
        <v>0.0</v>
      </c>
      <c r="E207" s="82">
        <v>0.0</v>
      </c>
      <c r="F207" s="82">
        <v>0.0</v>
      </c>
      <c r="G207" s="83">
        <v>0.0</v>
      </c>
    </row>
    <row r="208" ht="22.5" customHeight="1">
      <c r="A208" s="80" t="s">
        <v>423</v>
      </c>
      <c r="B208" s="81" t="s">
        <v>424</v>
      </c>
      <c r="C208" s="82" t="s">
        <v>5</v>
      </c>
      <c r="D208" s="82">
        <v>0.0</v>
      </c>
      <c r="E208" s="82">
        <v>0.0</v>
      </c>
      <c r="F208" s="82">
        <v>0.0</v>
      </c>
      <c r="G208" s="83">
        <v>0.0</v>
      </c>
    </row>
    <row r="209" ht="22.5" customHeight="1">
      <c r="A209" s="80" t="s">
        <v>425</v>
      </c>
      <c r="B209" s="81" t="s">
        <v>426</v>
      </c>
      <c r="C209" s="82" t="s">
        <v>5</v>
      </c>
      <c r="D209" s="82">
        <v>0.0</v>
      </c>
      <c r="E209" s="82">
        <v>0.0</v>
      </c>
      <c r="F209" s="82">
        <v>0.0</v>
      </c>
      <c r="G209" s="83">
        <v>0.0</v>
      </c>
    </row>
    <row r="210" ht="22.5" customHeight="1">
      <c r="A210" s="80" t="s">
        <v>427</v>
      </c>
      <c r="B210" s="81" t="s">
        <v>428</v>
      </c>
      <c r="C210" s="82" t="s">
        <v>5</v>
      </c>
      <c r="D210" s="82">
        <v>0.0</v>
      </c>
      <c r="E210" s="82">
        <v>0.0</v>
      </c>
      <c r="F210" s="82">
        <v>0.0</v>
      </c>
      <c r="G210" s="83">
        <v>0.0</v>
      </c>
    </row>
    <row r="211" ht="22.5" customHeight="1">
      <c r="A211" s="80" t="s">
        <v>429</v>
      </c>
      <c r="B211" s="81" t="s">
        <v>430</v>
      </c>
      <c r="C211" s="82" t="s">
        <v>5</v>
      </c>
      <c r="D211" s="82">
        <v>0.0</v>
      </c>
      <c r="E211" s="82">
        <v>0.0</v>
      </c>
      <c r="F211" s="82">
        <v>0.0</v>
      </c>
      <c r="G211" s="83">
        <v>0.0</v>
      </c>
    </row>
    <row r="212" ht="22.5" customHeight="1">
      <c r="A212" s="80" t="s">
        <v>431</v>
      </c>
      <c r="B212" s="81" t="s">
        <v>432</v>
      </c>
      <c r="C212" s="82" t="s">
        <v>5</v>
      </c>
      <c r="D212" s="82">
        <v>0.0</v>
      </c>
      <c r="E212" s="82">
        <v>0.0</v>
      </c>
      <c r="F212" s="82">
        <v>0.0</v>
      </c>
      <c r="G212" s="83">
        <v>0.0</v>
      </c>
    </row>
    <row r="213" ht="22.5" customHeight="1">
      <c r="A213" s="80" t="s">
        <v>433</v>
      </c>
      <c r="B213" s="81" t="s">
        <v>434</v>
      </c>
      <c r="C213" s="82" t="s">
        <v>5</v>
      </c>
      <c r="D213" s="82">
        <v>0.0</v>
      </c>
      <c r="E213" s="82">
        <v>0.0</v>
      </c>
      <c r="F213" s="82">
        <v>0.0</v>
      </c>
      <c r="G213" s="83">
        <v>0.0</v>
      </c>
    </row>
    <row r="214" ht="22.5" customHeight="1">
      <c r="A214" s="80" t="s">
        <v>435</v>
      </c>
      <c r="B214" s="81" t="s">
        <v>436</v>
      </c>
      <c r="C214" s="82" t="s">
        <v>5</v>
      </c>
      <c r="D214" s="82">
        <v>0.0</v>
      </c>
      <c r="E214" s="82">
        <v>0.0</v>
      </c>
      <c r="F214" s="82">
        <v>0.0</v>
      </c>
      <c r="G214" s="83">
        <v>0.0</v>
      </c>
    </row>
    <row r="215" ht="22.5" customHeight="1">
      <c r="A215" s="80" t="s">
        <v>437</v>
      </c>
      <c r="B215" s="81" t="s">
        <v>438</v>
      </c>
      <c r="C215" s="82" t="s">
        <v>5</v>
      </c>
      <c r="D215" s="82">
        <v>0.0</v>
      </c>
      <c r="E215" s="82">
        <v>0.0</v>
      </c>
      <c r="F215" s="82">
        <v>0.0</v>
      </c>
      <c r="G215" s="83">
        <v>0.0</v>
      </c>
    </row>
    <row r="216" ht="22.5" customHeight="1">
      <c r="A216" s="80" t="s">
        <v>439</v>
      </c>
      <c r="B216" s="81" t="s">
        <v>440</v>
      </c>
      <c r="C216" s="82" t="s">
        <v>5</v>
      </c>
      <c r="D216" s="82">
        <v>0.0</v>
      </c>
      <c r="E216" s="82">
        <v>0.0</v>
      </c>
      <c r="F216" s="82">
        <v>0.0</v>
      </c>
      <c r="G216" s="83">
        <v>0.0</v>
      </c>
    </row>
    <row r="217" ht="22.5" customHeight="1">
      <c r="A217" s="80" t="s">
        <v>441</v>
      </c>
      <c r="B217" s="81" t="s">
        <v>442</v>
      </c>
      <c r="C217" s="82" t="s">
        <v>5</v>
      </c>
      <c r="D217" s="82">
        <v>0.0</v>
      </c>
      <c r="E217" s="82">
        <v>0.0</v>
      </c>
      <c r="F217" s="82">
        <v>0.0</v>
      </c>
      <c r="G217" s="83">
        <v>0.0</v>
      </c>
    </row>
    <row r="218" ht="22.5" customHeight="1">
      <c r="A218" s="80" t="s">
        <v>443</v>
      </c>
      <c r="B218" s="81" t="s">
        <v>444</v>
      </c>
      <c r="C218" s="82" t="s">
        <v>5</v>
      </c>
      <c r="D218" s="82">
        <v>0.0</v>
      </c>
      <c r="E218" s="82">
        <v>0.0</v>
      </c>
      <c r="F218" s="82">
        <v>0.0</v>
      </c>
      <c r="G218" s="83">
        <v>0.0</v>
      </c>
    </row>
    <row r="219" ht="22.5" customHeight="1">
      <c r="A219" s="80" t="s">
        <v>445</v>
      </c>
      <c r="B219" s="81" t="s">
        <v>446</v>
      </c>
      <c r="C219" s="82" t="s">
        <v>5</v>
      </c>
      <c r="D219" s="82">
        <v>0.0</v>
      </c>
      <c r="E219" s="82">
        <v>0.0</v>
      </c>
      <c r="F219" s="82">
        <v>0.0</v>
      </c>
      <c r="G219" s="83">
        <v>0.0</v>
      </c>
    </row>
    <row r="220" ht="22.5" customHeight="1">
      <c r="A220" s="80" t="s">
        <v>447</v>
      </c>
      <c r="B220" s="81" t="s">
        <v>448</v>
      </c>
      <c r="C220" s="82" t="s">
        <v>5</v>
      </c>
      <c r="D220" s="82">
        <v>0.0</v>
      </c>
      <c r="E220" s="82">
        <v>0.0</v>
      </c>
      <c r="F220" s="82">
        <v>0.0</v>
      </c>
      <c r="G220" s="83">
        <v>0.0</v>
      </c>
    </row>
    <row r="221" ht="22.5" customHeight="1">
      <c r="A221" s="80" t="s">
        <v>449</v>
      </c>
      <c r="B221" s="81" t="s">
        <v>450</v>
      </c>
      <c r="C221" s="82" t="s">
        <v>5</v>
      </c>
      <c r="D221" s="82">
        <v>0.0</v>
      </c>
      <c r="E221" s="82">
        <v>0.0</v>
      </c>
      <c r="F221" s="82">
        <v>0.0</v>
      </c>
      <c r="G221" s="83">
        <v>0.0</v>
      </c>
    </row>
    <row r="222" ht="22.5" customHeight="1">
      <c r="A222" s="80" t="s">
        <v>451</v>
      </c>
      <c r="B222" s="81" t="s">
        <v>452</v>
      </c>
      <c r="C222" s="82" t="s">
        <v>5</v>
      </c>
      <c r="D222" s="82">
        <v>0.0</v>
      </c>
      <c r="E222" s="82">
        <v>0.0</v>
      </c>
      <c r="F222" s="82">
        <v>0.0</v>
      </c>
      <c r="G222" s="83">
        <v>0.0</v>
      </c>
    </row>
    <row r="223" ht="22.5" customHeight="1">
      <c r="A223" s="80" t="s">
        <v>453</v>
      </c>
      <c r="B223" s="81" t="s">
        <v>454</v>
      </c>
      <c r="C223" s="82" t="s">
        <v>5</v>
      </c>
      <c r="D223" s="82">
        <v>0.0</v>
      </c>
      <c r="E223" s="82">
        <v>0.0</v>
      </c>
      <c r="F223" s="82">
        <v>0.0</v>
      </c>
      <c r="G223" s="83">
        <v>0.0</v>
      </c>
    </row>
    <row r="224" ht="22.5" customHeight="1">
      <c r="A224" s="80" t="s">
        <v>455</v>
      </c>
      <c r="B224" s="81" t="s">
        <v>456</v>
      </c>
      <c r="C224" s="82" t="s">
        <v>5</v>
      </c>
      <c r="D224" s="82">
        <v>0.0</v>
      </c>
      <c r="E224" s="82">
        <v>0.0</v>
      </c>
      <c r="F224" s="82">
        <v>0.0</v>
      </c>
      <c r="G224" s="83">
        <v>0.0</v>
      </c>
    </row>
    <row r="225" ht="22.5" customHeight="1">
      <c r="A225" s="80" t="s">
        <v>457</v>
      </c>
      <c r="B225" s="81" t="s">
        <v>458</v>
      </c>
      <c r="C225" s="82" t="s">
        <v>5</v>
      </c>
      <c r="D225" s="82">
        <v>0.0</v>
      </c>
      <c r="E225" s="82">
        <v>0.0</v>
      </c>
      <c r="F225" s="82">
        <v>0.0</v>
      </c>
      <c r="G225" s="83">
        <v>0.0</v>
      </c>
    </row>
    <row r="226" ht="22.5" customHeight="1">
      <c r="A226" s="80" t="s">
        <v>459</v>
      </c>
      <c r="B226" s="81" t="s">
        <v>460</v>
      </c>
      <c r="C226" s="82" t="s">
        <v>5</v>
      </c>
      <c r="D226" s="82">
        <v>0.0</v>
      </c>
      <c r="E226" s="82">
        <v>0.0</v>
      </c>
      <c r="F226" s="82">
        <v>0.0</v>
      </c>
      <c r="G226" s="83">
        <v>0.0</v>
      </c>
    </row>
    <row r="227" ht="22.5" customHeight="1">
      <c r="A227" s="80" t="s">
        <v>461</v>
      </c>
      <c r="B227" s="81" t="s">
        <v>462</v>
      </c>
      <c r="C227" s="82" t="s">
        <v>5</v>
      </c>
      <c r="D227" s="82">
        <v>0.0</v>
      </c>
      <c r="E227" s="82">
        <v>0.0</v>
      </c>
      <c r="F227" s="82">
        <v>0.0</v>
      </c>
      <c r="G227" s="83">
        <v>0.0</v>
      </c>
    </row>
    <row r="228" ht="22.5" customHeight="1">
      <c r="A228" s="80" t="s">
        <v>463</v>
      </c>
      <c r="B228" s="81" t="s">
        <v>464</v>
      </c>
      <c r="C228" s="82" t="s">
        <v>5</v>
      </c>
      <c r="D228" s="82">
        <v>0.0</v>
      </c>
      <c r="E228" s="82">
        <v>0.0</v>
      </c>
      <c r="F228" s="82">
        <v>0.0</v>
      </c>
      <c r="G228" s="83">
        <v>0.0</v>
      </c>
    </row>
    <row r="229" ht="22.5" customHeight="1">
      <c r="A229" s="80" t="s">
        <v>465</v>
      </c>
      <c r="B229" s="81" t="s">
        <v>466</v>
      </c>
      <c r="C229" s="82" t="s">
        <v>5</v>
      </c>
      <c r="D229" s="82">
        <v>0.0</v>
      </c>
      <c r="E229" s="82">
        <v>0.0</v>
      </c>
      <c r="F229" s="82">
        <v>0.0</v>
      </c>
      <c r="G229" s="83">
        <v>0.0</v>
      </c>
    </row>
    <row r="230" ht="22.5" customHeight="1">
      <c r="A230" s="80" t="s">
        <v>467</v>
      </c>
      <c r="B230" s="81" t="s">
        <v>468</v>
      </c>
      <c r="C230" s="82" t="s">
        <v>5</v>
      </c>
      <c r="D230" s="82">
        <v>0.0</v>
      </c>
      <c r="E230" s="82">
        <v>0.0</v>
      </c>
      <c r="F230" s="82">
        <v>0.0</v>
      </c>
      <c r="G230" s="83">
        <v>0.0</v>
      </c>
    </row>
    <row r="231" ht="22.5" customHeight="1">
      <c r="A231" s="80" t="s">
        <v>469</v>
      </c>
      <c r="B231" s="81" t="s">
        <v>470</v>
      </c>
      <c r="C231" s="82" t="s">
        <v>5</v>
      </c>
      <c r="D231" s="82">
        <v>0.0</v>
      </c>
      <c r="E231" s="82">
        <v>0.0</v>
      </c>
      <c r="F231" s="82">
        <v>0.0</v>
      </c>
      <c r="G231" s="83">
        <v>0.0</v>
      </c>
    </row>
    <row r="232" ht="22.5" customHeight="1">
      <c r="A232" s="80" t="s">
        <v>471</v>
      </c>
      <c r="B232" s="81" t="s">
        <v>472</v>
      </c>
      <c r="C232" s="82" t="s">
        <v>5</v>
      </c>
      <c r="D232" s="82">
        <v>0.0</v>
      </c>
      <c r="E232" s="82">
        <v>0.0</v>
      </c>
      <c r="F232" s="82">
        <v>0.0</v>
      </c>
      <c r="G232" s="83">
        <v>0.0</v>
      </c>
    </row>
    <row r="233" ht="22.5" customHeight="1">
      <c r="A233" s="80" t="s">
        <v>474</v>
      </c>
      <c r="B233" s="81" t="s">
        <v>475</v>
      </c>
      <c r="C233" s="82" t="s">
        <v>5</v>
      </c>
      <c r="D233" s="82">
        <v>0.0</v>
      </c>
      <c r="E233" s="82">
        <v>0.0</v>
      </c>
      <c r="F233" s="82">
        <v>0.0</v>
      </c>
      <c r="G233" s="83">
        <v>0.0</v>
      </c>
    </row>
    <row r="234" ht="22.5" customHeight="1">
      <c r="A234" s="80" t="s">
        <v>476</v>
      </c>
      <c r="B234" s="81" t="s">
        <v>477</v>
      </c>
      <c r="C234" s="82" t="s">
        <v>5</v>
      </c>
      <c r="D234" s="82">
        <v>0.0</v>
      </c>
      <c r="E234" s="82">
        <v>0.0</v>
      </c>
      <c r="F234" s="82">
        <v>0.0</v>
      </c>
      <c r="G234" s="83">
        <v>0.0</v>
      </c>
    </row>
    <row r="235" ht="22.5" customHeight="1">
      <c r="A235" s="80" t="s">
        <v>478</v>
      </c>
      <c r="B235" s="81" t="s">
        <v>479</v>
      </c>
      <c r="C235" s="82" t="s">
        <v>5</v>
      </c>
      <c r="D235" s="82">
        <v>0.0</v>
      </c>
      <c r="E235" s="82">
        <v>0.0</v>
      </c>
      <c r="F235" s="82">
        <v>0.0</v>
      </c>
      <c r="G235" s="83">
        <v>0.0</v>
      </c>
    </row>
    <row r="236" ht="22.5" customHeight="1">
      <c r="A236" s="80" t="s">
        <v>480</v>
      </c>
      <c r="B236" s="81" t="s">
        <v>481</v>
      </c>
      <c r="C236" s="82" t="s">
        <v>5</v>
      </c>
      <c r="D236" s="82">
        <v>0.0</v>
      </c>
      <c r="E236" s="82">
        <v>0.0</v>
      </c>
      <c r="F236" s="82">
        <v>0.0</v>
      </c>
      <c r="G236" s="83">
        <v>0.0</v>
      </c>
    </row>
    <row r="237" ht="22.5" customHeight="1">
      <c r="A237" s="80" t="s">
        <v>482</v>
      </c>
      <c r="B237" s="81" t="s">
        <v>483</v>
      </c>
      <c r="C237" s="82" t="s">
        <v>5</v>
      </c>
      <c r="D237" s="82">
        <v>0.0</v>
      </c>
      <c r="E237" s="82">
        <v>0.0</v>
      </c>
      <c r="F237" s="82">
        <v>0.0</v>
      </c>
      <c r="G237" s="83">
        <v>0.0</v>
      </c>
    </row>
    <row r="238" ht="22.5" customHeight="1">
      <c r="A238" s="80" t="s">
        <v>484</v>
      </c>
      <c r="B238" s="81" t="s">
        <v>485</v>
      </c>
      <c r="C238" s="82" t="s">
        <v>5</v>
      </c>
      <c r="D238" s="82">
        <v>0.0</v>
      </c>
      <c r="E238" s="82">
        <v>0.0</v>
      </c>
      <c r="F238" s="82">
        <v>0.0</v>
      </c>
      <c r="G238" s="83">
        <v>0.0</v>
      </c>
    </row>
    <row r="239" ht="22.5" customHeight="1">
      <c r="A239" s="80" t="s">
        <v>486</v>
      </c>
      <c r="B239" s="81" t="s">
        <v>487</v>
      </c>
      <c r="C239" s="82" t="s">
        <v>5</v>
      </c>
      <c r="D239" s="82">
        <v>0.0</v>
      </c>
      <c r="E239" s="82">
        <v>0.0</v>
      </c>
      <c r="F239" s="82">
        <v>0.0</v>
      </c>
      <c r="G239" s="83">
        <v>0.0</v>
      </c>
    </row>
    <row r="240" ht="22.5" customHeight="1">
      <c r="A240" s="80" t="s">
        <v>488</v>
      </c>
      <c r="B240" s="81" t="s">
        <v>489</v>
      </c>
      <c r="C240" s="82" t="s">
        <v>5</v>
      </c>
      <c r="D240" s="82">
        <v>0.0</v>
      </c>
      <c r="E240" s="82">
        <v>0.0</v>
      </c>
      <c r="F240" s="82">
        <v>0.0</v>
      </c>
      <c r="G240" s="83">
        <v>0.0</v>
      </c>
    </row>
    <row r="241" ht="22.5" customHeight="1">
      <c r="A241" s="80"/>
      <c r="B241" s="81"/>
      <c r="C241" s="82"/>
      <c r="D241" s="82" t="s">
        <v>6</v>
      </c>
      <c r="E241" s="82" t="s">
        <v>6</v>
      </c>
      <c r="F241" s="82" t="s">
        <v>6</v>
      </c>
      <c r="G241" s="83" t="s">
        <v>6</v>
      </c>
    </row>
    <row r="242" ht="22.5" customHeight="1">
      <c r="A242" s="80"/>
      <c r="B242" s="81"/>
      <c r="C242" s="82"/>
      <c r="D242" s="82" t="s">
        <v>6</v>
      </c>
      <c r="E242" s="82" t="s">
        <v>6</v>
      </c>
      <c r="F242" s="82" t="s">
        <v>6</v>
      </c>
      <c r="G242" s="83" t="s">
        <v>6</v>
      </c>
    </row>
    <row r="243" ht="22.5" customHeight="1">
      <c r="A243" s="80"/>
      <c r="B243" s="81"/>
      <c r="C243" s="82"/>
      <c r="D243" s="82" t="s">
        <v>6</v>
      </c>
      <c r="E243" s="82" t="s">
        <v>6</v>
      </c>
      <c r="F243" s="82" t="s">
        <v>6</v>
      </c>
      <c r="G243" s="83" t="s">
        <v>6</v>
      </c>
    </row>
    <row r="244" ht="22.5" customHeight="1">
      <c r="A244" s="80"/>
      <c r="B244" s="81"/>
      <c r="C244" s="82"/>
      <c r="D244" s="82" t="s">
        <v>6</v>
      </c>
      <c r="E244" s="82" t="s">
        <v>6</v>
      </c>
      <c r="F244" s="82" t="s">
        <v>6</v>
      </c>
      <c r="G244" s="83" t="s">
        <v>6</v>
      </c>
    </row>
    <row r="245" ht="22.5" customHeight="1">
      <c r="A245" s="80"/>
      <c r="B245" s="81"/>
      <c r="C245" s="82"/>
      <c r="D245" s="82" t="s">
        <v>6</v>
      </c>
      <c r="E245" s="82" t="s">
        <v>6</v>
      </c>
      <c r="F245" s="82" t="s">
        <v>6</v>
      </c>
      <c r="G245" s="83" t="s">
        <v>6</v>
      </c>
    </row>
    <row r="246" ht="22.5" customHeight="1">
      <c r="A246" s="80"/>
      <c r="B246" s="81"/>
      <c r="C246" s="82"/>
      <c r="D246" s="82" t="s">
        <v>6</v>
      </c>
      <c r="E246" s="82" t="s">
        <v>6</v>
      </c>
      <c r="F246" s="82" t="s">
        <v>6</v>
      </c>
      <c r="G246" s="83" t="s">
        <v>6</v>
      </c>
    </row>
    <row r="247" ht="22.5" customHeight="1">
      <c r="A247" s="80"/>
      <c r="B247" s="81"/>
      <c r="C247" s="82"/>
      <c r="D247" s="82" t="s">
        <v>6</v>
      </c>
      <c r="E247" s="82" t="s">
        <v>6</v>
      </c>
      <c r="F247" s="82" t="s">
        <v>6</v>
      </c>
      <c r="G247" s="83" t="s">
        <v>6</v>
      </c>
    </row>
    <row r="248" ht="22.5" customHeight="1">
      <c r="A248" s="80"/>
      <c r="B248" s="81"/>
      <c r="C248" s="82"/>
      <c r="D248" s="82" t="s">
        <v>6</v>
      </c>
      <c r="E248" s="82" t="s">
        <v>6</v>
      </c>
      <c r="F248" s="82" t="s">
        <v>6</v>
      </c>
      <c r="G248" s="83" t="s">
        <v>6</v>
      </c>
    </row>
    <row r="249" ht="22.5" customHeight="1">
      <c r="A249" s="80"/>
      <c r="B249" s="81"/>
      <c r="C249" s="82"/>
      <c r="D249" s="82" t="s">
        <v>6</v>
      </c>
      <c r="E249" s="82" t="s">
        <v>6</v>
      </c>
      <c r="F249" s="82" t="s">
        <v>6</v>
      </c>
      <c r="G249" s="83" t="s">
        <v>6</v>
      </c>
    </row>
    <row r="250" ht="22.5" customHeight="1">
      <c r="A250" s="80"/>
      <c r="B250" s="81"/>
      <c r="C250" s="82"/>
      <c r="D250" s="82" t="s">
        <v>6</v>
      </c>
      <c r="E250" s="82" t="s">
        <v>6</v>
      </c>
      <c r="F250" s="82" t="s">
        <v>6</v>
      </c>
      <c r="G250" s="83" t="s">
        <v>6</v>
      </c>
    </row>
    <row r="251" ht="22.5" customHeight="1">
      <c r="A251" s="80"/>
      <c r="B251" s="81"/>
      <c r="C251" s="82"/>
      <c r="D251" s="82" t="s">
        <v>6</v>
      </c>
      <c r="E251" s="82" t="s">
        <v>6</v>
      </c>
      <c r="F251" s="82" t="s">
        <v>6</v>
      </c>
      <c r="G251" s="83" t="s">
        <v>6</v>
      </c>
    </row>
    <row r="252" ht="22.5" customHeight="1">
      <c r="A252" s="80"/>
      <c r="B252" s="81"/>
      <c r="C252" s="82"/>
      <c r="D252" s="82" t="s">
        <v>6</v>
      </c>
      <c r="E252" s="82" t="s">
        <v>6</v>
      </c>
      <c r="F252" s="82" t="s">
        <v>6</v>
      </c>
      <c r="G252" s="83" t="s">
        <v>6</v>
      </c>
    </row>
    <row r="253" ht="22.5" customHeight="1">
      <c r="A253" s="80"/>
      <c r="B253" s="81"/>
      <c r="C253" s="82"/>
      <c r="D253" s="82" t="s">
        <v>6</v>
      </c>
      <c r="E253" s="82" t="s">
        <v>6</v>
      </c>
      <c r="F253" s="82" t="s">
        <v>6</v>
      </c>
      <c r="G253" s="83" t="s">
        <v>6</v>
      </c>
    </row>
    <row r="254" ht="22.5" customHeight="1">
      <c r="A254" s="80"/>
      <c r="B254" s="81"/>
      <c r="C254" s="82"/>
      <c r="D254" s="82" t="s">
        <v>6</v>
      </c>
      <c r="E254" s="82" t="s">
        <v>6</v>
      </c>
      <c r="F254" s="82" t="s">
        <v>6</v>
      </c>
      <c r="G254" s="83" t="s">
        <v>6</v>
      </c>
    </row>
    <row r="255" ht="22.5" customHeight="1">
      <c r="A255" s="80"/>
      <c r="B255" s="81"/>
      <c r="C255" s="82"/>
      <c r="D255" s="82" t="s">
        <v>6</v>
      </c>
      <c r="E255" s="82" t="s">
        <v>6</v>
      </c>
      <c r="F255" s="82" t="s">
        <v>6</v>
      </c>
      <c r="G255" s="83" t="s">
        <v>6</v>
      </c>
    </row>
    <row r="256" ht="22.5" customHeight="1">
      <c r="A256" s="80"/>
      <c r="B256" s="81"/>
      <c r="C256" s="82"/>
      <c r="D256" s="82" t="s">
        <v>6</v>
      </c>
      <c r="E256" s="82" t="s">
        <v>6</v>
      </c>
      <c r="F256" s="82" t="s">
        <v>6</v>
      </c>
      <c r="G256" s="83" t="s">
        <v>6</v>
      </c>
    </row>
    <row r="257" ht="22.5" customHeight="1">
      <c r="A257" s="80"/>
      <c r="B257" s="81"/>
      <c r="C257" s="82"/>
      <c r="D257" s="82" t="s">
        <v>6</v>
      </c>
      <c r="E257" s="82" t="s">
        <v>6</v>
      </c>
      <c r="F257" s="82" t="s">
        <v>6</v>
      </c>
      <c r="G257" s="83" t="s">
        <v>6</v>
      </c>
    </row>
    <row r="258" ht="22.5" customHeight="1">
      <c r="A258" s="80"/>
      <c r="B258" s="81"/>
      <c r="C258" s="82"/>
      <c r="D258" s="82" t="s">
        <v>6</v>
      </c>
      <c r="E258" s="82" t="s">
        <v>6</v>
      </c>
      <c r="F258" s="82" t="s">
        <v>6</v>
      </c>
      <c r="G258" s="83" t="s">
        <v>6</v>
      </c>
    </row>
    <row r="259" ht="22.5" customHeight="1">
      <c r="A259" s="80"/>
      <c r="B259" s="81"/>
      <c r="C259" s="82"/>
      <c r="D259" s="82" t="s">
        <v>6</v>
      </c>
      <c r="E259" s="82" t="s">
        <v>6</v>
      </c>
      <c r="F259" s="82" t="s">
        <v>6</v>
      </c>
      <c r="G259" s="83" t="s">
        <v>6</v>
      </c>
    </row>
    <row r="260" ht="22.5" customHeight="1">
      <c r="A260" s="80"/>
      <c r="B260" s="81"/>
      <c r="C260" s="82"/>
      <c r="D260" s="82" t="s">
        <v>6</v>
      </c>
      <c r="E260" s="82" t="s">
        <v>6</v>
      </c>
      <c r="F260" s="82" t="s">
        <v>6</v>
      </c>
      <c r="G260" s="83" t="s">
        <v>6</v>
      </c>
    </row>
    <row r="261" ht="22.5" customHeight="1">
      <c r="A261" s="80"/>
      <c r="B261" s="81"/>
      <c r="C261" s="82"/>
      <c r="D261" s="82" t="s">
        <v>6</v>
      </c>
      <c r="E261" s="82" t="s">
        <v>6</v>
      </c>
      <c r="F261" s="82" t="s">
        <v>6</v>
      </c>
      <c r="G261" s="83" t="s">
        <v>6</v>
      </c>
    </row>
    <row r="262" ht="22.5" customHeight="1">
      <c r="A262" s="80"/>
      <c r="B262" s="81"/>
      <c r="C262" s="82"/>
      <c r="D262" s="82" t="s">
        <v>6</v>
      </c>
      <c r="E262" s="82" t="s">
        <v>6</v>
      </c>
      <c r="F262" s="82" t="s">
        <v>6</v>
      </c>
      <c r="G262" s="83" t="s">
        <v>6</v>
      </c>
    </row>
    <row r="263" ht="22.5" customHeight="1">
      <c r="A263" s="80"/>
      <c r="B263" s="81"/>
      <c r="C263" s="82"/>
      <c r="D263" s="82" t="s">
        <v>6</v>
      </c>
      <c r="E263" s="82" t="s">
        <v>6</v>
      </c>
      <c r="F263" s="82" t="s">
        <v>6</v>
      </c>
      <c r="G263" s="83" t="s">
        <v>6</v>
      </c>
    </row>
    <row r="264" ht="22.5" customHeight="1">
      <c r="A264" s="80"/>
      <c r="B264" s="81"/>
      <c r="C264" s="82"/>
      <c r="D264" s="82" t="s">
        <v>6</v>
      </c>
      <c r="E264" s="82" t="s">
        <v>6</v>
      </c>
      <c r="F264" s="82" t="s">
        <v>6</v>
      </c>
      <c r="G264" s="83" t="s">
        <v>6</v>
      </c>
    </row>
    <row r="265" ht="22.5" customHeight="1">
      <c r="A265" s="80"/>
      <c r="B265" s="81"/>
      <c r="C265" s="82"/>
      <c r="D265" s="82" t="s">
        <v>6</v>
      </c>
      <c r="E265" s="82" t="s">
        <v>6</v>
      </c>
      <c r="F265" s="82" t="s">
        <v>6</v>
      </c>
      <c r="G265" s="83" t="s">
        <v>6</v>
      </c>
    </row>
    <row r="266" ht="22.5" customHeight="1">
      <c r="A266" s="80"/>
      <c r="B266" s="81"/>
      <c r="C266" s="82"/>
      <c r="D266" s="82" t="s">
        <v>6</v>
      </c>
      <c r="E266" s="82" t="s">
        <v>6</v>
      </c>
      <c r="F266" s="82" t="s">
        <v>6</v>
      </c>
      <c r="G266" s="83" t="s">
        <v>6</v>
      </c>
    </row>
    <row r="267" ht="22.5" customHeight="1">
      <c r="A267" s="80"/>
      <c r="B267" s="81"/>
      <c r="C267" s="82"/>
      <c r="D267" s="82" t="s">
        <v>6</v>
      </c>
      <c r="E267" s="82" t="s">
        <v>6</v>
      </c>
      <c r="F267" s="82" t="s">
        <v>6</v>
      </c>
      <c r="G267" s="83" t="s">
        <v>6</v>
      </c>
    </row>
    <row r="268" ht="22.5" customHeight="1">
      <c r="A268" s="80"/>
      <c r="B268" s="81"/>
      <c r="C268" s="82"/>
      <c r="D268" s="82" t="s">
        <v>6</v>
      </c>
      <c r="E268" s="82" t="s">
        <v>6</v>
      </c>
      <c r="F268" s="82" t="s">
        <v>6</v>
      </c>
      <c r="G268" s="83" t="s">
        <v>6</v>
      </c>
    </row>
    <row r="269" ht="22.5" customHeight="1">
      <c r="A269" s="80"/>
      <c r="B269" s="81"/>
      <c r="C269" s="82"/>
      <c r="D269" s="82" t="s">
        <v>6</v>
      </c>
      <c r="E269" s="82" t="s">
        <v>6</v>
      </c>
      <c r="F269" s="82" t="s">
        <v>6</v>
      </c>
      <c r="G269" s="83" t="s">
        <v>6</v>
      </c>
    </row>
    <row r="270" ht="22.5" customHeight="1">
      <c r="A270" s="80"/>
      <c r="B270" s="81"/>
      <c r="C270" s="82"/>
      <c r="D270" s="82" t="s">
        <v>6</v>
      </c>
      <c r="E270" s="82" t="s">
        <v>6</v>
      </c>
      <c r="F270" s="82" t="s">
        <v>6</v>
      </c>
      <c r="G270" s="83" t="s">
        <v>6</v>
      </c>
    </row>
    <row r="271" ht="22.5" customHeight="1">
      <c r="A271" s="80"/>
      <c r="B271" s="81"/>
      <c r="C271" s="82"/>
      <c r="D271" s="82" t="s">
        <v>6</v>
      </c>
      <c r="E271" s="82" t="s">
        <v>6</v>
      </c>
      <c r="F271" s="82" t="s">
        <v>6</v>
      </c>
      <c r="G271" s="83" t="s">
        <v>6</v>
      </c>
    </row>
    <row r="272" ht="22.5" customHeight="1">
      <c r="A272" s="80"/>
      <c r="B272" s="81"/>
      <c r="C272" s="82"/>
      <c r="D272" s="82" t="s">
        <v>6</v>
      </c>
      <c r="E272" s="82" t="s">
        <v>6</v>
      </c>
      <c r="F272" s="82" t="s">
        <v>6</v>
      </c>
      <c r="G272" s="83" t="s">
        <v>6</v>
      </c>
    </row>
    <row r="273" ht="22.5" customHeight="1">
      <c r="A273" s="80"/>
      <c r="B273" s="81"/>
      <c r="C273" s="82"/>
      <c r="D273" s="82" t="s">
        <v>6</v>
      </c>
      <c r="E273" s="82" t="s">
        <v>6</v>
      </c>
      <c r="F273" s="82" t="s">
        <v>6</v>
      </c>
      <c r="G273" s="83" t="s">
        <v>6</v>
      </c>
    </row>
    <row r="274" ht="22.5" customHeight="1">
      <c r="A274" s="80"/>
      <c r="B274" s="81"/>
      <c r="C274" s="82"/>
      <c r="D274" s="82" t="s">
        <v>6</v>
      </c>
      <c r="E274" s="82" t="s">
        <v>6</v>
      </c>
      <c r="F274" s="82" t="s">
        <v>6</v>
      </c>
      <c r="G274" s="83" t="s">
        <v>6</v>
      </c>
    </row>
    <row r="275" ht="22.5" customHeight="1">
      <c r="A275" s="80"/>
      <c r="B275" s="81"/>
      <c r="C275" s="82"/>
      <c r="D275" s="82" t="s">
        <v>6</v>
      </c>
      <c r="E275" s="82" t="s">
        <v>6</v>
      </c>
      <c r="F275" s="82" t="s">
        <v>6</v>
      </c>
      <c r="G275" s="83" t="s">
        <v>6</v>
      </c>
    </row>
    <row r="276" ht="22.5" customHeight="1">
      <c r="A276" s="80"/>
      <c r="B276" s="81"/>
      <c r="C276" s="82"/>
      <c r="D276" s="82" t="s">
        <v>6</v>
      </c>
      <c r="E276" s="82" t="s">
        <v>6</v>
      </c>
      <c r="F276" s="82" t="s">
        <v>6</v>
      </c>
      <c r="G276" s="83" t="s">
        <v>6</v>
      </c>
    </row>
    <row r="277" ht="22.5" customHeight="1">
      <c r="A277" s="80"/>
      <c r="B277" s="81"/>
      <c r="C277" s="82"/>
      <c r="D277" s="82" t="s">
        <v>6</v>
      </c>
      <c r="E277" s="82" t="s">
        <v>6</v>
      </c>
      <c r="F277" s="82" t="s">
        <v>6</v>
      </c>
      <c r="G277" s="83" t="s">
        <v>6</v>
      </c>
    </row>
    <row r="278" ht="22.5" customHeight="1">
      <c r="A278" s="80"/>
      <c r="B278" s="81"/>
      <c r="C278" s="82"/>
      <c r="D278" s="82" t="s">
        <v>6</v>
      </c>
      <c r="E278" s="82" t="s">
        <v>6</v>
      </c>
      <c r="F278" s="82" t="s">
        <v>6</v>
      </c>
      <c r="G278" s="83" t="s">
        <v>6</v>
      </c>
    </row>
    <row r="279" ht="22.5" customHeight="1">
      <c r="A279" s="80"/>
      <c r="B279" s="81"/>
      <c r="C279" s="82"/>
      <c r="D279" s="82" t="s">
        <v>6</v>
      </c>
      <c r="E279" s="82" t="s">
        <v>6</v>
      </c>
      <c r="F279" s="82" t="s">
        <v>6</v>
      </c>
      <c r="G279" s="83" t="s">
        <v>6</v>
      </c>
    </row>
    <row r="280" ht="22.5" customHeight="1">
      <c r="A280" s="80"/>
      <c r="B280" s="81"/>
      <c r="C280" s="82"/>
      <c r="D280" s="82" t="s">
        <v>6</v>
      </c>
      <c r="E280" s="82" t="s">
        <v>6</v>
      </c>
      <c r="F280" s="82" t="s">
        <v>6</v>
      </c>
      <c r="G280" s="83" t="s">
        <v>6</v>
      </c>
    </row>
    <row r="281" ht="22.5" customHeight="1">
      <c r="A281" s="80"/>
      <c r="B281" s="81"/>
      <c r="C281" s="82"/>
      <c r="D281" s="82" t="s">
        <v>6</v>
      </c>
      <c r="E281" s="82" t="s">
        <v>6</v>
      </c>
      <c r="F281" s="82" t="s">
        <v>6</v>
      </c>
      <c r="G281" s="83" t="s">
        <v>6</v>
      </c>
    </row>
    <row r="282" ht="22.5" customHeight="1">
      <c r="A282" s="80"/>
      <c r="B282" s="81"/>
      <c r="C282" s="82"/>
      <c r="D282" s="82" t="s">
        <v>6</v>
      </c>
      <c r="E282" s="82" t="s">
        <v>6</v>
      </c>
      <c r="F282" s="82" t="s">
        <v>6</v>
      </c>
      <c r="G282" s="83" t="s">
        <v>6</v>
      </c>
    </row>
    <row r="283" ht="22.5" customHeight="1">
      <c r="A283" s="80"/>
      <c r="B283" s="81"/>
      <c r="C283" s="82"/>
      <c r="D283" s="82" t="s">
        <v>6</v>
      </c>
      <c r="E283" s="82" t="s">
        <v>6</v>
      </c>
      <c r="F283" s="82" t="s">
        <v>6</v>
      </c>
      <c r="G283" s="83" t="s">
        <v>6</v>
      </c>
    </row>
    <row r="284" ht="22.5" customHeight="1">
      <c r="A284" s="80"/>
      <c r="B284" s="81"/>
      <c r="C284" s="82"/>
      <c r="D284" s="82" t="s">
        <v>6</v>
      </c>
      <c r="E284" s="82" t="s">
        <v>6</v>
      </c>
      <c r="F284" s="82" t="s">
        <v>6</v>
      </c>
      <c r="G284" s="83" t="s">
        <v>6</v>
      </c>
    </row>
    <row r="285" ht="22.5" customHeight="1">
      <c r="A285" s="80"/>
      <c r="B285" s="81"/>
      <c r="C285" s="82"/>
      <c r="D285" s="82" t="s">
        <v>6</v>
      </c>
      <c r="E285" s="82" t="s">
        <v>6</v>
      </c>
      <c r="F285" s="82" t="s">
        <v>6</v>
      </c>
      <c r="G285" s="83" t="s">
        <v>6</v>
      </c>
    </row>
    <row r="286" ht="22.5" customHeight="1">
      <c r="A286" s="80"/>
      <c r="B286" s="81"/>
      <c r="C286" s="82"/>
      <c r="D286" s="82" t="s">
        <v>6</v>
      </c>
      <c r="E286" s="82" t="s">
        <v>6</v>
      </c>
      <c r="F286" s="82" t="s">
        <v>6</v>
      </c>
      <c r="G286" s="83" t="s">
        <v>6</v>
      </c>
    </row>
    <row r="287" ht="22.5" customHeight="1">
      <c r="A287" s="80"/>
      <c r="B287" s="81"/>
      <c r="C287" s="82"/>
      <c r="D287" s="82" t="s">
        <v>6</v>
      </c>
      <c r="E287" s="82" t="s">
        <v>6</v>
      </c>
      <c r="F287" s="82" t="s">
        <v>6</v>
      </c>
      <c r="G287" s="83" t="s">
        <v>6</v>
      </c>
    </row>
    <row r="288" ht="22.5" customHeight="1">
      <c r="A288" s="80"/>
      <c r="B288" s="81"/>
      <c r="C288" s="82"/>
      <c r="D288" s="82" t="s">
        <v>6</v>
      </c>
      <c r="E288" s="82" t="s">
        <v>6</v>
      </c>
      <c r="F288" s="82" t="s">
        <v>6</v>
      </c>
      <c r="G288" s="83" t="s">
        <v>6</v>
      </c>
    </row>
    <row r="289" ht="22.5" customHeight="1">
      <c r="A289" s="80"/>
      <c r="B289" s="81"/>
      <c r="C289" s="82"/>
      <c r="D289" s="82" t="s">
        <v>6</v>
      </c>
      <c r="E289" s="82" t="s">
        <v>6</v>
      </c>
      <c r="F289" s="82" t="s">
        <v>6</v>
      </c>
      <c r="G289" s="83" t="s">
        <v>6</v>
      </c>
    </row>
    <row r="290" ht="22.5" customHeight="1">
      <c r="A290" s="80"/>
      <c r="B290" s="81"/>
      <c r="C290" s="82"/>
      <c r="D290" s="82" t="s">
        <v>6</v>
      </c>
      <c r="E290" s="82" t="s">
        <v>6</v>
      </c>
      <c r="F290" s="82" t="s">
        <v>6</v>
      </c>
      <c r="G290" s="83" t="s">
        <v>6</v>
      </c>
    </row>
    <row r="291" ht="22.5" customHeight="1">
      <c r="A291" s="80"/>
      <c r="B291" s="81"/>
      <c r="C291" s="82"/>
      <c r="D291" s="82" t="s">
        <v>6</v>
      </c>
      <c r="E291" s="82" t="s">
        <v>6</v>
      </c>
      <c r="F291" s="82" t="s">
        <v>6</v>
      </c>
      <c r="G291" s="83" t="s">
        <v>6</v>
      </c>
    </row>
    <row r="292" ht="22.5" customHeight="1">
      <c r="A292" s="80"/>
      <c r="B292" s="81"/>
      <c r="C292" s="82"/>
      <c r="D292" s="82" t="s">
        <v>6</v>
      </c>
      <c r="E292" s="82" t="s">
        <v>6</v>
      </c>
      <c r="F292" s="82" t="s">
        <v>6</v>
      </c>
      <c r="G292" s="83" t="s">
        <v>6</v>
      </c>
    </row>
    <row r="293" ht="22.5" customHeight="1">
      <c r="A293" s="80"/>
      <c r="B293" s="81"/>
      <c r="C293" s="82"/>
      <c r="D293" s="82" t="s">
        <v>6</v>
      </c>
      <c r="E293" s="82" t="s">
        <v>6</v>
      </c>
      <c r="F293" s="82" t="s">
        <v>6</v>
      </c>
      <c r="G293" s="83" t="s">
        <v>6</v>
      </c>
    </row>
    <row r="294" ht="22.5" customHeight="1">
      <c r="A294" s="80"/>
      <c r="B294" s="81"/>
      <c r="C294" s="82"/>
      <c r="D294" s="82" t="s">
        <v>6</v>
      </c>
      <c r="E294" s="82" t="s">
        <v>6</v>
      </c>
      <c r="F294" s="82" t="s">
        <v>6</v>
      </c>
      <c r="G294" s="83" t="s">
        <v>6</v>
      </c>
    </row>
    <row r="295" ht="22.5" customHeight="1">
      <c r="A295" s="80"/>
      <c r="B295" s="81"/>
      <c r="C295" s="82"/>
      <c r="D295" s="82" t="s">
        <v>6</v>
      </c>
      <c r="E295" s="82" t="s">
        <v>6</v>
      </c>
      <c r="F295" s="82" t="s">
        <v>6</v>
      </c>
      <c r="G295" s="83" t="s">
        <v>6</v>
      </c>
    </row>
    <row r="296" ht="22.5" customHeight="1">
      <c r="A296" s="80"/>
      <c r="B296" s="81"/>
      <c r="C296" s="82"/>
      <c r="D296" s="82" t="s">
        <v>6</v>
      </c>
      <c r="E296" s="82" t="s">
        <v>6</v>
      </c>
      <c r="F296" s="82" t="s">
        <v>6</v>
      </c>
      <c r="G296" s="83" t="s">
        <v>6</v>
      </c>
    </row>
    <row r="297" ht="22.5" customHeight="1">
      <c r="A297" s="80"/>
      <c r="B297" s="81"/>
      <c r="C297" s="82"/>
      <c r="D297" s="82" t="s">
        <v>6</v>
      </c>
      <c r="E297" s="82" t="s">
        <v>6</v>
      </c>
      <c r="F297" s="82" t="s">
        <v>6</v>
      </c>
      <c r="G297" s="83" t="s">
        <v>6</v>
      </c>
    </row>
    <row r="298" ht="22.5" customHeight="1">
      <c r="A298" s="80"/>
      <c r="B298" s="81"/>
      <c r="C298" s="82"/>
      <c r="D298" s="82" t="s">
        <v>6</v>
      </c>
      <c r="E298" s="82" t="s">
        <v>6</v>
      </c>
      <c r="F298" s="82" t="s">
        <v>6</v>
      </c>
      <c r="G298" s="83" t="s">
        <v>6</v>
      </c>
    </row>
    <row r="299" ht="22.5" customHeight="1">
      <c r="A299" s="80"/>
      <c r="B299" s="81"/>
      <c r="C299" s="82"/>
      <c r="D299" s="82" t="s">
        <v>6</v>
      </c>
      <c r="E299" s="82" t="s">
        <v>6</v>
      </c>
      <c r="F299" s="82" t="s">
        <v>6</v>
      </c>
      <c r="G299" s="83" t="s">
        <v>6</v>
      </c>
    </row>
    <row r="300" ht="22.5" customHeight="1">
      <c r="A300" s="80"/>
      <c r="B300" s="81"/>
      <c r="C300" s="82"/>
      <c r="D300" s="82" t="s">
        <v>6</v>
      </c>
      <c r="E300" s="82" t="s">
        <v>6</v>
      </c>
      <c r="F300" s="82" t="s">
        <v>6</v>
      </c>
      <c r="G300" s="83" t="s">
        <v>6</v>
      </c>
    </row>
    <row r="301" ht="22.5" customHeight="1">
      <c r="A301" s="80"/>
      <c r="B301" s="81"/>
      <c r="C301" s="82"/>
      <c r="D301" s="82" t="s">
        <v>6</v>
      </c>
      <c r="E301" s="82" t="s">
        <v>6</v>
      </c>
      <c r="F301" s="82" t="s">
        <v>6</v>
      </c>
      <c r="G301" s="83" t="s">
        <v>6</v>
      </c>
    </row>
    <row r="302" ht="22.5" customHeight="1">
      <c r="A302" s="80"/>
      <c r="B302" s="81"/>
      <c r="C302" s="82"/>
      <c r="D302" s="82" t="s">
        <v>6</v>
      </c>
      <c r="E302" s="82" t="s">
        <v>6</v>
      </c>
      <c r="F302" s="82" t="s">
        <v>6</v>
      </c>
      <c r="G302" s="83" t="s">
        <v>6</v>
      </c>
    </row>
    <row r="303" ht="22.5" customHeight="1">
      <c r="A303" s="80"/>
      <c r="B303" s="81"/>
      <c r="C303" s="82"/>
      <c r="D303" s="82" t="s">
        <v>6</v>
      </c>
      <c r="E303" s="82" t="s">
        <v>6</v>
      </c>
      <c r="F303" s="82" t="s">
        <v>6</v>
      </c>
      <c r="G303" s="83" t="s">
        <v>6</v>
      </c>
    </row>
    <row r="304" ht="22.5" customHeight="1">
      <c r="A304" s="80"/>
      <c r="B304" s="81"/>
      <c r="C304" s="82"/>
      <c r="D304" s="82" t="s">
        <v>6</v>
      </c>
      <c r="E304" s="82" t="s">
        <v>6</v>
      </c>
      <c r="F304" s="82" t="s">
        <v>6</v>
      </c>
      <c r="G304" s="83" t="s">
        <v>6</v>
      </c>
    </row>
    <row r="305" ht="22.5" customHeight="1">
      <c r="A305" s="80"/>
      <c r="B305" s="81"/>
      <c r="C305" s="82"/>
      <c r="D305" s="82" t="s">
        <v>6</v>
      </c>
      <c r="E305" s="82" t="s">
        <v>6</v>
      </c>
      <c r="F305" s="82" t="s">
        <v>6</v>
      </c>
      <c r="G305" s="83" t="s">
        <v>6</v>
      </c>
    </row>
    <row r="306" ht="22.5" customHeight="1">
      <c r="A306" s="80"/>
      <c r="B306" s="81"/>
      <c r="C306" s="82"/>
      <c r="D306" s="82" t="s">
        <v>6</v>
      </c>
      <c r="E306" s="82" t="s">
        <v>6</v>
      </c>
      <c r="F306" s="82" t="s">
        <v>6</v>
      </c>
      <c r="G306" s="83" t="s">
        <v>6</v>
      </c>
    </row>
    <row r="307" ht="22.5" customHeight="1">
      <c r="A307" s="80"/>
      <c r="B307" s="81"/>
      <c r="C307" s="82"/>
      <c r="D307" s="82" t="s">
        <v>6</v>
      </c>
      <c r="E307" s="82" t="s">
        <v>6</v>
      </c>
      <c r="F307" s="82" t="s">
        <v>6</v>
      </c>
      <c r="G307" s="83" t="s">
        <v>6</v>
      </c>
    </row>
    <row r="308" ht="22.5" customHeight="1">
      <c r="A308" s="80"/>
      <c r="B308" s="81"/>
      <c r="C308" s="82"/>
      <c r="D308" s="82" t="s">
        <v>6</v>
      </c>
      <c r="E308" s="82" t="s">
        <v>6</v>
      </c>
      <c r="F308" s="82" t="s">
        <v>6</v>
      </c>
      <c r="G308" s="83" t="s">
        <v>6</v>
      </c>
    </row>
    <row r="309" ht="22.5" customHeight="1">
      <c r="A309" s="80"/>
      <c r="B309" s="81"/>
      <c r="C309" s="82"/>
      <c r="D309" s="82" t="s">
        <v>6</v>
      </c>
      <c r="E309" s="82" t="s">
        <v>6</v>
      </c>
      <c r="F309" s="82" t="s">
        <v>6</v>
      </c>
      <c r="G309" s="83" t="s">
        <v>6</v>
      </c>
    </row>
    <row r="310" ht="22.5" customHeight="1">
      <c r="A310" s="80"/>
      <c r="B310" s="81"/>
      <c r="C310" s="82"/>
      <c r="D310" s="82" t="s">
        <v>6</v>
      </c>
      <c r="E310" s="82" t="s">
        <v>6</v>
      </c>
      <c r="F310" s="82" t="s">
        <v>6</v>
      </c>
      <c r="G310" s="83" t="s">
        <v>6</v>
      </c>
    </row>
    <row r="311" ht="22.5" customHeight="1">
      <c r="A311" s="80"/>
      <c r="B311" s="81"/>
      <c r="C311" s="82"/>
      <c r="D311" s="82" t="s">
        <v>6</v>
      </c>
      <c r="E311" s="82" t="s">
        <v>6</v>
      </c>
      <c r="F311" s="82" t="s">
        <v>6</v>
      </c>
      <c r="G311" s="83" t="s">
        <v>6</v>
      </c>
    </row>
    <row r="312" ht="22.5" customHeight="1">
      <c r="A312" s="80"/>
      <c r="B312" s="81"/>
      <c r="C312" s="82"/>
      <c r="D312" s="82" t="s">
        <v>6</v>
      </c>
      <c r="E312" s="82" t="s">
        <v>6</v>
      </c>
      <c r="F312" s="82" t="s">
        <v>6</v>
      </c>
      <c r="G312" s="83" t="s">
        <v>6</v>
      </c>
    </row>
    <row r="313" ht="22.5" customHeight="1">
      <c r="A313" s="80"/>
      <c r="B313" s="81"/>
      <c r="C313" s="82"/>
      <c r="D313" s="82" t="s">
        <v>6</v>
      </c>
      <c r="E313" s="82" t="s">
        <v>6</v>
      </c>
      <c r="F313" s="82" t="s">
        <v>6</v>
      </c>
      <c r="G313" s="83" t="s">
        <v>6</v>
      </c>
    </row>
    <row r="314" ht="22.5" customHeight="1">
      <c r="A314" s="80"/>
      <c r="B314" s="81"/>
      <c r="C314" s="82"/>
      <c r="D314" s="82" t="s">
        <v>6</v>
      </c>
      <c r="E314" s="82" t="s">
        <v>6</v>
      </c>
      <c r="F314" s="82" t="s">
        <v>6</v>
      </c>
      <c r="G314" s="83" t="s">
        <v>6</v>
      </c>
    </row>
    <row r="315" ht="22.5" customHeight="1">
      <c r="A315" s="80"/>
      <c r="B315" s="81"/>
      <c r="C315" s="82"/>
      <c r="D315" s="82" t="s">
        <v>6</v>
      </c>
      <c r="E315" s="82" t="s">
        <v>6</v>
      </c>
      <c r="F315" s="82" t="s">
        <v>6</v>
      </c>
      <c r="G315" s="83" t="s">
        <v>6</v>
      </c>
    </row>
    <row r="316" ht="22.5" customHeight="1">
      <c r="A316" s="80"/>
      <c r="B316" s="81"/>
      <c r="C316" s="82"/>
      <c r="D316" s="82" t="s">
        <v>6</v>
      </c>
      <c r="E316" s="82" t="s">
        <v>6</v>
      </c>
      <c r="F316" s="82" t="s">
        <v>6</v>
      </c>
      <c r="G316" s="83" t="s">
        <v>6</v>
      </c>
    </row>
    <row r="317" ht="22.5" customHeight="1">
      <c r="A317" s="80"/>
      <c r="B317" s="81"/>
      <c r="C317" s="82"/>
      <c r="D317" s="82" t="s">
        <v>6</v>
      </c>
      <c r="E317" s="82" t="s">
        <v>6</v>
      </c>
      <c r="F317" s="82" t="s">
        <v>6</v>
      </c>
      <c r="G317" s="83" t="s">
        <v>6</v>
      </c>
    </row>
    <row r="318" ht="22.5" customHeight="1">
      <c r="A318" s="80"/>
      <c r="B318" s="81"/>
      <c r="C318" s="82"/>
      <c r="D318" s="82" t="s">
        <v>6</v>
      </c>
      <c r="E318" s="82" t="s">
        <v>6</v>
      </c>
      <c r="F318" s="82" t="s">
        <v>6</v>
      </c>
      <c r="G318" s="83" t="s">
        <v>6</v>
      </c>
    </row>
    <row r="319" ht="22.5" customHeight="1">
      <c r="A319" s="80"/>
      <c r="B319" s="81"/>
      <c r="C319" s="82"/>
      <c r="D319" s="82" t="s">
        <v>6</v>
      </c>
      <c r="E319" s="82" t="s">
        <v>6</v>
      </c>
      <c r="F319" s="82" t="s">
        <v>6</v>
      </c>
      <c r="G319" s="83" t="s">
        <v>6</v>
      </c>
    </row>
    <row r="320" ht="22.5" customHeight="1">
      <c r="A320" s="80"/>
      <c r="B320" s="81"/>
      <c r="C320" s="82"/>
      <c r="D320" s="82" t="s">
        <v>6</v>
      </c>
      <c r="E320" s="82" t="s">
        <v>6</v>
      </c>
      <c r="F320" s="82" t="s">
        <v>6</v>
      </c>
      <c r="G320" s="83" t="s">
        <v>6</v>
      </c>
    </row>
    <row r="321" ht="22.5" customHeight="1">
      <c r="A321" s="80"/>
      <c r="B321" s="81"/>
      <c r="C321" s="82"/>
      <c r="D321" s="82" t="s">
        <v>6</v>
      </c>
      <c r="E321" s="82" t="s">
        <v>6</v>
      </c>
      <c r="F321" s="82" t="s">
        <v>6</v>
      </c>
      <c r="G321" s="83" t="s">
        <v>6</v>
      </c>
    </row>
    <row r="322" ht="22.5" customHeight="1">
      <c r="A322" s="80"/>
      <c r="B322" s="81"/>
      <c r="C322" s="82"/>
      <c r="D322" s="82" t="s">
        <v>6</v>
      </c>
      <c r="E322" s="82" t="s">
        <v>6</v>
      </c>
      <c r="F322" s="82" t="s">
        <v>6</v>
      </c>
      <c r="G322" s="83" t="s">
        <v>6</v>
      </c>
    </row>
    <row r="323" ht="22.5" customHeight="1">
      <c r="A323" s="80"/>
      <c r="B323" s="81"/>
      <c r="C323" s="82"/>
      <c r="D323" s="82" t="s">
        <v>6</v>
      </c>
      <c r="E323" s="82" t="s">
        <v>6</v>
      </c>
      <c r="F323" s="82" t="s">
        <v>6</v>
      </c>
      <c r="G323" s="83" t="s">
        <v>6</v>
      </c>
    </row>
    <row r="324" ht="22.5" customHeight="1">
      <c r="A324" s="80"/>
      <c r="B324" s="81"/>
      <c r="C324" s="82"/>
      <c r="D324" s="82" t="s">
        <v>6</v>
      </c>
      <c r="E324" s="82" t="s">
        <v>6</v>
      </c>
      <c r="F324" s="82" t="s">
        <v>6</v>
      </c>
      <c r="G324" s="83" t="s">
        <v>6</v>
      </c>
    </row>
    <row r="325" ht="22.5" customHeight="1">
      <c r="A325" s="80"/>
      <c r="B325" s="81"/>
      <c r="C325" s="82"/>
      <c r="D325" s="82" t="s">
        <v>6</v>
      </c>
      <c r="E325" s="82" t="s">
        <v>6</v>
      </c>
      <c r="F325" s="82" t="s">
        <v>6</v>
      </c>
      <c r="G325" s="83" t="s">
        <v>6</v>
      </c>
    </row>
    <row r="326" ht="22.5" customHeight="1">
      <c r="A326" s="80"/>
      <c r="B326" s="81"/>
      <c r="C326" s="82"/>
      <c r="D326" s="82" t="s">
        <v>6</v>
      </c>
      <c r="E326" s="82" t="s">
        <v>6</v>
      </c>
      <c r="F326" s="82" t="s">
        <v>6</v>
      </c>
      <c r="G326" s="83" t="s">
        <v>6</v>
      </c>
    </row>
    <row r="327" ht="22.5" customHeight="1">
      <c r="A327" s="80"/>
      <c r="B327" s="81"/>
      <c r="C327" s="82"/>
      <c r="D327" s="82" t="s">
        <v>6</v>
      </c>
      <c r="E327" s="82" t="s">
        <v>6</v>
      </c>
      <c r="F327" s="82" t="s">
        <v>6</v>
      </c>
      <c r="G327" s="83" t="s">
        <v>6</v>
      </c>
    </row>
    <row r="328" ht="22.5" customHeight="1">
      <c r="A328" s="80"/>
      <c r="B328" s="81"/>
      <c r="C328" s="82"/>
      <c r="D328" s="82" t="s">
        <v>6</v>
      </c>
      <c r="E328" s="82" t="s">
        <v>6</v>
      </c>
      <c r="F328" s="82" t="s">
        <v>6</v>
      </c>
      <c r="G328" s="83" t="s">
        <v>6</v>
      </c>
    </row>
    <row r="329" ht="22.5" customHeight="1">
      <c r="A329" s="80"/>
      <c r="B329" s="81"/>
      <c r="C329" s="82"/>
      <c r="D329" s="82" t="s">
        <v>6</v>
      </c>
      <c r="E329" s="82" t="s">
        <v>6</v>
      </c>
      <c r="F329" s="82" t="s">
        <v>6</v>
      </c>
      <c r="G329" s="83" t="s">
        <v>6</v>
      </c>
    </row>
    <row r="330" ht="22.5" customHeight="1">
      <c r="A330" s="80"/>
      <c r="B330" s="81"/>
      <c r="C330" s="82"/>
      <c r="D330" s="82" t="s">
        <v>6</v>
      </c>
      <c r="E330" s="82" t="s">
        <v>6</v>
      </c>
      <c r="F330" s="82" t="s">
        <v>6</v>
      </c>
      <c r="G330" s="83" t="s">
        <v>6</v>
      </c>
    </row>
    <row r="331" ht="22.5" customHeight="1">
      <c r="A331" s="80"/>
      <c r="B331" s="81"/>
      <c r="C331" s="82"/>
      <c r="D331" s="82" t="s">
        <v>6</v>
      </c>
      <c r="E331" s="82" t="s">
        <v>6</v>
      </c>
      <c r="F331" s="82" t="s">
        <v>6</v>
      </c>
      <c r="G331" s="83" t="s">
        <v>6</v>
      </c>
    </row>
    <row r="332" ht="22.5" customHeight="1">
      <c r="A332" s="80"/>
      <c r="B332" s="81"/>
      <c r="C332" s="82"/>
      <c r="D332" s="82" t="s">
        <v>6</v>
      </c>
      <c r="E332" s="82" t="s">
        <v>6</v>
      </c>
      <c r="F332" s="82" t="s">
        <v>6</v>
      </c>
      <c r="G332" s="83" t="s">
        <v>6</v>
      </c>
    </row>
    <row r="333" ht="22.5" customHeight="1">
      <c r="A333" s="80"/>
      <c r="B333" s="81"/>
      <c r="C333" s="82"/>
      <c r="D333" s="82" t="s">
        <v>6</v>
      </c>
      <c r="E333" s="82" t="s">
        <v>6</v>
      </c>
      <c r="F333" s="82" t="s">
        <v>6</v>
      </c>
      <c r="G333" s="83" t="s">
        <v>6</v>
      </c>
    </row>
    <row r="334" ht="22.5" customHeight="1">
      <c r="A334" s="80"/>
      <c r="B334" s="81"/>
      <c r="C334" s="82"/>
      <c r="D334" s="82" t="s">
        <v>6</v>
      </c>
      <c r="E334" s="82" t="s">
        <v>6</v>
      </c>
      <c r="F334" s="82" t="s">
        <v>6</v>
      </c>
      <c r="G334" s="83" t="s">
        <v>6</v>
      </c>
    </row>
    <row r="335" ht="22.5" customHeight="1">
      <c r="A335" s="80"/>
      <c r="B335" s="81"/>
      <c r="C335" s="82"/>
      <c r="D335" s="82" t="s">
        <v>6</v>
      </c>
      <c r="E335" s="82" t="s">
        <v>6</v>
      </c>
      <c r="F335" s="82" t="s">
        <v>6</v>
      </c>
      <c r="G335" s="83" t="s">
        <v>6</v>
      </c>
    </row>
    <row r="336" ht="22.5" customHeight="1">
      <c r="A336" s="80"/>
      <c r="B336" s="81"/>
      <c r="C336" s="82"/>
      <c r="D336" s="82" t="s">
        <v>6</v>
      </c>
      <c r="E336" s="82" t="s">
        <v>6</v>
      </c>
      <c r="F336" s="82" t="s">
        <v>6</v>
      </c>
      <c r="G336" s="83" t="s">
        <v>6</v>
      </c>
    </row>
    <row r="337" ht="22.5" customHeight="1">
      <c r="A337" s="80"/>
      <c r="B337" s="81"/>
      <c r="C337" s="82"/>
      <c r="D337" s="82" t="s">
        <v>6</v>
      </c>
      <c r="E337" s="82" t="s">
        <v>6</v>
      </c>
      <c r="F337" s="82" t="s">
        <v>6</v>
      </c>
      <c r="G337" s="83" t="s">
        <v>6</v>
      </c>
    </row>
    <row r="338" ht="22.5" customHeight="1">
      <c r="A338" s="80"/>
      <c r="B338" s="81"/>
      <c r="C338" s="82"/>
      <c r="D338" s="82" t="s">
        <v>6</v>
      </c>
      <c r="E338" s="82" t="s">
        <v>6</v>
      </c>
      <c r="F338" s="82" t="s">
        <v>6</v>
      </c>
      <c r="G338" s="83" t="s">
        <v>6</v>
      </c>
    </row>
    <row r="339" ht="22.5" customHeight="1">
      <c r="A339" s="80"/>
      <c r="B339" s="81"/>
      <c r="C339" s="82"/>
      <c r="D339" s="82" t="s">
        <v>6</v>
      </c>
      <c r="E339" s="82" t="s">
        <v>6</v>
      </c>
      <c r="F339" s="82" t="s">
        <v>6</v>
      </c>
      <c r="G339" s="83" t="s">
        <v>6</v>
      </c>
    </row>
    <row r="340" ht="22.5" customHeight="1">
      <c r="A340" s="80"/>
      <c r="B340" s="81"/>
      <c r="C340" s="82"/>
      <c r="D340" s="82" t="s">
        <v>6</v>
      </c>
      <c r="E340" s="82" t="s">
        <v>6</v>
      </c>
      <c r="F340" s="82" t="s">
        <v>6</v>
      </c>
      <c r="G340" s="83" t="s">
        <v>6</v>
      </c>
    </row>
    <row r="341" ht="22.5" customHeight="1">
      <c r="A341" s="80"/>
      <c r="B341" s="81"/>
      <c r="C341" s="82"/>
      <c r="D341" s="82" t="s">
        <v>6</v>
      </c>
      <c r="E341" s="82" t="s">
        <v>6</v>
      </c>
      <c r="F341" s="82" t="s">
        <v>6</v>
      </c>
      <c r="G341" s="83" t="s">
        <v>6</v>
      </c>
    </row>
    <row r="342" ht="22.5" customHeight="1">
      <c r="A342" s="80"/>
      <c r="B342" s="81"/>
      <c r="C342" s="82"/>
      <c r="D342" s="82" t="s">
        <v>6</v>
      </c>
      <c r="E342" s="82" t="s">
        <v>6</v>
      </c>
      <c r="F342" s="82" t="s">
        <v>6</v>
      </c>
      <c r="G342" s="83" t="s">
        <v>6</v>
      </c>
    </row>
    <row r="343" ht="22.5" customHeight="1">
      <c r="A343" s="80"/>
      <c r="B343" s="81"/>
      <c r="C343" s="82"/>
      <c r="D343" s="82" t="s">
        <v>6</v>
      </c>
      <c r="E343" s="82" t="s">
        <v>6</v>
      </c>
      <c r="F343" s="82" t="s">
        <v>6</v>
      </c>
      <c r="G343" s="83" t="s">
        <v>6</v>
      </c>
    </row>
    <row r="344" ht="22.5" customHeight="1">
      <c r="A344" s="80"/>
      <c r="B344" s="81"/>
      <c r="C344" s="82"/>
      <c r="D344" s="82" t="s">
        <v>6</v>
      </c>
      <c r="E344" s="82" t="s">
        <v>6</v>
      </c>
      <c r="F344" s="82" t="s">
        <v>6</v>
      </c>
      <c r="G344" s="83" t="s">
        <v>6</v>
      </c>
    </row>
    <row r="345" ht="22.5" customHeight="1">
      <c r="A345" s="80"/>
      <c r="B345" s="81"/>
      <c r="C345" s="82"/>
      <c r="D345" s="82" t="s">
        <v>6</v>
      </c>
      <c r="E345" s="82" t="s">
        <v>6</v>
      </c>
      <c r="F345" s="82" t="s">
        <v>6</v>
      </c>
      <c r="G345" s="83" t="s">
        <v>6</v>
      </c>
    </row>
    <row r="346" ht="22.5" customHeight="1">
      <c r="A346" s="80"/>
      <c r="B346" s="81"/>
      <c r="C346" s="82"/>
      <c r="D346" s="82" t="s">
        <v>6</v>
      </c>
      <c r="E346" s="82" t="s">
        <v>6</v>
      </c>
      <c r="F346" s="82" t="s">
        <v>6</v>
      </c>
      <c r="G346" s="83" t="s">
        <v>6</v>
      </c>
    </row>
    <row r="347" ht="22.5" customHeight="1">
      <c r="A347" s="80"/>
      <c r="B347" s="81"/>
      <c r="C347" s="82"/>
      <c r="D347" s="82" t="s">
        <v>6</v>
      </c>
      <c r="E347" s="82" t="s">
        <v>6</v>
      </c>
      <c r="F347" s="82" t="s">
        <v>6</v>
      </c>
      <c r="G347" s="83" t="s">
        <v>6</v>
      </c>
    </row>
    <row r="348" ht="22.5" customHeight="1">
      <c r="A348" s="80"/>
      <c r="B348" s="81"/>
      <c r="C348" s="82"/>
      <c r="D348" s="82" t="s">
        <v>6</v>
      </c>
      <c r="E348" s="82" t="s">
        <v>6</v>
      </c>
      <c r="F348" s="82" t="s">
        <v>6</v>
      </c>
      <c r="G348" s="83" t="s">
        <v>6</v>
      </c>
    </row>
    <row r="349" ht="22.5" customHeight="1">
      <c r="A349" s="80"/>
      <c r="B349" s="81"/>
      <c r="C349" s="82"/>
      <c r="D349" s="82" t="s">
        <v>6</v>
      </c>
      <c r="E349" s="82" t="s">
        <v>6</v>
      </c>
      <c r="F349" s="82" t="s">
        <v>6</v>
      </c>
      <c r="G349" s="83" t="s">
        <v>6</v>
      </c>
    </row>
    <row r="350" ht="22.5" customHeight="1">
      <c r="A350" s="80"/>
      <c r="B350" s="81"/>
      <c r="C350" s="82"/>
      <c r="D350" s="82" t="s">
        <v>6</v>
      </c>
      <c r="E350" s="82" t="s">
        <v>6</v>
      </c>
      <c r="F350" s="82" t="s">
        <v>6</v>
      </c>
      <c r="G350" s="83" t="s">
        <v>6</v>
      </c>
    </row>
    <row r="351" ht="22.5" customHeight="1">
      <c r="A351" s="80"/>
      <c r="B351" s="81"/>
      <c r="C351" s="82"/>
      <c r="D351" s="82" t="s">
        <v>6</v>
      </c>
      <c r="E351" s="82" t="s">
        <v>6</v>
      </c>
      <c r="F351" s="82" t="s">
        <v>6</v>
      </c>
      <c r="G351" s="83" t="s">
        <v>6</v>
      </c>
    </row>
    <row r="352" ht="22.5" customHeight="1">
      <c r="A352" s="80"/>
      <c r="B352" s="81"/>
      <c r="C352" s="82"/>
      <c r="D352" s="82" t="s">
        <v>6</v>
      </c>
      <c r="E352" s="82" t="s">
        <v>6</v>
      </c>
      <c r="F352" s="82" t="s">
        <v>6</v>
      </c>
      <c r="G352" s="83" t="s">
        <v>6</v>
      </c>
    </row>
    <row r="353" ht="22.5" customHeight="1">
      <c r="A353" s="80"/>
      <c r="B353" s="81"/>
      <c r="C353" s="82"/>
      <c r="D353" s="82" t="s">
        <v>6</v>
      </c>
      <c r="E353" s="82" t="s">
        <v>6</v>
      </c>
      <c r="F353" s="82" t="s">
        <v>6</v>
      </c>
      <c r="G353" s="83" t="s">
        <v>6</v>
      </c>
    </row>
    <row r="354" ht="22.5" customHeight="1">
      <c r="A354" s="80"/>
      <c r="B354" s="81"/>
      <c r="C354" s="82"/>
      <c r="D354" s="82" t="s">
        <v>6</v>
      </c>
      <c r="E354" s="82" t="s">
        <v>6</v>
      </c>
      <c r="F354" s="82" t="s">
        <v>6</v>
      </c>
      <c r="G354" s="83" t="s">
        <v>6</v>
      </c>
    </row>
    <row r="355" ht="22.5" customHeight="1">
      <c r="A355" s="80"/>
      <c r="B355" s="81"/>
      <c r="C355" s="82"/>
      <c r="D355" s="82" t="s">
        <v>6</v>
      </c>
      <c r="E355" s="82" t="s">
        <v>6</v>
      </c>
      <c r="F355" s="82" t="s">
        <v>6</v>
      </c>
      <c r="G355" s="83" t="s">
        <v>6</v>
      </c>
    </row>
    <row r="356" ht="22.5" customHeight="1">
      <c r="A356" s="80"/>
      <c r="B356" s="81"/>
      <c r="C356" s="82"/>
      <c r="D356" s="82" t="s">
        <v>6</v>
      </c>
      <c r="E356" s="82" t="s">
        <v>6</v>
      </c>
      <c r="F356" s="82" t="s">
        <v>6</v>
      </c>
      <c r="G356" s="83" t="s">
        <v>6</v>
      </c>
    </row>
    <row r="357" ht="22.5" customHeight="1">
      <c r="A357" s="80"/>
      <c r="B357" s="81"/>
      <c r="C357" s="82"/>
      <c r="D357" s="82" t="s">
        <v>6</v>
      </c>
      <c r="E357" s="82" t="s">
        <v>6</v>
      </c>
      <c r="F357" s="82" t="s">
        <v>6</v>
      </c>
      <c r="G357" s="83" t="s">
        <v>6</v>
      </c>
    </row>
    <row r="358" ht="22.5" customHeight="1">
      <c r="A358" s="80"/>
      <c r="B358" s="81"/>
      <c r="C358" s="82"/>
      <c r="D358" s="82" t="s">
        <v>6</v>
      </c>
      <c r="E358" s="82" t="s">
        <v>6</v>
      </c>
      <c r="F358" s="82" t="s">
        <v>6</v>
      </c>
      <c r="G358" s="83" t="s">
        <v>6</v>
      </c>
    </row>
    <row r="359" ht="22.5" customHeight="1">
      <c r="A359" s="80"/>
      <c r="B359" s="81"/>
      <c r="C359" s="82"/>
      <c r="D359" s="82" t="s">
        <v>6</v>
      </c>
      <c r="E359" s="82" t="s">
        <v>6</v>
      </c>
      <c r="F359" s="82" t="s">
        <v>6</v>
      </c>
      <c r="G359" s="83" t="s">
        <v>6</v>
      </c>
    </row>
    <row r="360" ht="22.5" customHeight="1">
      <c r="A360" s="80"/>
      <c r="B360" s="81"/>
      <c r="C360" s="82"/>
      <c r="D360" s="82" t="s">
        <v>6</v>
      </c>
      <c r="E360" s="82" t="s">
        <v>6</v>
      </c>
      <c r="F360" s="82" t="s">
        <v>6</v>
      </c>
      <c r="G360" s="83" t="s">
        <v>6</v>
      </c>
    </row>
    <row r="361" ht="22.5" customHeight="1">
      <c r="A361" s="80"/>
      <c r="B361" s="81"/>
      <c r="C361" s="82"/>
      <c r="D361" s="82" t="s">
        <v>6</v>
      </c>
      <c r="E361" s="82" t="s">
        <v>6</v>
      </c>
      <c r="F361" s="82" t="s">
        <v>6</v>
      </c>
      <c r="G361" s="83" t="s">
        <v>6</v>
      </c>
    </row>
    <row r="362" ht="22.5" customHeight="1">
      <c r="A362" s="80"/>
      <c r="B362" s="81"/>
      <c r="C362" s="82"/>
      <c r="D362" s="82" t="s">
        <v>6</v>
      </c>
      <c r="E362" s="82" t="s">
        <v>6</v>
      </c>
      <c r="F362" s="82" t="s">
        <v>6</v>
      </c>
      <c r="G362" s="83" t="s">
        <v>6</v>
      </c>
    </row>
    <row r="363" ht="22.5" customHeight="1">
      <c r="A363" s="80"/>
      <c r="B363" s="81"/>
      <c r="C363" s="82"/>
      <c r="D363" s="82" t="s">
        <v>6</v>
      </c>
      <c r="E363" s="82" t="s">
        <v>6</v>
      </c>
      <c r="F363" s="82" t="s">
        <v>6</v>
      </c>
      <c r="G363" s="83" t="s">
        <v>6</v>
      </c>
    </row>
    <row r="364" ht="22.5" customHeight="1">
      <c r="A364" s="80"/>
      <c r="B364" s="81"/>
      <c r="C364" s="82"/>
      <c r="D364" s="82" t="s">
        <v>6</v>
      </c>
      <c r="E364" s="82" t="s">
        <v>6</v>
      </c>
      <c r="F364" s="82" t="s">
        <v>6</v>
      </c>
      <c r="G364" s="83" t="s">
        <v>6</v>
      </c>
    </row>
    <row r="365" ht="22.5" customHeight="1">
      <c r="A365" s="80"/>
      <c r="B365" s="81"/>
      <c r="C365" s="82"/>
      <c r="D365" s="82" t="s">
        <v>6</v>
      </c>
      <c r="E365" s="82" t="s">
        <v>6</v>
      </c>
      <c r="F365" s="82" t="s">
        <v>6</v>
      </c>
      <c r="G365" s="83" t="s">
        <v>6</v>
      </c>
    </row>
    <row r="366" ht="22.5" customHeight="1">
      <c r="A366" s="80"/>
      <c r="B366" s="81"/>
      <c r="C366" s="82"/>
      <c r="D366" s="82" t="s">
        <v>6</v>
      </c>
      <c r="E366" s="82" t="s">
        <v>6</v>
      </c>
      <c r="F366" s="82" t="s">
        <v>6</v>
      </c>
      <c r="G366" s="83" t="s">
        <v>6</v>
      </c>
    </row>
    <row r="367" ht="22.5" customHeight="1">
      <c r="A367" s="80"/>
      <c r="B367" s="81"/>
      <c r="C367" s="82"/>
      <c r="D367" s="82" t="s">
        <v>6</v>
      </c>
      <c r="E367" s="82" t="s">
        <v>6</v>
      </c>
      <c r="F367" s="82" t="s">
        <v>6</v>
      </c>
      <c r="G367" s="83" t="s">
        <v>6</v>
      </c>
    </row>
    <row r="368" ht="22.5" customHeight="1">
      <c r="A368" s="80"/>
      <c r="B368" s="81"/>
      <c r="C368" s="82"/>
      <c r="D368" s="82" t="s">
        <v>6</v>
      </c>
      <c r="E368" s="82" t="s">
        <v>6</v>
      </c>
      <c r="F368" s="82" t="s">
        <v>6</v>
      </c>
      <c r="G368" s="83" t="s">
        <v>6</v>
      </c>
    </row>
    <row r="369" ht="22.5" customHeight="1">
      <c r="A369" s="80"/>
      <c r="B369" s="81"/>
      <c r="C369" s="82"/>
      <c r="D369" s="82" t="s">
        <v>6</v>
      </c>
      <c r="E369" s="82" t="s">
        <v>6</v>
      </c>
      <c r="F369" s="82" t="s">
        <v>6</v>
      </c>
      <c r="G369" s="83" t="s">
        <v>6</v>
      </c>
    </row>
    <row r="370" ht="22.5" customHeight="1">
      <c r="A370" s="80"/>
      <c r="B370" s="81"/>
      <c r="C370" s="82"/>
      <c r="D370" s="82" t="s">
        <v>6</v>
      </c>
      <c r="E370" s="82" t="s">
        <v>6</v>
      </c>
      <c r="F370" s="82" t="s">
        <v>6</v>
      </c>
      <c r="G370" s="83" t="s">
        <v>6</v>
      </c>
    </row>
    <row r="371" ht="22.5" customHeight="1">
      <c r="A371" s="80"/>
      <c r="B371" s="81"/>
      <c r="C371" s="82"/>
      <c r="D371" s="82" t="s">
        <v>6</v>
      </c>
      <c r="E371" s="82" t="s">
        <v>6</v>
      </c>
      <c r="F371" s="82" t="s">
        <v>6</v>
      </c>
      <c r="G371" s="83" t="s">
        <v>6</v>
      </c>
    </row>
    <row r="372" ht="22.5" customHeight="1">
      <c r="A372" s="80"/>
      <c r="B372" s="81"/>
      <c r="C372" s="82"/>
      <c r="D372" s="82" t="s">
        <v>6</v>
      </c>
      <c r="E372" s="82" t="s">
        <v>6</v>
      </c>
      <c r="F372" s="82" t="s">
        <v>6</v>
      </c>
      <c r="G372" s="83" t="s">
        <v>6</v>
      </c>
    </row>
    <row r="373" ht="22.5" customHeight="1">
      <c r="A373" s="80"/>
      <c r="B373" s="81"/>
      <c r="C373" s="82"/>
      <c r="D373" s="82" t="s">
        <v>6</v>
      </c>
      <c r="E373" s="82" t="s">
        <v>6</v>
      </c>
      <c r="F373" s="82" t="s">
        <v>6</v>
      </c>
      <c r="G373" s="83" t="s">
        <v>6</v>
      </c>
    </row>
    <row r="374" ht="22.5" customHeight="1">
      <c r="A374" s="80"/>
      <c r="B374" s="81"/>
      <c r="C374" s="82"/>
      <c r="D374" s="82" t="s">
        <v>6</v>
      </c>
      <c r="E374" s="82" t="s">
        <v>6</v>
      </c>
      <c r="F374" s="82" t="s">
        <v>6</v>
      </c>
      <c r="G374" s="83" t="s">
        <v>6</v>
      </c>
    </row>
    <row r="375" ht="22.5" customHeight="1">
      <c r="A375" s="80"/>
      <c r="B375" s="81"/>
      <c r="C375" s="82"/>
      <c r="D375" s="82" t="s">
        <v>6</v>
      </c>
      <c r="E375" s="82" t="s">
        <v>6</v>
      </c>
      <c r="F375" s="82" t="s">
        <v>6</v>
      </c>
      <c r="G375" s="83" t="s">
        <v>6</v>
      </c>
    </row>
    <row r="376" ht="22.5" customHeight="1">
      <c r="A376" s="80"/>
      <c r="B376" s="81"/>
      <c r="C376" s="82"/>
      <c r="D376" s="82" t="s">
        <v>6</v>
      </c>
      <c r="E376" s="82" t="s">
        <v>6</v>
      </c>
      <c r="F376" s="82" t="s">
        <v>6</v>
      </c>
      <c r="G376" s="83" t="s">
        <v>6</v>
      </c>
    </row>
    <row r="377" ht="22.5" customHeight="1">
      <c r="A377" s="80"/>
      <c r="B377" s="81"/>
      <c r="C377" s="82"/>
      <c r="D377" s="82" t="s">
        <v>6</v>
      </c>
      <c r="E377" s="82" t="s">
        <v>6</v>
      </c>
      <c r="F377" s="82" t="s">
        <v>6</v>
      </c>
      <c r="G377" s="83" t="s">
        <v>6</v>
      </c>
    </row>
    <row r="378" ht="22.5" customHeight="1">
      <c r="A378" s="80"/>
      <c r="B378" s="81"/>
      <c r="C378" s="82"/>
      <c r="D378" s="82" t="s">
        <v>6</v>
      </c>
      <c r="E378" s="82" t="s">
        <v>6</v>
      </c>
      <c r="F378" s="82" t="s">
        <v>6</v>
      </c>
      <c r="G378" s="83" t="s">
        <v>6</v>
      </c>
    </row>
    <row r="379" ht="22.5" customHeight="1">
      <c r="A379" s="80"/>
      <c r="B379" s="81"/>
      <c r="C379" s="82"/>
      <c r="D379" s="82" t="s">
        <v>6</v>
      </c>
      <c r="E379" s="82" t="s">
        <v>6</v>
      </c>
      <c r="F379" s="82" t="s">
        <v>6</v>
      </c>
      <c r="G379" s="83" t="s">
        <v>6</v>
      </c>
    </row>
    <row r="380" ht="22.5" customHeight="1">
      <c r="A380" s="80"/>
      <c r="B380" s="81"/>
      <c r="C380" s="82"/>
      <c r="D380" s="82" t="s">
        <v>6</v>
      </c>
      <c r="E380" s="82" t="s">
        <v>6</v>
      </c>
      <c r="F380" s="82" t="s">
        <v>6</v>
      </c>
      <c r="G380" s="83" t="s">
        <v>6</v>
      </c>
    </row>
    <row r="381" ht="22.5" customHeight="1">
      <c r="A381" s="80"/>
      <c r="B381" s="81"/>
      <c r="C381" s="82"/>
      <c r="D381" s="82" t="s">
        <v>6</v>
      </c>
      <c r="E381" s="82" t="s">
        <v>6</v>
      </c>
      <c r="F381" s="82" t="s">
        <v>6</v>
      </c>
      <c r="G381" s="83" t="s">
        <v>6</v>
      </c>
    </row>
    <row r="382" ht="22.5" customHeight="1">
      <c r="A382" s="80"/>
      <c r="B382" s="81"/>
      <c r="C382" s="82"/>
      <c r="D382" s="82" t="s">
        <v>6</v>
      </c>
      <c r="E382" s="82" t="s">
        <v>6</v>
      </c>
      <c r="F382" s="82" t="s">
        <v>6</v>
      </c>
      <c r="G382" s="83" t="s">
        <v>6</v>
      </c>
    </row>
    <row r="383" ht="22.5" customHeight="1">
      <c r="A383" s="80"/>
      <c r="B383" s="81"/>
      <c r="C383" s="82"/>
      <c r="D383" s="82" t="s">
        <v>6</v>
      </c>
      <c r="E383" s="82" t="s">
        <v>6</v>
      </c>
      <c r="F383" s="82" t="s">
        <v>6</v>
      </c>
      <c r="G383" s="83" t="s">
        <v>6</v>
      </c>
    </row>
    <row r="384" ht="22.5" customHeight="1">
      <c r="A384" s="80"/>
      <c r="B384" s="81"/>
      <c r="C384" s="82"/>
      <c r="D384" s="82" t="s">
        <v>6</v>
      </c>
      <c r="E384" s="82" t="s">
        <v>6</v>
      </c>
      <c r="F384" s="82" t="s">
        <v>6</v>
      </c>
      <c r="G384" s="83" t="s">
        <v>6</v>
      </c>
    </row>
    <row r="385" ht="22.5" customHeight="1">
      <c r="A385" s="80"/>
      <c r="B385" s="81"/>
      <c r="C385" s="82"/>
      <c r="D385" s="82" t="s">
        <v>6</v>
      </c>
      <c r="E385" s="82" t="s">
        <v>6</v>
      </c>
      <c r="F385" s="82" t="s">
        <v>6</v>
      </c>
      <c r="G385" s="83" t="s">
        <v>6</v>
      </c>
    </row>
    <row r="386" ht="22.5" customHeight="1">
      <c r="A386" s="80"/>
      <c r="B386" s="81"/>
      <c r="C386" s="82"/>
      <c r="D386" s="82" t="s">
        <v>6</v>
      </c>
      <c r="E386" s="82" t="s">
        <v>6</v>
      </c>
      <c r="F386" s="82" t="s">
        <v>6</v>
      </c>
      <c r="G386" s="83" t="s">
        <v>6</v>
      </c>
    </row>
    <row r="387" ht="22.5" customHeight="1">
      <c r="A387" s="80"/>
      <c r="B387" s="81"/>
      <c r="C387" s="82"/>
      <c r="D387" s="82" t="s">
        <v>6</v>
      </c>
      <c r="E387" s="82" t="s">
        <v>6</v>
      </c>
      <c r="F387" s="82" t="s">
        <v>6</v>
      </c>
      <c r="G387" s="83" t="s">
        <v>6</v>
      </c>
    </row>
    <row r="388" ht="22.5" customHeight="1">
      <c r="A388" s="80"/>
      <c r="B388" s="81"/>
      <c r="C388" s="82"/>
      <c r="D388" s="82" t="s">
        <v>6</v>
      </c>
      <c r="E388" s="82" t="s">
        <v>6</v>
      </c>
      <c r="F388" s="82" t="s">
        <v>6</v>
      </c>
      <c r="G388" s="83" t="s">
        <v>6</v>
      </c>
    </row>
    <row r="389" ht="22.5" customHeight="1">
      <c r="A389" s="80"/>
      <c r="B389" s="81"/>
      <c r="C389" s="82"/>
      <c r="D389" s="82" t="s">
        <v>6</v>
      </c>
      <c r="E389" s="82" t="s">
        <v>6</v>
      </c>
      <c r="F389" s="82" t="s">
        <v>6</v>
      </c>
      <c r="G389" s="83" t="s">
        <v>6</v>
      </c>
    </row>
    <row r="390" ht="22.5" customHeight="1">
      <c r="A390" s="80"/>
      <c r="B390" s="81"/>
      <c r="C390" s="82"/>
      <c r="D390" s="82" t="s">
        <v>6</v>
      </c>
      <c r="E390" s="82" t="s">
        <v>6</v>
      </c>
      <c r="F390" s="82" t="s">
        <v>6</v>
      </c>
      <c r="G390" s="83" t="s">
        <v>6</v>
      </c>
    </row>
    <row r="391" ht="22.5" customHeight="1">
      <c r="A391" s="80"/>
      <c r="B391" s="81"/>
      <c r="C391" s="82"/>
      <c r="D391" s="82" t="s">
        <v>6</v>
      </c>
      <c r="E391" s="82" t="s">
        <v>6</v>
      </c>
      <c r="F391" s="82" t="s">
        <v>6</v>
      </c>
      <c r="G391" s="83" t="s">
        <v>6</v>
      </c>
    </row>
    <row r="392" ht="22.5" customHeight="1">
      <c r="A392" s="80"/>
      <c r="B392" s="81"/>
      <c r="C392" s="82"/>
      <c r="D392" s="82" t="s">
        <v>6</v>
      </c>
      <c r="E392" s="82" t="s">
        <v>6</v>
      </c>
      <c r="F392" s="82" t="s">
        <v>6</v>
      </c>
      <c r="G392" s="83" t="s">
        <v>6</v>
      </c>
    </row>
    <row r="393" ht="22.5" customHeight="1">
      <c r="A393" s="80"/>
      <c r="B393" s="81"/>
      <c r="C393" s="82"/>
      <c r="D393" s="82" t="s">
        <v>6</v>
      </c>
      <c r="E393" s="82" t="s">
        <v>6</v>
      </c>
      <c r="F393" s="82" t="s">
        <v>6</v>
      </c>
      <c r="G393" s="83" t="s">
        <v>6</v>
      </c>
    </row>
    <row r="394" ht="22.5" customHeight="1">
      <c r="A394" s="80"/>
      <c r="B394" s="81"/>
      <c r="C394" s="82"/>
      <c r="D394" s="82" t="s">
        <v>6</v>
      </c>
      <c r="E394" s="82" t="s">
        <v>6</v>
      </c>
      <c r="F394" s="82" t="s">
        <v>6</v>
      </c>
      <c r="G394" s="83" t="s">
        <v>6</v>
      </c>
    </row>
    <row r="395" ht="22.5" customHeight="1">
      <c r="A395" s="80"/>
      <c r="B395" s="81"/>
      <c r="C395" s="82"/>
      <c r="D395" s="82" t="s">
        <v>6</v>
      </c>
      <c r="E395" s="82" t="s">
        <v>6</v>
      </c>
      <c r="F395" s="82" t="s">
        <v>6</v>
      </c>
      <c r="G395" s="83" t="s">
        <v>6</v>
      </c>
    </row>
    <row r="396" ht="22.5" customHeight="1">
      <c r="A396" s="80"/>
      <c r="B396" s="81"/>
      <c r="C396" s="82"/>
      <c r="D396" s="82" t="s">
        <v>6</v>
      </c>
      <c r="E396" s="82" t="s">
        <v>6</v>
      </c>
      <c r="F396" s="82" t="s">
        <v>6</v>
      </c>
      <c r="G396" s="83" t="s">
        <v>6</v>
      </c>
    </row>
    <row r="397" ht="22.5" customHeight="1">
      <c r="A397" s="80"/>
      <c r="B397" s="81"/>
      <c r="C397" s="82"/>
      <c r="D397" s="82" t="s">
        <v>6</v>
      </c>
      <c r="E397" s="82" t="s">
        <v>6</v>
      </c>
      <c r="F397" s="82" t="s">
        <v>6</v>
      </c>
      <c r="G397" s="83" t="s">
        <v>6</v>
      </c>
    </row>
    <row r="398" ht="22.5" customHeight="1">
      <c r="A398" s="80"/>
      <c r="B398" s="81"/>
      <c r="C398" s="82"/>
      <c r="D398" s="82" t="s">
        <v>6</v>
      </c>
      <c r="E398" s="82" t="s">
        <v>6</v>
      </c>
      <c r="F398" s="82" t="s">
        <v>6</v>
      </c>
      <c r="G398" s="83" t="s">
        <v>6</v>
      </c>
    </row>
    <row r="399" ht="22.5" customHeight="1">
      <c r="A399" s="80"/>
      <c r="B399" s="81"/>
      <c r="C399" s="82"/>
      <c r="D399" s="82" t="s">
        <v>6</v>
      </c>
      <c r="E399" s="82" t="s">
        <v>6</v>
      </c>
      <c r="F399" s="82" t="s">
        <v>6</v>
      </c>
      <c r="G399" s="83" t="s">
        <v>6</v>
      </c>
    </row>
    <row r="400" ht="22.5" customHeight="1">
      <c r="A400" s="80"/>
      <c r="B400" s="81"/>
      <c r="C400" s="82"/>
      <c r="D400" s="82" t="s">
        <v>6</v>
      </c>
      <c r="E400" s="82" t="s">
        <v>6</v>
      </c>
      <c r="F400" s="82" t="s">
        <v>6</v>
      </c>
      <c r="G400" s="83" t="s">
        <v>6</v>
      </c>
    </row>
    <row r="401" ht="22.5" customHeight="1">
      <c r="A401" s="80"/>
      <c r="B401" s="81"/>
      <c r="C401" s="82"/>
      <c r="D401" s="82" t="s">
        <v>6</v>
      </c>
      <c r="E401" s="82" t="s">
        <v>6</v>
      </c>
      <c r="F401" s="82" t="s">
        <v>6</v>
      </c>
      <c r="G401" s="83" t="s">
        <v>6</v>
      </c>
    </row>
    <row r="402" ht="22.5" customHeight="1">
      <c r="A402" s="80"/>
      <c r="B402" s="81"/>
      <c r="C402" s="82"/>
      <c r="D402" s="82" t="s">
        <v>6</v>
      </c>
      <c r="E402" s="82" t="s">
        <v>6</v>
      </c>
      <c r="F402" s="82" t="s">
        <v>6</v>
      </c>
      <c r="G402" s="83" t="s">
        <v>6</v>
      </c>
    </row>
    <row r="403" ht="22.5" customHeight="1">
      <c r="A403" s="80"/>
      <c r="B403" s="81"/>
      <c r="C403" s="82"/>
      <c r="D403" s="82" t="s">
        <v>6</v>
      </c>
      <c r="E403" s="82" t="s">
        <v>6</v>
      </c>
      <c r="F403" s="82" t="s">
        <v>6</v>
      </c>
      <c r="G403" s="83" t="s">
        <v>6</v>
      </c>
    </row>
    <row r="404" ht="22.5" customHeight="1">
      <c r="A404" s="80"/>
      <c r="B404" s="81"/>
      <c r="C404" s="82"/>
      <c r="D404" s="82" t="s">
        <v>6</v>
      </c>
      <c r="E404" s="82" t="s">
        <v>6</v>
      </c>
      <c r="F404" s="82" t="s">
        <v>6</v>
      </c>
      <c r="G404" s="83" t="s">
        <v>6</v>
      </c>
    </row>
    <row r="405" ht="22.5" customHeight="1">
      <c r="A405" s="80"/>
      <c r="B405" s="81"/>
      <c r="C405" s="82"/>
      <c r="D405" s="82" t="s">
        <v>6</v>
      </c>
      <c r="E405" s="82" t="s">
        <v>6</v>
      </c>
      <c r="F405" s="82" t="s">
        <v>6</v>
      </c>
      <c r="G405" s="83" t="s">
        <v>6</v>
      </c>
    </row>
    <row r="406" ht="22.5" customHeight="1">
      <c r="A406" s="80"/>
      <c r="B406" s="81"/>
      <c r="C406" s="82"/>
      <c r="D406" s="82" t="s">
        <v>6</v>
      </c>
      <c r="E406" s="82" t="s">
        <v>6</v>
      </c>
      <c r="F406" s="82" t="s">
        <v>6</v>
      </c>
      <c r="G406" s="83" t="s">
        <v>6</v>
      </c>
    </row>
    <row r="407" ht="22.5" customHeight="1">
      <c r="A407" s="80"/>
      <c r="B407" s="81"/>
      <c r="C407" s="82"/>
      <c r="D407" s="82" t="s">
        <v>6</v>
      </c>
      <c r="E407" s="82" t="s">
        <v>6</v>
      </c>
      <c r="F407" s="82" t="s">
        <v>6</v>
      </c>
      <c r="G407" s="83" t="s">
        <v>6</v>
      </c>
    </row>
    <row r="408" ht="22.5" customHeight="1">
      <c r="A408" s="80"/>
      <c r="B408" s="81"/>
      <c r="C408" s="82"/>
      <c r="D408" s="82" t="s">
        <v>6</v>
      </c>
      <c r="E408" s="82" t="s">
        <v>6</v>
      </c>
      <c r="F408" s="82" t="s">
        <v>6</v>
      </c>
      <c r="G408" s="83" t="s">
        <v>6</v>
      </c>
    </row>
    <row r="409" ht="22.5" customHeight="1">
      <c r="A409" s="80"/>
      <c r="B409" s="81"/>
      <c r="C409" s="82"/>
      <c r="D409" s="82" t="s">
        <v>6</v>
      </c>
      <c r="E409" s="82" t="s">
        <v>6</v>
      </c>
      <c r="F409" s="82" t="s">
        <v>6</v>
      </c>
      <c r="G409" s="83" t="s">
        <v>6</v>
      </c>
    </row>
    <row r="410" ht="22.5" customHeight="1">
      <c r="A410" s="80"/>
      <c r="B410" s="81"/>
      <c r="C410" s="82"/>
      <c r="D410" s="82" t="s">
        <v>6</v>
      </c>
      <c r="E410" s="82" t="s">
        <v>6</v>
      </c>
      <c r="F410" s="82" t="s">
        <v>6</v>
      </c>
      <c r="G410" s="83" t="s">
        <v>6</v>
      </c>
    </row>
    <row r="411" ht="22.5" customHeight="1">
      <c r="A411" s="80"/>
      <c r="B411" s="81"/>
      <c r="C411" s="82"/>
      <c r="D411" s="82" t="s">
        <v>6</v>
      </c>
      <c r="E411" s="82" t="s">
        <v>6</v>
      </c>
      <c r="F411" s="82" t="s">
        <v>6</v>
      </c>
      <c r="G411" s="83" t="s">
        <v>6</v>
      </c>
    </row>
    <row r="412" ht="22.5" customHeight="1">
      <c r="A412" s="80"/>
      <c r="B412" s="81"/>
      <c r="C412" s="82"/>
      <c r="D412" s="82" t="s">
        <v>6</v>
      </c>
      <c r="E412" s="82" t="s">
        <v>6</v>
      </c>
      <c r="F412" s="82" t="s">
        <v>6</v>
      </c>
      <c r="G412" s="83" t="s">
        <v>6</v>
      </c>
    </row>
    <row r="413" ht="22.5" customHeight="1">
      <c r="A413" s="80"/>
      <c r="B413" s="81"/>
      <c r="C413" s="82"/>
      <c r="D413" s="82" t="s">
        <v>6</v>
      </c>
      <c r="E413" s="82" t="s">
        <v>6</v>
      </c>
      <c r="F413" s="82" t="s">
        <v>6</v>
      </c>
      <c r="G413" s="83" t="s">
        <v>6</v>
      </c>
    </row>
    <row r="414" ht="22.5" customHeight="1">
      <c r="A414" s="80"/>
      <c r="B414" s="81"/>
      <c r="C414" s="82"/>
      <c r="D414" s="82" t="s">
        <v>6</v>
      </c>
      <c r="E414" s="82" t="s">
        <v>6</v>
      </c>
      <c r="F414" s="82" t="s">
        <v>6</v>
      </c>
      <c r="G414" s="83" t="s">
        <v>6</v>
      </c>
    </row>
    <row r="415" ht="22.5" customHeight="1">
      <c r="A415" s="80"/>
      <c r="B415" s="81"/>
      <c r="C415" s="82"/>
      <c r="D415" s="82" t="s">
        <v>6</v>
      </c>
      <c r="E415" s="82" t="s">
        <v>6</v>
      </c>
      <c r="F415" s="82" t="s">
        <v>6</v>
      </c>
      <c r="G415" s="83" t="s">
        <v>6</v>
      </c>
    </row>
    <row r="416" ht="22.5" customHeight="1">
      <c r="A416" s="80"/>
      <c r="B416" s="81"/>
      <c r="C416" s="82"/>
      <c r="D416" s="82" t="s">
        <v>6</v>
      </c>
      <c r="E416" s="82" t="s">
        <v>6</v>
      </c>
      <c r="F416" s="82" t="s">
        <v>6</v>
      </c>
      <c r="G416" s="83" t="s">
        <v>6</v>
      </c>
    </row>
    <row r="417" ht="22.5" customHeight="1">
      <c r="A417" s="80"/>
      <c r="B417" s="81"/>
      <c r="C417" s="82"/>
      <c r="D417" s="82" t="s">
        <v>6</v>
      </c>
      <c r="E417" s="82" t="s">
        <v>6</v>
      </c>
      <c r="F417" s="82" t="s">
        <v>6</v>
      </c>
      <c r="G417" s="83" t="s">
        <v>6</v>
      </c>
    </row>
    <row r="418" ht="22.5" customHeight="1">
      <c r="A418" s="80"/>
      <c r="B418" s="81"/>
      <c r="C418" s="82"/>
      <c r="D418" s="82" t="s">
        <v>6</v>
      </c>
      <c r="E418" s="82" t="s">
        <v>6</v>
      </c>
      <c r="F418" s="82" t="s">
        <v>6</v>
      </c>
      <c r="G418" s="83" t="s">
        <v>6</v>
      </c>
    </row>
    <row r="419" ht="22.5" customHeight="1">
      <c r="A419" s="80"/>
      <c r="B419" s="81"/>
      <c r="C419" s="82"/>
      <c r="D419" s="82" t="s">
        <v>6</v>
      </c>
      <c r="E419" s="82" t="s">
        <v>6</v>
      </c>
      <c r="F419" s="82" t="s">
        <v>6</v>
      </c>
      <c r="G419" s="83" t="s">
        <v>6</v>
      </c>
    </row>
    <row r="420" ht="22.5" customHeight="1">
      <c r="A420" s="80"/>
      <c r="B420" s="81"/>
      <c r="C420" s="82"/>
      <c r="D420" s="82" t="s">
        <v>6</v>
      </c>
      <c r="E420" s="82" t="s">
        <v>6</v>
      </c>
      <c r="F420" s="82" t="s">
        <v>6</v>
      </c>
      <c r="G420" s="83" t="s">
        <v>6</v>
      </c>
    </row>
    <row r="421" ht="22.5" customHeight="1">
      <c r="A421" s="80"/>
      <c r="B421" s="81"/>
      <c r="C421" s="82"/>
      <c r="D421" s="82" t="s">
        <v>6</v>
      </c>
      <c r="E421" s="82" t="s">
        <v>6</v>
      </c>
      <c r="F421" s="82" t="s">
        <v>6</v>
      </c>
      <c r="G421" s="83" t="s">
        <v>6</v>
      </c>
    </row>
    <row r="422" ht="22.5" customHeight="1">
      <c r="A422" s="80"/>
      <c r="B422" s="81"/>
      <c r="C422" s="82"/>
      <c r="D422" s="82" t="s">
        <v>6</v>
      </c>
      <c r="E422" s="82" t="s">
        <v>6</v>
      </c>
      <c r="F422" s="82" t="s">
        <v>6</v>
      </c>
      <c r="G422" s="83" t="s">
        <v>6</v>
      </c>
    </row>
    <row r="423" ht="22.5" customHeight="1">
      <c r="A423" s="80"/>
      <c r="B423" s="81"/>
      <c r="C423" s="82"/>
      <c r="D423" s="82" t="s">
        <v>6</v>
      </c>
      <c r="E423" s="82" t="s">
        <v>6</v>
      </c>
      <c r="F423" s="82" t="s">
        <v>6</v>
      </c>
      <c r="G423" s="83" t="s">
        <v>6</v>
      </c>
    </row>
    <row r="424" ht="22.5" customHeight="1">
      <c r="A424" s="80"/>
      <c r="B424" s="81"/>
      <c r="C424" s="82"/>
      <c r="D424" s="82" t="s">
        <v>6</v>
      </c>
      <c r="E424" s="82" t="s">
        <v>6</v>
      </c>
      <c r="F424" s="82" t="s">
        <v>6</v>
      </c>
      <c r="G424" s="83" t="s">
        <v>6</v>
      </c>
    </row>
    <row r="425" ht="22.5" customHeight="1">
      <c r="A425" s="80"/>
      <c r="B425" s="81"/>
      <c r="C425" s="82"/>
      <c r="D425" s="82" t="s">
        <v>6</v>
      </c>
      <c r="E425" s="82" t="s">
        <v>6</v>
      </c>
      <c r="F425" s="82" t="s">
        <v>6</v>
      </c>
      <c r="G425" s="83" t="s">
        <v>6</v>
      </c>
    </row>
    <row r="426" ht="22.5" customHeight="1">
      <c r="A426" s="80"/>
      <c r="B426" s="81"/>
      <c r="C426" s="82"/>
      <c r="D426" s="82" t="s">
        <v>6</v>
      </c>
      <c r="E426" s="82" t="s">
        <v>6</v>
      </c>
      <c r="F426" s="82" t="s">
        <v>6</v>
      </c>
      <c r="G426" s="83" t="s">
        <v>6</v>
      </c>
    </row>
    <row r="427" ht="22.5" customHeight="1">
      <c r="A427" s="80"/>
      <c r="B427" s="81"/>
      <c r="C427" s="82"/>
      <c r="D427" s="82" t="s">
        <v>6</v>
      </c>
      <c r="E427" s="82" t="s">
        <v>6</v>
      </c>
      <c r="F427" s="82" t="s">
        <v>6</v>
      </c>
      <c r="G427" s="83" t="s">
        <v>6</v>
      </c>
    </row>
    <row r="428" ht="22.5" customHeight="1">
      <c r="A428" s="80"/>
      <c r="B428" s="81"/>
      <c r="C428" s="82"/>
      <c r="D428" s="82" t="s">
        <v>6</v>
      </c>
      <c r="E428" s="82" t="s">
        <v>6</v>
      </c>
      <c r="F428" s="82" t="s">
        <v>6</v>
      </c>
      <c r="G428" s="83" t="s">
        <v>6</v>
      </c>
    </row>
    <row r="429" ht="22.5" customHeight="1">
      <c r="A429" s="80"/>
      <c r="B429" s="81"/>
      <c r="C429" s="82"/>
      <c r="D429" s="82" t="s">
        <v>6</v>
      </c>
      <c r="E429" s="82" t="s">
        <v>6</v>
      </c>
      <c r="F429" s="82" t="s">
        <v>6</v>
      </c>
      <c r="G429" s="83" t="s">
        <v>6</v>
      </c>
    </row>
    <row r="430" ht="22.5" customHeight="1">
      <c r="A430" s="80"/>
      <c r="B430" s="81"/>
      <c r="C430" s="82"/>
      <c r="D430" s="82" t="s">
        <v>6</v>
      </c>
      <c r="E430" s="82" t="s">
        <v>6</v>
      </c>
      <c r="F430" s="82" t="s">
        <v>6</v>
      </c>
      <c r="G430" s="83" t="s">
        <v>6</v>
      </c>
    </row>
    <row r="431" ht="22.5" customHeight="1">
      <c r="A431" s="80"/>
      <c r="B431" s="81"/>
      <c r="C431" s="82"/>
      <c r="D431" s="82" t="s">
        <v>6</v>
      </c>
      <c r="E431" s="82" t="s">
        <v>6</v>
      </c>
      <c r="F431" s="82" t="s">
        <v>6</v>
      </c>
      <c r="G431" s="83" t="s">
        <v>6</v>
      </c>
    </row>
    <row r="432" ht="22.5" customHeight="1">
      <c r="A432" s="80"/>
      <c r="B432" s="81"/>
      <c r="C432" s="82"/>
      <c r="D432" s="82" t="s">
        <v>6</v>
      </c>
      <c r="E432" s="82" t="s">
        <v>6</v>
      </c>
      <c r="F432" s="82" t="s">
        <v>6</v>
      </c>
      <c r="G432" s="83" t="s">
        <v>6</v>
      </c>
    </row>
    <row r="433" ht="22.5" customHeight="1">
      <c r="A433" s="80"/>
      <c r="B433" s="81"/>
      <c r="C433" s="82"/>
      <c r="D433" s="82" t="s">
        <v>6</v>
      </c>
      <c r="E433" s="82" t="s">
        <v>6</v>
      </c>
      <c r="F433" s="82" t="s">
        <v>6</v>
      </c>
      <c r="G433" s="83" t="s">
        <v>6</v>
      </c>
    </row>
    <row r="434" ht="22.5" customHeight="1">
      <c r="A434" s="80"/>
      <c r="B434" s="81"/>
      <c r="C434" s="82"/>
      <c r="D434" s="82" t="s">
        <v>6</v>
      </c>
      <c r="E434" s="82" t="s">
        <v>6</v>
      </c>
      <c r="F434" s="82" t="s">
        <v>6</v>
      </c>
      <c r="G434" s="83" t="s">
        <v>6</v>
      </c>
    </row>
    <row r="435" ht="22.5" customHeight="1">
      <c r="A435" s="80"/>
      <c r="B435" s="81"/>
      <c r="C435" s="82"/>
      <c r="D435" s="82" t="s">
        <v>6</v>
      </c>
      <c r="E435" s="82" t="s">
        <v>6</v>
      </c>
      <c r="F435" s="82" t="s">
        <v>6</v>
      </c>
      <c r="G435" s="83" t="s">
        <v>6</v>
      </c>
    </row>
    <row r="436" ht="22.5" customHeight="1">
      <c r="A436" s="80"/>
      <c r="B436" s="81"/>
      <c r="C436" s="82"/>
      <c r="D436" s="82" t="s">
        <v>6</v>
      </c>
      <c r="E436" s="82" t="s">
        <v>6</v>
      </c>
      <c r="F436" s="82" t="s">
        <v>6</v>
      </c>
      <c r="G436" s="83" t="s">
        <v>6</v>
      </c>
    </row>
    <row r="437" ht="22.5" customHeight="1">
      <c r="A437" s="80"/>
      <c r="B437" s="81"/>
      <c r="C437" s="82"/>
      <c r="D437" s="82" t="s">
        <v>6</v>
      </c>
      <c r="E437" s="82" t="s">
        <v>6</v>
      </c>
      <c r="F437" s="82" t="s">
        <v>6</v>
      </c>
      <c r="G437" s="83" t="s">
        <v>6</v>
      </c>
    </row>
    <row r="438" ht="22.5" customHeight="1">
      <c r="A438" s="80"/>
      <c r="B438" s="81"/>
      <c r="C438" s="82"/>
      <c r="D438" s="82" t="s">
        <v>6</v>
      </c>
      <c r="E438" s="82" t="s">
        <v>6</v>
      </c>
      <c r="F438" s="82" t="s">
        <v>6</v>
      </c>
      <c r="G438" s="83" t="s">
        <v>6</v>
      </c>
    </row>
    <row r="439" ht="22.5" customHeight="1">
      <c r="A439" s="80"/>
      <c r="B439" s="81"/>
      <c r="C439" s="82"/>
      <c r="D439" s="82" t="s">
        <v>6</v>
      </c>
      <c r="E439" s="82" t="s">
        <v>6</v>
      </c>
      <c r="F439" s="82" t="s">
        <v>6</v>
      </c>
      <c r="G439" s="83" t="s">
        <v>6</v>
      </c>
    </row>
    <row r="440" ht="22.5" customHeight="1">
      <c r="A440" s="80"/>
      <c r="B440" s="81"/>
      <c r="C440" s="82"/>
      <c r="D440" s="82" t="s">
        <v>6</v>
      </c>
      <c r="E440" s="82" t="s">
        <v>6</v>
      </c>
      <c r="F440" s="82" t="s">
        <v>6</v>
      </c>
      <c r="G440" s="83" t="s">
        <v>6</v>
      </c>
    </row>
    <row r="441" ht="22.5" customHeight="1">
      <c r="A441" s="80"/>
      <c r="B441" s="81"/>
      <c r="C441" s="82"/>
      <c r="D441" s="82" t="s">
        <v>6</v>
      </c>
      <c r="E441" s="82" t="s">
        <v>6</v>
      </c>
      <c r="F441" s="82" t="s">
        <v>6</v>
      </c>
      <c r="G441" s="83" t="s">
        <v>6</v>
      </c>
    </row>
    <row r="442" ht="22.5" customHeight="1">
      <c r="A442" s="80"/>
      <c r="B442" s="81"/>
      <c r="C442" s="82"/>
      <c r="D442" s="82" t="s">
        <v>6</v>
      </c>
      <c r="E442" s="82" t="s">
        <v>6</v>
      </c>
      <c r="F442" s="82" t="s">
        <v>6</v>
      </c>
      <c r="G442" s="83" t="s">
        <v>6</v>
      </c>
    </row>
    <row r="443" ht="22.5" customHeight="1">
      <c r="A443" s="80"/>
      <c r="B443" s="81"/>
      <c r="C443" s="82"/>
      <c r="D443" s="82" t="s">
        <v>6</v>
      </c>
      <c r="E443" s="82" t="s">
        <v>6</v>
      </c>
      <c r="F443" s="82" t="s">
        <v>6</v>
      </c>
      <c r="G443" s="83" t="s">
        <v>6</v>
      </c>
    </row>
    <row r="444" ht="22.5" customHeight="1">
      <c r="A444" s="80"/>
      <c r="B444" s="81"/>
      <c r="C444" s="82"/>
      <c r="D444" s="82" t="s">
        <v>6</v>
      </c>
      <c r="E444" s="82" t="s">
        <v>6</v>
      </c>
      <c r="F444" s="82" t="s">
        <v>6</v>
      </c>
      <c r="G444" s="83" t="s">
        <v>6</v>
      </c>
    </row>
    <row r="445" ht="22.5" customHeight="1">
      <c r="A445" s="80"/>
      <c r="B445" s="81"/>
      <c r="C445" s="82"/>
      <c r="D445" s="82" t="s">
        <v>6</v>
      </c>
      <c r="E445" s="82" t="s">
        <v>6</v>
      </c>
      <c r="F445" s="82" t="s">
        <v>6</v>
      </c>
      <c r="G445" s="83" t="s">
        <v>6</v>
      </c>
    </row>
    <row r="446" ht="22.5" customHeight="1">
      <c r="A446" s="80"/>
      <c r="B446" s="81"/>
      <c r="C446" s="82"/>
      <c r="D446" s="82" t="s">
        <v>6</v>
      </c>
      <c r="E446" s="82" t="s">
        <v>6</v>
      </c>
      <c r="F446" s="82" t="s">
        <v>6</v>
      </c>
      <c r="G446" s="83" t="s">
        <v>6</v>
      </c>
    </row>
    <row r="447" ht="22.5" customHeight="1">
      <c r="A447" s="80"/>
      <c r="B447" s="81"/>
      <c r="C447" s="82"/>
      <c r="D447" s="82" t="s">
        <v>6</v>
      </c>
      <c r="E447" s="82" t="s">
        <v>6</v>
      </c>
      <c r="F447" s="82" t="s">
        <v>6</v>
      </c>
      <c r="G447" s="83" t="s">
        <v>6</v>
      </c>
    </row>
    <row r="448" ht="22.5" customHeight="1">
      <c r="A448" s="80"/>
      <c r="B448" s="81"/>
      <c r="C448" s="82"/>
      <c r="D448" s="82" t="s">
        <v>6</v>
      </c>
      <c r="E448" s="82" t="s">
        <v>6</v>
      </c>
      <c r="F448" s="82" t="s">
        <v>6</v>
      </c>
      <c r="G448" s="83" t="s">
        <v>6</v>
      </c>
    </row>
    <row r="449" ht="22.5" customHeight="1">
      <c r="A449" s="80"/>
      <c r="B449" s="81"/>
      <c r="C449" s="82"/>
      <c r="D449" s="82" t="s">
        <v>6</v>
      </c>
      <c r="E449" s="82" t="s">
        <v>6</v>
      </c>
      <c r="F449" s="82" t="s">
        <v>6</v>
      </c>
      <c r="G449" s="83" t="s">
        <v>6</v>
      </c>
    </row>
    <row r="450" ht="22.5" customHeight="1">
      <c r="A450" s="80"/>
      <c r="B450" s="81"/>
      <c r="C450" s="82"/>
      <c r="D450" s="82" t="s">
        <v>6</v>
      </c>
      <c r="E450" s="82" t="s">
        <v>6</v>
      </c>
      <c r="F450" s="82" t="s">
        <v>6</v>
      </c>
      <c r="G450" s="83" t="s">
        <v>6</v>
      </c>
    </row>
    <row r="451" ht="22.5" customHeight="1">
      <c r="A451" s="80"/>
      <c r="B451" s="81"/>
      <c r="C451" s="82"/>
      <c r="D451" s="82" t="s">
        <v>6</v>
      </c>
      <c r="E451" s="82" t="s">
        <v>6</v>
      </c>
      <c r="F451" s="82" t="s">
        <v>6</v>
      </c>
      <c r="G451" s="83" t="s">
        <v>6</v>
      </c>
    </row>
    <row r="452" ht="22.5" customHeight="1">
      <c r="A452" s="80"/>
      <c r="B452" s="81"/>
      <c r="C452" s="82"/>
      <c r="D452" s="82" t="s">
        <v>6</v>
      </c>
      <c r="E452" s="82" t="s">
        <v>6</v>
      </c>
      <c r="F452" s="82" t="s">
        <v>6</v>
      </c>
      <c r="G452" s="83" t="s">
        <v>6</v>
      </c>
    </row>
    <row r="453" ht="22.5" customHeight="1">
      <c r="A453" s="80"/>
      <c r="B453" s="81"/>
      <c r="C453" s="82"/>
      <c r="D453" s="82" t="s">
        <v>6</v>
      </c>
      <c r="E453" s="82" t="s">
        <v>6</v>
      </c>
      <c r="F453" s="82" t="s">
        <v>6</v>
      </c>
      <c r="G453" s="83" t="s">
        <v>6</v>
      </c>
    </row>
    <row r="454" ht="22.5" customHeight="1">
      <c r="A454" s="80"/>
      <c r="B454" s="81"/>
      <c r="C454" s="82"/>
      <c r="D454" s="82" t="s">
        <v>6</v>
      </c>
      <c r="E454" s="82" t="s">
        <v>6</v>
      </c>
      <c r="F454" s="82" t="s">
        <v>6</v>
      </c>
      <c r="G454" s="83" t="s">
        <v>6</v>
      </c>
    </row>
    <row r="455" ht="22.5" customHeight="1">
      <c r="A455" s="80"/>
      <c r="B455" s="81"/>
      <c r="C455" s="82"/>
      <c r="D455" s="82" t="s">
        <v>6</v>
      </c>
      <c r="E455" s="82" t="s">
        <v>6</v>
      </c>
      <c r="F455" s="82" t="s">
        <v>6</v>
      </c>
      <c r="G455" s="83" t="s">
        <v>6</v>
      </c>
    </row>
    <row r="456" ht="22.5" customHeight="1">
      <c r="A456" s="80"/>
      <c r="B456" s="81"/>
      <c r="C456" s="82"/>
      <c r="D456" s="82" t="s">
        <v>6</v>
      </c>
      <c r="E456" s="82" t="s">
        <v>6</v>
      </c>
      <c r="F456" s="82" t="s">
        <v>6</v>
      </c>
      <c r="G456" s="83" t="s">
        <v>6</v>
      </c>
    </row>
    <row r="457" ht="22.5" customHeight="1">
      <c r="A457" s="80"/>
      <c r="B457" s="81"/>
      <c r="C457" s="82"/>
      <c r="D457" s="82" t="s">
        <v>6</v>
      </c>
      <c r="E457" s="82" t="s">
        <v>6</v>
      </c>
      <c r="F457" s="82" t="s">
        <v>6</v>
      </c>
      <c r="G457" s="83" t="s">
        <v>6</v>
      </c>
    </row>
    <row r="458" ht="22.5" customHeight="1">
      <c r="A458" s="80"/>
      <c r="B458" s="81"/>
      <c r="C458" s="82"/>
      <c r="D458" s="82" t="s">
        <v>6</v>
      </c>
      <c r="E458" s="82" t="s">
        <v>6</v>
      </c>
      <c r="F458" s="82" t="s">
        <v>6</v>
      </c>
      <c r="G458" s="83" t="s">
        <v>6</v>
      </c>
    </row>
    <row r="459" ht="22.5" customHeight="1">
      <c r="A459" s="80"/>
      <c r="B459" s="81"/>
      <c r="C459" s="82"/>
      <c r="D459" s="82" t="s">
        <v>6</v>
      </c>
      <c r="E459" s="82" t="s">
        <v>6</v>
      </c>
      <c r="F459" s="82" t="s">
        <v>6</v>
      </c>
      <c r="G459" s="83" t="s">
        <v>6</v>
      </c>
    </row>
    <row r="460" ht="22.5" customHeight="1">
      <c r="A460" s="80"/>
      <c r="B460" s="81"/>
      <c r="C460" s="82"/>
      <c r="D460" s="82" t="s">
        <v>6</v>
      </c>
      <c r="E460" s="82" t="s">
        <v>6</v>
      </c>
      <c r="F460" s="82" t="s">
        <v>6</v>
      </c>
      <c r="G460" s="83" t="s">
        <v>6</v>
      </c>
    </row>
    <row r="461" ht="22.5" customHeight="1">
      <c r="A461" s="80"/>
      <c r="B461" s="81"/>
      <c r="C461" s="82"/>
      <c r="D461" s="82" t="s">
        <v>6</v>
      </c>
      <c r="E461" s="82" t="s">
        <v>6</v>
      </c>
      <c r="F461" s="82" t="s">
        <v>6</v>
      </c>
      <c r="G461" s="83" t="s">
        <v>6</v>
      </c>
    </row>
    <row r="462" ht="22.5" customHeight="1">
      <c r="A462" s="80"/>
      <c r="B462" s="81"/>
      <c r="C462" s="82"/>
      <c r="D462" s="82" t="s">
        <v>6</v>
      </c>
      <c r="E462" s="82" t="s">
        <v>6</v>
      </c>
      <c r="F462" s="82" t="s">
        <v>6</v>
      </c>
      <c r="G462" s="83" t="s">
        <v>6</v>
      </c>
    </row>
    <row r="463" ht="22.5" customHeight="1">
      <c r="A463" s="80"/>
      <c r="B463" s="81"/>
      <c r="C463" s="82"/>
      <c r="D463" s="82" t="s">
        <v>6</v>
      </c>
      <c r="E463" s="82" t="s">
        <v>6</v>
      </c>
      <c r="F463" s="82" t="s">
        <v>6</v>
      </c>
      <c r="G463" s="83" t="s">
        <v>6</v>
      </c>
    </row>
    <row r="464" ht="22.5" customHeight="1">
      <c r="A464" s="80"/>
      <c r="B464" s="81"/>
      <c r="C464" s="82"/>
      <c r="D464" s="82" t="s">
        <v>6</v>
      </c>
      <c r="E464" s="82" t="s">
        <v>6</v>
      </c>
      <c r="F464" s="82" t="s">
        <v>6</v>
      </c>
      <c r="G464" s="83" t="s">
        <v>6</v>
      </c>
    </row>
    <row r="465" ht="22.5" customHeight="1">
      <c r="A465" s="80"/>
      <c r="B465" s="81"/>
      <c r="C465" s="82"/>
      <c r="D465" s="82" t="s">
        <v>6</v>
      </c>
      <c r="E465" s="82" t="s">
        <v>6</v>
      </c>
      <c r="F465" s="82" t="s">
        <v>6</v>
      </c>
      <c r="G465" s="83" t="s">
        <v>6</v>
      </c>
    </row>
    <row r="466" ht="22.5" customHeight="1">
      <c r="A466" s="80"/>
      <c r="B466" s="81"/>
      <c r="C466" s="82"/>
      <c r="D466" s="82" t="s">
        <v>6</v>
      </c>
      <c r="E466" s="82" t="s">
        <v>6</v>
      </c>
      <c r="F466" s="82" t="s">
        <v>6</v>
      </c>
      <c r="G466" s="83" t="s">
        <v>6</v>
      </c>
    </row>
    <row r="467" ht="22.5" customHeight="1">
      <c r="A467" s="80"/>
      <c r="B467" s="81"/>
      <c r="C467" s="82"/>
      <c r="D467" s="82" t="s">
        <v>6</v>
      </c>
      <c r="E467" s="82" t="s">
        <v>6</v>
      </c>
      <c r="F467" s="82" t="s">
        <v>6</v>
      </c>
      <c r="G467" s="83" t="s">
        <v>6</v>
      </c>
    </row>
    <row r="468" ht="22.5" customHeight="1">
      <c r="A468" s="80"/>
      <c r="B468" s="81"/>
      <c r="C468" s="82"/>
      <c r="D468" s="82" t="s">
        <v>6</v>
      </c>
      <c r="E468" s="82" t="s">
        <v>6</v>
      </c>
      <c r="F468" s="82" t="s">
        <v>6</v>
      </c>
      <c r="G468" s="83" t="s">
        <v>6</v>
      </c>
    </row>
    <row r="469" ht="22.5" customHeight="1">
      <c r="A469" s="80"/>
      <c r="B469" s="81"/>
      <c r="C469" s="82"/>
      <c r="D469" s="82" t="s">
        <v>6</v>
      </c>
      <c r="E469" s="82" t="s">
        <v>6</v>
      </c>
      <c r="F469" s="82" t="s">
        <v>6</v>
      </c>
      <c r="G469" s="83" t="s">
        <v>6</v>
      </c>
    </row>
    <row r="470" ht="22.5" customHeight="1">
      <c r="A470" s="80"/>
      <c r="B470" s="81"/>
      <c r="C470" s="82"/>
      <c r="D470" s="82" t="s">
        <v>6</v>
      </c>
      <c r="E470" s="82" t="s">
        <v>6</v>
      </c>
      <c r="F470" s="82" t="s">
        <v>6</v>
      </c>
      <c r="G470" s="83" t="s">
        <v>6</v>
      </c>
    </row>
    <row r="471" ht="22.5" customHeight="1">
      <c r="A471" s="80"/>
      <c r="B471" s="81"/>
      <c r="C471" s="82"/>
      <c r="D471" s="82" t="s">
        <v>6</v>
      </c>
      <c r="E471" s="82" t="s">
        <v>6</v>
      </c>
      <c r="F471" s="82" t="s">
        <v>6</v>
      </c>
      <c r="G471" s="83" t="s">
        <v>6</v>
      </c>
    </row>
    <row r="472" ht="22.5" customHeight="1">
      <c r="A472" s="80"/>
      <c r="B472" s="81"/>
      <c r="C472" s="82"/>
      <c r="D472" s="82" t="s">
        <v>6</v>
      </c>
      <c r="E472" s="82" t="s">
        <v>6</v>
      </c>
      <c r="F472" s="82" t="s">
        <v>6</v>
      </c>
      <c r="G472" s="83" t="s">
        <v>6</v>
      </c>
    </row>
    <row r="473" ht="22.5" customHeight="1">
      <c r="A473" s="80"/>
      <c r="B473" s="81"/>
      <c r="C473" s="82"/>
      <c r="D473" s="82" t="s">
        <v>6</v>
      </c>
      <c r="E473" s="82" t="s">
        <v>6</v>
      </c>
      <c r="F473" s="82" t="s">
        <v>6</v>
      </c>
      <c r="G473" s="83" t="s">
        <v>6</v>
      </c>
    </row>
    <row r="474" ht="22.5" customHeight="1">
      <c r="A474" s="80"/>
      <c r="B474" s="81"/>
      <c r="C474" s="82"/>
      <c r="D474" s="82" t="s">
        <v>6</v>
      </c>
      <c r="E474" s="82" t="s">
        <v>6</v>
      </c>
      <c r="F474" s="82" t="s">
        <v>6</v>
      </c>
      <c r="G474" s="83" t="s">
        <v>6</v>
      </c>
    </row>
    <row r="475" ht="22.5" customHeight="1">
      <c r="A475" s="80"/>
      <c r="B475" s="81"/>
      <c r="C475" s="82"/>
      <c r="D475" s="82" t="s">
        <v>6</v>
      </c>
      <c r="E475" s="82" t="s">
        <v>6</v>
      </c>
      <c r="F475" s="82" t="s">
        <v>6</v>
      </c>
      <c r="G475" s="83" t="s">
        <v>6</v>
      </c>
    </row>
    <row r="476" ht="22.5" customHeight="1">
      <c r="A476" s="80"/>
      <c r="B476" s="81"/>
      <c r="C476" s="82"/>
      <c r="D476" s="82" t="s">
        <v>6</v>
      </c>
      <c r="E476" s="82" t="s">
        <v>6</v>
      </c>
      <c r="F476" s="82" t="s">
        <v>6</v>
      </c>
      <c r="G476" s="83" t="s">
        <v>6</v>
      </c>
    </row>
    <row r="477" ht="22.5" customHeight="1">
      <c r="A477" s="80"/>
      <c r="B477" s="81"/>
      <c r="C477" s="82"/>
      <c r="D477" s="82" t="s">
        <v>6</v>
      </c>
      <c r="E477" s="82" t="s">
        <v>6</v>
      </c>
      <c r="F477" s="82" t="s">
        <v>6</v>
      </c>
      <c r="G477" s="83" t="s">
        <v>6</v>
      </c>
    </row>
    <row r="478" ht="22.5" customHeight="1">
      <c r="A478" s="80"/>
      <c r="B478" s="81"/>
      <c r="C478" s="82"/>
      <c r="D478" s="82" t="s">
        <v>6</v>
      </c>
      <c r="E478" s="82" t="s">
        <v>6</v>
      </c>
      <c r="F478" s="82" t="s">
        <v>6</v>
      </c>
      <c r="G478" s="83" t="s">
        <v>6</v>
      </c>
    </row>
    <row r="479" ht="22.5" customHeight="1">
      <c r="A479" s="80"/>
      <c r="B479" s="81"/>
      <c r="C479" s="82"/>
      <c r="D479" s="82" t="s">
        <v>6</v>
      </c>
      <c r="E479" s="82" t="s">
        <v>6</v>
      </c>
      <c r="F479" s="82" t="s">
        <v>6</v>
      </c>
      <c r="G479" s="83" t="s">
        <v>6</v>
      </c>
    </row>
    <row r="480" ht="22.5" customHeight="1">
      <c r="A480" s="80"/>
      <c r="B480" s="81"/>
      <c r="C480" s="82"/>
      <c r="D480" s="82" t="s">
        <v>6</v>
      </c>
      <c r="E480" s="82" t="s">
        <v>6</v>
      </c>
      <c r="F480" s="82" t="s">
        <v>6</v>
      </c>
      <c r="G480" s="83" t="s">
        <v>6</v>
      </c>
    </row>
    <row r="481" ht="22.5" customHeight="1">
      <c r="A481" s="80"/>
      <c r="B481" s="81"/>
      <c r="C481" s="82"/>
      <c r="D481" s="82" t="s">
        <v>6</v>
      </c>
      <c r="E481" s="82" t="s">
        <v>6</v>
      </c>
      <c r="F481" s="82" t="s">
        <v>6</v>
      </c>
      <c r="G481" s="83" t="s">
        <v>6</v>
      </c>
    </row>
    <row r="482" ht="22.5" customHeight="1">
      <c r="A482" s="80"/>
      <c r="B482" s="81"/>
      <c r="C482" s="82"/>
      <c r="D482" s="82" t="s">
        <v>6</v>
      </c>
      <c r="E482" s="82" t="s">
        <v>6</v>
      </c>
      <c r="F482" s="82" t="s">
        <v>6</v>
      </c>
      <c r="G482" s="83" t="s">
        <v>6</v>
      </c>
    </row>
    <row r="483" ht="22.5" customHeight="1">
      <c r="A483" s="80"/>
      <c r="B483" s="81"/>
      <c r="C483" s="82"/>
      <c r="D483" s="82" t="s">
        <v>6</v>
      </c>
      <c r="E483" s="82" t="s">
        <v>6</v>
      </c>
      <c r="F483" s="82" t="s">
        <v>6</v>
      </c>
      <c r="G483" s="83" t="s">
        <v>6</v>
      </c>
    </row>
    <row r="484" ht="22.5" customHeight="1">
      <c r="A484" s="80"/>
      <c r="B484" s="81"/>
      <c r="C484" s="82"/>
      <c r="D484" s="82" t="s">
        <v>6</v>
      </c>
      <c r="E484" s="82" t="s">
        <v>6</v>
      </c>
      <c r="F484" s="82" t="s">
        <v>6</v>
      </c>
      <c r="G484" s="83" t="s">
        <v>6</v>
      </c>
    </row>
    <row r="485" ht="22.5" customHeight="1">
      <c r="A485" s="80"/>
      <c r="B485" s="81"/>
      <c r="C485" s="82"/>
      <c r="D485" s="82" t="s">
        <v>6</v>
      </c>
      <c r="E485" s="82" t="s">
        <v>6</v>
      </c>
      <c r="F485" s="82" t="s">
        <v>6</v>
      </c>
      <c r="G485" s="83" t="s">
        <v>6</v>
      </c>
    </row>
    <row r="486" ht="22.5" customHeight="1">
      <c r="A486" s="80"/>
      <c r="B486" s="81"/>
      <c r="C486" s="82"/>
      <c r="D486" s="82" t="s">
        <v>6</v>
      </c>
      <c r="E486" s="82" t="s">
        <v>6</v>
      </c>
      <c r="F486" s="82" t="s">
        <v>6</v>
      </c>
      <c r="G486" s="83" t="s">
        <v>6</v>
      </c>
    </row>
    <row r="487" ht="22.5" customHeight="1">
      <c r="A487" s="80"/>
      <c r="B487" s="81"/>
      <c r="C487" s="82"/>
      <c r="D487" s="82" t="s">
        <v>6</v>
      </c>
      <c r="E487" s="82" t="s">
        <v>6</v>
      </c>
      <c r="F487" s="82" t="s">
        <v>6</v>
      </c>
      <c r="G487" s="83" t="s">
        <v>6</v>
      </c>
    </row>
    <row r="488" ht="22.5" customHeight="1">
      <c r="A488" s="80"/>
      <c r="B488" s="81"/>
      <c r="C488" s="82"/>
      <c r="D488" s="82" t="s">
        <v>6</v>
      </c>
      <c r="E488" s="82" t="s">
        <v>6</v>
      </c>
      <c r="F488" s="82" t="s">
        <v>6</v>
      </c>
      <c r="G488" s="83" t="s">
        <v>6</v>
      </c>
    </row>
    <row r="489" ht="22.5" customHeight="1">
      <c r="A489" s="80"/>
      <c r="B489" s="81"/>
      <c r="C489" s="82"/>
      <c r="D489" s="82" t="s">
        <v>6</v>
      </c>
      <c r="E489" s="82" t="s">
        <v>6</v>
      </c>
      <c r="F489" s="82" t="s">
        <v>6</v>
      </c>
      <c r="G489" s="83" t="s">
        <v>6</v>
      </c>
    </row>
    <row r="490" ht="22.5" customHeight="1">
      <c r="A490" s="80"/>
      <c r="B490" s="81"/>
      <c r="C490" s="82"/>
      <c r="D490" s="82" t="s">
        <v>6</v>
      </c>
      <c r="E490" s="82" t="s">
        <v>6</v>
      </c>
      <c r="F490" s="82" t="s">
        <v>6</v>
      </c>
      <c r="G490" s="83" t="s">
        <v>6</v>
      </c>
    </row>
    <row r="491" ht="22.5" customHeight="1">
      <c r="A491" s="80"/>
      <c r="B491" s="81"/>
      <c r="C491" s="82"/>
      <c r="D491" s="82" t="s">
        <v>6</v>
      </c>
      <c r="E491" s="82" t="s">
        <v>6</v>
      </c>
      <c r="F491" s="82" t="s">
        <v>6</v>
      </c>
      <c r="G491" s="83" t="s">
        <v>6</v>
      </c>
    </row>
    <row r="492" ht="22.5" customHeight="1">
      <c r="A492" s="80"/>
      <c r="B492" s="81"/>
      <c r="C492" s="82"/>
      <c r="D492" s="82" t="s">
        <v>6</v>
      </c>
      <c r="E492" s="82" t="s">
        <v>6</v>
      </c>
      <c r="F492" s="82" t="s">
        <v>6</v>
      </c>
      <c r="G492" s="83" t="s">
        <v>6</v>
      </c>
    </row>
    <row r="493" ht="22.5" customHeight="1">
      <c r="A493" s="80"/>
      <c r="B493" s="81"/>
      <c r="C493" s="82"/>
      <c r="D493" s="82" t="s">
        <v>6</v>
      </c>
      <c r="E493" s="82" t="s">
        <v>6</v>
      </c>
      <c r="F493" s="82" t="s">
        <v>6</v>
      </c>
      <c r="G493" s="83" t="s">
        <v>6</v>
      </c>
    </row>
    <row r="494" ht="22.5" customHeight="1">
      <c r="A494" s="80"/>
      <c r="B494" s="81"/>
      <c r="C494" s="82"/>
      <c r="D494" s="82" t="s">
        <v>6</v>
      </c>
      <c r="E494" s="82" t="s">
        <v>6</v>
      </c>
      <c r="F494" s="82" t="s">
        <v>6</v>
      </c>
      <c r="G494" s="83" t="s">
        <v>6</v>
      </c>
    </row>
    <row r="495" ht="22.5" customHeight="1">
      <c r="A495" s="80"/>
      <c r="B495" s="81"/>
      <c r="C495" s="82"/>
      <c r="D495" s="82" t="s">
        <v>6</v>
      </c>
      <c r="E495" s="82" t="s">
        <v>6</v>
      </c>
      <c r="F495" s="82" t="s">
        <v>6</v>
      </c>
      <c r="G495" s="83" t="s">
        <v>6</v>
      </c>
    </row>
    <row r="496" ht="22.5" customHeight="1">
      <c r="A496" s="80"/>
      <c r="B496" s="81"/>
      <c r="C496" s="82"/>
      <c r="D496" s="82" t="s">
        <v>6</v>
      </c>
      <c r="E496" s="82" t="s">
        <v>6</v>
      </c>
      <c r="F496" s="82" t="s">
        <v>6</v>
      </c>
      <c r="G496" s="83" t="s">
        <v>6</v>
      </c>
    </row>
    <row r="497" ht="22.5" customHeight="1">
      <c r="A497" s="80"/>
      <c r="B497" s="81"/>
      <c r="C497" s="82"/>
      <c r="D497" s="82" t="s">
        <v>6</v>
      </c>
      <c r="E497" s="82" t="s">
        <v>6</v>
      </c>
      <c r="F497" s="82" t="s">
        <v>6</v>
      </c>
      <c r="G497" s="83" t="s">
        <v>6</v>
      </c>
    </row>
    <row r="498" ht="22.5" customHeight="1">
      <c r="A498" s="80"/>
      <c r="B498" s="81"/>
      <c r="C498" s="82"/>
      <c r="D498" s="82" t="s">
        <v>6</v>
      </c>
      <c r="E498" s="82" t="s">
        <v>6</v>
      </c>
      <c r="F498" s="82" t="s">
        <v>6</v>
      </c>
      <c r="G498" s="83" t="s">
        <v>6</v>
      </c>
    </row>
    <row r="499" ht="22.5" customHeight="1">
      <c r="A499" s="80"/>
      <c r="B499" s="81"/>
      <c r="C499" s="82"/>
      <c r="D499" s="82" t="s">
        <v>6</v>
      </c>
      <c r="E499" s="82" t="s">
        <v>6</v>
      </c>
      <c r="F499" s="82" t="s">
        <v>6</v>
      </c>
      <c r="G499" s="83" t="s">
        <v>6</v>
      </c>
    </row>
    <row r="500" ht="22.5" customHeight="1">
      <c r="A500" s="80"/>
      <c r="B500" s="81"/>
      <c r="C500" s="82"/>
      <c r="D500" s="82" t="s">
        <v>6</v>
      </c>
      <c r="E500" s="82" t="s">
        <v>6</v>
      </c>
      <c r="F500" s="82" t="s">
        <v>6</v>
      </c>
      <c r="G500" s="83" t="s">
        <v>6</v>
      </c>
    </row>
    <row r="501" ht="22.5" customHeight="1">
      <c r="A501" s="80"/>
      <c r="B501" s="81"/>
      <c r="C501" s="82"/>
      <c r="D501" s="82" t="s">
        <v>6</v>
      </c>
      <c r="E501" s="82" t="s">
        <v>6</v>
      </c>
      <c r="F501" s="82" t="s">
        <v>6</v>
      </c>
      <c r="G501" s="83" t="s">
        <v>6</v>
      </c>
    </row>
    <row r="502" ht="22.5" customHeight="1">
      <c r="A502" s="80"/>
      <c r="B502" s="81"/>
      <c r="C502" s="82"/>
      <c r="D502" s="82" t="s">
        <v>6</v>
      </c>
      <c r="E502" s="82" t="s">
        <v>6</v>
      </c>
      <c r="F502" s="82" t="s">
        <v>6</v>
      </c>
      <c r="G502" s="83" t="s">
        <v>6</v>
      </c>
    </row>
    <row r="503" ht="22.5" customHeight="1">
      <c r="A503" s="80"/>
      <c r="B503" s="81"/>
      <c r="C503" s="82"/>
      <c r="D503" s="82" t="s">
        <v>6</v>
      </c>
      <c r="E503" s="82" t="s">
        <v>6</v>
      </c>
      <c r="F503" s="82" t="s">
        <v>6</v>
      </c>
      <c r="G503" s="83" t="s">
        <v>6</v>
      </c>
    </row>
    <row r="504" ht="22.5" customHeight="1">
      <c r="A504" s="80"/>
      <c r="B504" s="81"/>
      <c r="C504" s="82"/>
      <c r="D504" s="82" t="s">
        <v>6</v>
      </c>
      <c r="E504" s="82" t="s">
        <v>6</v>
      </c>
      <c r="F504" s="82" t="s">
        <v>6</v>
      </c>
      <c r="G504" s="83" t="s">
        <v>6</v>
      </c>
    </row>
    <row r="505" ht="22.5" customHeight="1">
      <c r="A505" s="80"/>
      <c r="B505" s="81"/>
      <c r="C505" s="82"/>
      <c r="D505" s="82" t="s">
        <v>6</v>
      </c>
      <c r="E505" s="82" t="s">
        <v>6</v>
      </c>
      <c r="F505" s="82" t="s">
        <v>6</v>
      </c>
      <c r="G505" s="83" t="s">
        <v>6</v>
      </c>
    </row>
    <row r="506" ht="22.5" customHeight="1">
      <c r="A506" s="80"/>
      <c r="B506" s="81"/>
      <c r="C506" s="82"/>
      <c r="D506" s="82" t="s">
        <v>6</v>
      </c>
      <c r="E506" s="82" t="s">
        <v>6</v>
      </c>
      <c r="F506" s="82" t="s">
        <v>6</v>
      </c>
      <c r="G506" s="83" t="s">
        <v>6</v>
      </c>
    </row>
    <row r="507" ht="22.5" customHeight="1">
      <c r="A507" s="80"/>
      <c r="B507" s="81"/>
      <c r="C507" s="82"/>
      <c r="D507" s="82" t="s">
        <v>6</v>
      </c>
      <c r="E507" s="82" t="s">
        <v>6</v>
      </c>
      <c r="F507" s="82" t="s">
        <v>6</v>
      </c>
      <c r="G507" s="83" t="s">
        <v>6</v>
      </c>
    </row>
    <row r="508" ht="22.5" customHeight="1">
      <c r="A508" s="80"/>
      <c r="B508" s="81"/>
      <c r="C508" s="82"/>
      <c r="D508" s="82" t="s">
        <v>6</v>
      </c>
      <c r="E508" s="82" t="s">
        <v>6</v>
      </c>
      <c r="F508" s="82" t="s">
        <v>6</v>
      </c>
      <c r="G508" s="83" t="s">
        <v>6</v>
      </c>
    </row>
    <row r="509" ht="22.5" customHeight="1">
      <c r="A509" s="80"/>
      <c r="B509" s="81"/>
      <c r="C509" s="82"/>
      <c r="D509" s="82" t="s">
        <v>6</v>
      </c>
      <c r="E509" s="82" t="s">
        <v>6</v>
      </c>
      <c r="F509" s="82" t="s">
        <v>6</v>
      </c>
      <c r="G509" s="83" t="s">
        <v>6</v>
      </c>
    </row>
    <row r="510" ht="22.5" customHeight="1">
      <c r="A510" s="80"/>
      <c r="B510" s="81"/>
      <c r="C510" s="82"/>
      <c r="D510" s="82" t="s">
        <v>6</v>
      </c>
      <c r="E510" s="82" t="s">
        <v>6</v>
      </c>
      <c r="F510" s="82" t="s">
        <v>6</v>
      </c>
      <c r="G510" s="83" t="s">
        <v>6</v>
      </c>
    </row>
    <row r="511" ht="22.5" customHeight="1">
      <c r="A511" s="80"/>
      <c r="B511" s="81"/>
      <c r="C511" s="82"/>
      <c r="D511" s="82" t="s">
        <v>6</v>
      </c>
      <c r="E511" s="82" t="s">
        <v>6</v>
      </c>
      <c r="F511" s="82" t="s">
        <v>6</v>
      </c>
      <c r="G511" s="83" t="s">
        <v>6</v>
      </c>
    </row>
    <row r="512" ht="22.5" customHeight="1">
      <c r="A512" s="80"/>
      <c r="B512" s="81"/>
      <c r="C512" s="82"/>
      <c r="D512" s="82" t="s">
        <v>6</v>
      </c>
      <c r="E512" s="82" t="s">
        <v>6</v>
      </c>
      <c r="F512" s="82" t="s">
        <v>6</v>
      </c>
      <c r="G512" s="83" t="s">
        <v>6</v>
      </c>
    </row>
    <row r="513" ht="22.5" customHeight="1">
      <c r="A513" s="80"/>
      <c r="B513" s="81"/>
      <c r="C513" s="82"/>
      <c r="D513" s="82" t="s">
        <v>6</v>
      </c>
      <c r="E513" s="82" t="s">
        <v>6</v>
      </c>
      <c r="F513" s="82" t="s">
        <v>6</v>
      </c>
      <c r="G513" s="83" t="s">
        <v>6</v>
      </c>
    </row>
    <row r="514" ht="22.5" customHeight="1">
      <c r="A514" s="80"/>
      <c r="B514" s="81"/>
      <c r="C514" s="82"/>
      <c r="D514" s="82" t="s">
        <v>6</v>
      </c>
      <c r="E514" s="82" t="s">
        <v>6</v>
      </c>
      <c r="F514" s="82" t="s">
        <v>6</v>
      </c>
      <c r="G514" s="83" t="s">
        <v>6</v>
      </c>
    </row>
    <row r="515" ht="22.5" customHeight="1">
      <c r="A515" s="80"/>
      <c r="B515" s="81"/>
      <c r="C515" s="82"/>
      <c r="D515" s="82" t="s">
        <v>6</v>
      </c>
      <c r="E515" s="82" t="s">
        <v>6</v>
      </c>
      <c r="F515" s="82" t="s">
        <v>6</v>
      </c>
      <c r="G515" s="83" t="s">
        <v>6</v>
      </c>
    </row>
    <row r="516" ht="22.5" customHeight="1">
      <c r="A516" s="80"/>
      <c r="B516" s="81"/>
      <c r="C516" s="82"/>
      <c r="D516" s="82" t="s">
        <v>6</v>
      </c>
      <c r="E516" s="82" t="s">
        <v>6</v>
      </c>
      <c r="F516" s="82" t="s">
        <v>6</v>
      </c>
      <c r="G516" s="83" t="s">
        <v>6</v>
      </c>
    </row>
    <row r="517" ht="22.5" customHeight="1">
      <c r="A517" s="80"/>
      <c r="B517" s="81"/>
      <c r="C517" s="82"/>
      <c r="D517" s="82" t="s">
        <v>6</v>
      </c>
      <c r="E517" s="82" t="s">
        <v>6</v>
      </c>
      <c r="F517" s="82" t="s">
        <v>6</v>
      </c>
      <c r="G517" s="83" t="s">
        <v>6</v>
      </c>
    </row>
    <row r="518" ht="22.5" customHeight="1">
      <c r="A518" s="80"/>
      <c r="B518" s="81"/>
      <c r="C518" s="82"/>
      <c r="D518" s="82" t="s">
        <v>6</v>
      </c>
      <c r="E518" s="82" t="s">
        <v>6</v>
      </c>
      <c r="F518" s="82" t="s">
        <v>6</v>
      </c>
      <c r="G518" s="83" t="s">
        <v>6</v>
      </c>
    </row>
    <row r="519" ht="22.5" customHeight="1">
      <c r="A519" s="80"/>
      <c r="B519" s="81"/>
      <c r="C519" s="82"/>
      <c r="D519" s="82" t="s">
        <v>6</v>
      </c>
      <c r="E519" s="82" t="s">
        <v>6</v>
      </c>
      <c r="F519" s="82" t="s">
        <v>6</v>
      </c>
      <c r="G519" s="83" t="s">
        <v>6</v>
      </c>
    </row>
    <row r="520" ht="22.5" customHeight="1">
      <c r="A520" s="80"/>
      <c r="B520" s="81"/>
      <c r="C520" s="82"/>
      <c r="D520" s="82" t="s">
        <v>6</v>
      </c>
      <c r="E520" s="82" t="s">
        <v>6</v>
      </c>
      <c r="F520" s="82" t="s">
        <v>6</v>
      </c>
      <c r="G520" s="83" t="s">
        <v>6</v>
      </c>
    </row>
    <row r="521" ht="22.5" customHeight="1">
      <c r="A521" s="80"/>
      <c r="B521" s="81"/>
      <c r="C521" s="82"/>
      <c r="D521" s="82" t="s">
        <v>6</v>
      </c>
      <c r="E521" s="82" t="s">
        <v>6</v>
      </c>
      <c r="F521" s="82" t="s">
        <v>6</v>
      </c>
      <c r="G521" s="83" t="s">
        <v>6</v>
      </c>
    </row>
    <row r="522" ht="22.5" customHeight="1">
      <c r="A522" s="80"/>
      <c r="B522" s="81"/>
      <c r="C522" s="82"/>
      <c r="D522" s="82" t="s">
        <v>6</v>
      </c>
      <c r="E522" s="82" t="s">
        <v>6</v>
      </c>
      <c r="F522" s="82" t="s">
        <v>6</v>
      </c>
      <c r="G522" s="83" t="s">
        <v>6</v>
      </c>
    </row>
    <row r="523" ht="22.5" customHeight="1">
      <c r="A523" s="80"/>
      <c r="B523" s="81"/>
      <c r="C523" s="82"/>
      <c r="D523" s="82" t="s">
        <v>6</v>
      </c>
      <c r="E523" s="82" t="s">
        <v>6</v>
      </c>
      <c r="F523" s="82" t="s">
        <v>6</v>
      </c>
      <c r="G523" s="83" t="s">
        <v>6</v>
      </c>
    </row>
    <row r="524" ht="22.5" customHeight="1">
      <c r="A524" s="80"/>
      <c r="B524" s="81"/>
      <c r="C524" s="82"/>
      <c r="D524" s="82" t="s">
        <v>6</v>
      </c>
      <c r="E524" s="82" t="s">
        <v>6</v>
      </c>
      <c r="F524" s="82" t="s">
        <v>6</v>
      </c>
      <c r="G524" s="83" t="s">
        <v>6</v>
      </c>
    </row>
    <row r="525" ht="22.5" customHeight="1">
      <c r="A525" s="80"/>
      <c r="B525" s="81"/>
      <c r="C525" s="82"/>
      <c r="D525" s="82" t="s">
        <v>6</v>
      </c>
      <c r="E525" s="82" t="s">
        <v>6</v>
      </c>
      <c r="F525" s="82" t="s">
        <v>6</v>
      </c>
      <c r="G525" s="83" t="s">
        <v>6</v>
      </c>
    </row>
    <row r="526" ht="22.5" customHeight="1">
      <c r="A526" s="80"/>
      <c r="B526" s="81"/>
      <c r="C526" s="82"/>
      <c r="D526" s="82" t="s">
        <v>6</v>
      </c>
      <c r="E526" s="82" t="s">
        <v>6</v>
      </c>
      <c r="F526" s="82" t="s">
        <v>6</v>
      </c>
      <c r="G526" s="83" t="s">
        <v>6</v>
      </c>
    </row>
    <row r="527" ht="22.5" customHeight="1">
      <c r="A527" s="80"/>
      <c r="B527" s="81"/>
      <c r="C527" s="82"/>
      <c r="D527" s="82" t="s">
        <v>6</v>
      </c>
      <c r="E527" s="82" t="s">
        <v>6</v>
      </c>
      <c r="F527" s="82" t="s">
        <v>6</v>
      </c>
      <c r="G527" s="83" t="s">
        <v>6</v>
      </c>
    </row>
    <row r="528" ht="22.5" customHeight="1">
      <c r="A528" s="80"/>
      <c r="B528" s="81"/>
      <c r="C528" s="82"/>
      <c r="D528" s="82" t="s">
        <v>6</v>
      </c>
      <c r="E528" s="82" t="s">
        <v>6</v>
      </c>
      <c r="F528" s="82" t="s">
        <v>6</v>
      </c>
      <c r="G528" s="83" t="s">
        <v>6</v>
      </c>
    </row>
    <row r="529" ht="22.5" customHeight="1">
      <c r="A529" s="80"/>
      <c r="B529" s="81"/>
      <c r="C529" s="82"/>
      <c r="D529" s="82" t="s">
        <v>6</v>
      </c>
      <c r="E529" s="82" t="s">
        <v>6</v>
      </c>
      <c r="F529" s="82" t="s">
        <v>6</v>
      </c>
      <c r="G529" s="83" t="s">
        <v>6</v>
      </c>
    </row>
    <row r="530" ht="22.5" customHeight="1">
      <c r="A530" s="80"/>
      <c r="B530" s="81"/>
      <c r="C530" s="82"/>
      <c r="D530" s="82" t="s">
        <v>6</v>
      </c>
      <c r="E530" s="82" t="s">
        <v>6</v>
      </c>
      <c r="F530" s="82" t="s">
        <v>6</v>
      </c>
      <c r="G530" s="83" t="s">
        <v>6</v>
      </c>
    </row>
    <row r="531" ht="22.5" customHeight="1">
      <c r="A531" s="80"/>
      <c r="B531" s="81"/>
      <c r="C531" s="82"/>
      <c r="D531" s="82" t="s">
        <v>6</v>
      </c>
      <c r="E531" s="82" t="s">
        <v>6</v>
      </c>
      <c r="F531" s="82" t="s">
        <v>6</v>
      </c>
      <c r="G531" s="83" t="s">
        <v>6</v>
      </c>
    </row>
    <row r="532" ht="22.5" customHeight="1">
      <c r="A532" s="80"/>
      <c r="B532" s="81"/>
      <c r="C532" s="82"/>
      <c r="D532" s="82" t="s">
        <v>6</v>
      </c>
      <c r="E532" s="82" t="s">
        <v>6</v>
      </c>
      <c r="F532" s="82" t="s">
        <v>6</v>
      </c>
      <c r="G532" s="83" t="s">
        <v>6</v>
      </c>
    </row>
    <row r="533" ht="22.5" customHeight="1">
      <c r="A533" s="80"/>
      <c r="B533" s="81"/>
      <c r="C533" s="82"/>
      <c r="D533" s="82" t="s">
        <v>6</v>
      </c>
      <c r="E533" s="82" t="s">
        <v>6</v>
      </c>
      <c r="F533" s="82" t="s">
        <v>6</v>
      </c>
      <c r="G533" s="83" t="s">
        <v>6</v>
      </c>
    </row>
    <row r="534" ht="22.5" customHeight="1">
      <c r="A534" s="80"/>
      <c r="B534" s="81"/>
      <c r="C534" s="82"/>
      <c r="D534" s="82" t="s">
        <v>6</v>
      </c>
      <c r="E534" s="82" t="s">
        <v>6</v>
      </c>
      <c r="F534" s="82" t="s">
        <v>6</v>
      </c>
      <c r="G534" s="83" t="s">
        <v>6</v>
      </c>
    </row>
    <row r="535" ht="22.5" customHeight="1">
      <c r="A535" s="80"/>
      <c r="B535" s="81"/>
      <c r="C535" s="82"/>
      <c r="D535" s="82" t="s">
        <v>6</v>
      </c>
      <c r="E535" s="82" t="s">
        <v>6</v>
      </c>
      <c r="F535" s="82" t="s">
        <v>6</v>
      </c>
      <c r="G535" s="83" t="s">
        <v>6</v>
      </c>
    </row>
    <row r="536" ht="22.5" customHeight="1">
      <c r="A536" s="80"/>
      <c r="B536" s="81"/>
      <c r="C536" s="82"/>
      <c r="D536" s="82" t="s">
        <v>6</v>
      </c>
      <c r="E536" s="82" t="s">
        <v>6</v>
      </c>
      <c r="F536" s="82" t="s">
        <v>6</v>
      </c>
      <c r="G536" s="83" t="s">
        <v>6</v>
      </c>
    </row>
    <row r="537" ht="22.5" customHeight="1">
      <c r="A537" s="80"/>
      <c r="B537" s="81"/>
      <c r="C537" s="82"/>
      <c r="D537" s="82" t="s">
        <v>6</v>
      </c>
      <c r="E537" s="82" t="s">
        <v>6</v>
      </c>
      <c r="F537" s="82" t="s">
        <v>6</v>
      </c>
      <c r="G537" s="83" t="s">
        <v>6</v>
      </c>
    </row>
    <row r="538" ht="22.5" customHeight="1">
      <c r="A538" s="80"/>
      <c r="B538" s="81"/>
      <c r="C538" s="82"/>
      <c r="D538" s="82" t="s">
        <v>6</v>
      </c>
      <c r="E538" s="82" t="s">
        <v>6</v>
      </c>
      <c r="F538" s="82" t="s">
        <v>6</v>
      </c>
      <c r="G538" s="83" t="s">
        <v>6</v>
      </c>
    </row>
    <row r="539" ht="22.5" customHeight="1">
      <c r="A539" s="80"/>
      <c r="B539" s="81"/>
      <c r="C539" s="82"/>
      <c r="D539" s="82" t="s">
        <v>6</v>
      </c>
      <c r="E539" s="82" t="s">
        <v>6</v>
      </c>
      <c r="F539" s="82" t="s">
        <v>6</v>
      </c>
      <c r="G539" s="83" t="s">
        <v>6</v>
      </c>
    </row>
    <row r="540" ht="22.5" customHeight="1">
      <c r="A540" s="80"/>
      <c r="B540" s="81"/>
      <c r="C540" s="82"/>
      <c r="D540" s="82" t="s">
        <v>6</v>
      </c>
      <c r="E540" s="82" t="s">
        <v>6</v>
      </c>
      <c r="F540" s="82" t="s">
        <v>6</v>
      </c>
      <c r="G540" s="83" t="s">
        <v>6</v>
      </c>
    </row>
    <row r="541" ht="22.5" customHeight="1">
      <c r="A541" s="80"/>
      <c r="B541" s="81"/>
      <c r="C541" s="82"/>
      <c r="D541" s="82" t="s">
        <v>6</v>
      </c>
      <c r="E541" s="82" t="s">
        <v>6</v>
      </c>
      <c r="F541" s="82" t="s">
        <v>6</v>
      </c>
      <c r="G541" s="83" t="s">
        <v>6</v>
      </c>
    </row>
    <row r="542" ht="22.5" customHeight="1">
      <c r="A542" s="80"/>
      <c r="B542" s="81"/>
      <c r="C542" s="82"/>
      <c r="D542" s="82" t="s">
        <v>6</v>
      </c>
      <c r="E542" s="82" t="s">
        <v>6</v>
      </c>
      <c r="F542" s="82" t="s">
        <v>6</v>
      </c>
      <c r="G542" s="83" t="s">
        <v>6</v>
      </c>
    </row>
    <row r="543" ht="22.5" customHeight="1">
      <c r="A543" s="80"/>
      <c r="B543" s="81"/>
      <c r="C543" s="82"/>
      <c r="D543" s="82" t="s">
        <v>6</v>
      </c>
      <c r="E543" s="82" t="s">
        <v>6</v>
      </c>
      <c r="F543" s="82" t="s">
        <v>6</v>
      </c>
      <c r="G543" s="83" t="s">
        <v>6</v>
      </c>
    </row>
    <row r="544" ht="22.5" customHeight="1">
      <c r="A544" s="80"/>
      <c r="B544" s="81"/>
      <c r="C544" s="82"/>
      <c r="D544" s="82" t="s">
        <v>6</v>
      </c>
      <c r="E544" s="82" t="s">
        <v>6</v>
      </c>
      <c r="F544" s="82" t="s">
        <v>6</v>
      </c>
      <c r="G544" s="83" t="s">
        <v>6</v>
      </c>
    </row>
    <row r="545" ht="22.5" customHeight="1">
      <c r="A545" s="80"/>
      <c r="B545" s="81"/>
      <c r="C545" s="82"/>
      <c r="D545" s="82" t="s">
        <v>6</v>
      </c>
      <c r="E545" s="82" t="s">
        <v>6</v>
      </c>
      <c r="F545" s="82" t="s">
        <v>6</v>
      </c>
      <c r="G545" s="83" t="s">
        <v>6</v>
      </c>
    </row>
    <row r="546" ht="22.5" customHeight="1">
      <c r="A546" s="80"/>
      <c r="B546" s="81"/>
      <c r="C546" s="82"/>
      <c r="D546" s="82" t="s">
        <v>6</v>
      </c>
      <c r="E546" s="82" t="s">
        <v>6</v>
      </c>
      <c r="F546" s="82" t="s">
        <v>6</v>
      </c>
      <c r="G546" s="83" t="s">
        <v>6</v>
      </c>
    </row>
    <row r="547" ht="22.5" customHeight="1">
      <c r="A547" s="80"/>
      <c r="B547" s="81"/>
      <c r="C547" s="82"/>
      <c r="D547" s="82" t="s">
        <v>6</v>
      </c>
      <c r="E547" s="82" t="s">
        <v>6</v>
      </c>
      <c r="F547" s="82" t="s">
        <v>6</v>
      </c>
      <c r="G547" s="83" t="s">
        <v>6</v>
      </c>
    </row>
    <row r="548" ht="22.5" customHeight="1">
      <c r="A548" s="80"/>
      <c r="B548" s="81"/>
      <c r="C548" s="82"/>
      <c r="D548" s="82" t="s">
        <v>6</v>
      </c>
      <c r="E548" s="82" t="s">
        <v>6</v>
      </c>
      <c r="F548" s="82" t="s">
        <v>6</v>
      </c>
      <c r="G548" s="83" t="s">
        <v>6</v>
      </c>
    </row>
    <row r="549" ht="22.5" customHeight="1">
      <c r="A549" s="80"/>
      <c r="B549" s="81"/>
      <c r="C549" s="82"/>
      <c r="D549" s="82" t="s">
        <v>6</v>
      </c>
      <c r="E549" s="82" t="s">
        <v>6</v>
      </c>
      <c r="F549" s="82" t="s">
        <v>6</v>
      </c>
      <c r="G549" s="83" t="s">
        <v>6</v>
      </c>
    </row>
    <row r="550" ht="22.5" customHeight="1">
      <c r="A550" s="80"/>
      <c r="B550" s="81"/>
      <c r="C550" s="82"/>
      <c r="D550" s="82" t="s">
        <v>6</v>
      </c>
      <c r="E550" s="82" t="s">
        <v>6</v>
      </c>
      <c r="F550" s="82" t="s">
        <v>6</v>
      </c>
      <c r="G550" s="83" t="s">
        <v>6</v>
      </c>
    </row>
    <row r="551" ht="22.5" customHeight="1">
      <c r="A551" s="80"/>
      <c r="B551" s="81"/>
      <c r="C551" s="82"/>
      <c r="D551" s="82" t="s">
        <v>6</v>
      </c>
      <c r="E551" s="82" t="s">
        <v>6</v>
      </c>
      <c r="F551" s="82" t="s">
        <v>6</v>
      </c>
      <c r="G551" s="83" t="s">
        <v>6</v>
      </c>
    </row>
    <row r="552" ht="22.5" customHeight="1">
      <c r="A552" s="80"/>
      <c r="B552" s="81"/>
      <c r="C552" s="82"/>
      <c r="D552" s="82" t="s">
        <v>6</v>
      </c>
      <c r="E552" s="82" t="s">
        <v>6</v>
      </c>
      <c r="F552" s="82" t="s">
        <v>6</v>
      </c>
      <c r="G552" s="83" t="s">
        <v>6</v>
      </c>
    </row>
    <row r="553" ht="22.5" customHeight="1">
      <c r="A553" s="80"/>
      <c r="B553" s="81"/>
      <c r="C553" s="82"/>
      <c r="D553" s="82" t="s">
        <v>6</v>
      </c>
      <c r="E553" s="82" t="s">
        <v>6</v>
      </c>
      <c r="F553" s="82" t="s">
        <v>6</v>
      </c>
      <c r="G553" s="83" t="s">
        <v>6</v>
      </c>
    </row>
    <row r="554" ht="22.5" customHeight="1">
      <c r="A554" s="80"/>
      <c r="B554" s="81"/>
      <c r="C554" s="82"/>
      <c r="D554" s="82" t="s">
        <v>6</v>
      </c>
      <c r="E554" s="82" t="s">
        <v>6</v>
      </c>
      <c r="F554" s="82" t="s">
        <v>6</v>
      </c>
      <c r="G554" s="83" t="s">
        <v>6</v>
      </c>
    </row>
    <row r="555" ht="22.5" customHeight="1">
      <c r="A555" s="80"/>
      <c r="B555" s="81"/>
      <c r="C555" s="82"/>
      <c r="D555" s="82" t="s">
        <v>6</v>
      </c>
      <c r="E555" s="82" t="s">
        <v>6</v>
      </c>
      <c r="F555" s="82" t="s">
        <v>6</v>
      </c>
      <c r="G555" s="83" t="s">
        <v>6</v>
      </c>
    </row>
    <row r="556" ht="22.5" customHeight="1">
      <c r="A556" s="80"/>
      <c r="B556" s="81"/>
      <c r="C556" s="82"/>
      <c r="D556" s="82" t="s">
        <v>6</v>
      </c>
      <c r="E556" s="82" t="s">
        <v>6</v>
      </c>
      <c r="F556" s="82" t="s">
        <v>6</v>
      </c>
      <c r="G556" s="83" t="s">
        <v>6</v>
      </c>
    </row>
    <row r="557" ht="22.5" customHeight="1">
      <c r="A557" s="80"/>
      <c r="B557" s="81"/>
      <c r="C557" s="82"/>
      <c r="D557" s="82" t="s">
        <v>6</v>
      </c>
      <c r="E557" s="82" t="s">
        <v>6</v>
      </c>
      <c r="F557" s="82" t="s">
        <v>6</v>
      </c>
      <c r="G557" s="83" t="s">
        <v>6</v>
      </c>
    </row>
    <row r="558" ht="22.5" customHeight="1">
      <c r="A558" s="80"/>
      <c r="B558" s="81"/>
      <c r="C558" s="82"/>
      <c r="D558" s="82" t="s">
        <v>6</v>
      </c>
      <c r="E558" s="82" t="s">
        <v>6</v>
      </c>
      <c r="F558" s="82" t="s">
        <v>6</v>
      </c>
      <c r="G558" s="83" t="s">
        <v>6</v>
      </c>
    </row>
    <row r="559" ht="22.5" customHeight="1">
      <c r="A559" s="80"/>
      <c r="B559" s="81"/>
      <c r="C559" s="82"/>
      <c r="D559" s="82" t="s">
        <v>6</v>
      </c>
      <c r="E559" s="82" t="s">
        <v>6</v>
      </c>
      <c r="F559" s="82" t="s">
        <v>6</v>
      </c>
      <c r="G559" s="83" t="s">
        <v>6</v>
      </c>
    </row>
    <row r="560" ht="22.5" customHeight="1">
      <c r="A560" s="80"/>
      <c r="B560" s="81"/>
      <c r="C560" s="82"/>
      <c r="D560" s="82" t="s">
        <v>6</v>
      </c>
      <c r="E560" s="82" t="s">
        <v>6</v>
      </c>
      <c r="F560" s="82" t="s">
        <v>6</v>
      </c>
      <c r="G560" s="83" t="s">
        <v>6</v>
      </c>
    </row>
    <row r="561" ht="22.5" customHeight="1">
      <c r="A561" s="80"/>
      <c r="B561" s="81"/>
      <c r="C561" s="82"/>
      <c r="D561" s="82" t="s">
        <v>6</v>
      </c>
      <c r="E561" s="82" t="s">
        <v>6</v>
      </c>
      <c r="F561" s="82" t="s">
        <v>6</v>
      </c>
      <c r="G561" s="83" t="s">
        <v>6</v>
      </c>
    </row>
    <row r="562" ht="22.5" customHeight="1">
      <c r="A562" s="80"/>
      <c r="B562" s="81"/>
      <c r="C562" s="82"/>
      <c r="D562" s="82" t="s">
        <v>6</v>
      </c>
      <c r="E562" s="82" t="s">
        <v>6</v>
      </c>
      <c r="F562" s="82" t="s">
        <v>6</v>
      </c>
      <c r="G562" s="83" t="s">
        <v>6</v>
      </c>
    </row>
    <row r="563" ht="22.5" customHeight="1">
      <c r="A563" s="80"/>
      <c r="B563" s="81"/>
      <c r="C563" s="82"/>
      <c r="D563" s="82" t="s">
        <v>6</v>
      </c>
      <c r="E563" s="82" t="s">
        <v>6</v>
      </c>
      <c r="F563" s="82" t="s">
        <v>6</v>
      </c>
      <c r="G563" s="83" t="s">
        <v>6</v>
      </c>
    </row>
    <row r="564" ht="22.5" customHeight="1">
      <c r="A564" s="80"/>
      <c r="B564" s="81"/>
      <c r="C564" s="82"/>
      <c r="D564" s="82" t="s">
        <v>6</v>
      </c>
      <c r="E564" s="82" t="s">
        <v>6</v>
      </c>
      <c r="F564" s="82" t="s">
        <v>6</v>
      </c>
      <c r="G564" s="83" t="s">
        <v>6</v>
      </c>
    </row>
    <row r="565" ht="22.5" customHeight="1">
      <c r="A565" s="80"/>
      <c r="B565" s="81"/>
      <c r="C565" s="82"/>
      <c r="D565" s="82" t="s">
        <v>6</v>
      </c>
      <c r="E565" s="82" t="s">
        <v>6</v>
      </c>
      <c r="F565" s="82" t="s">
        <v>6</v>
      </c>
      <c r="G565" s="83" t="s">
        <v>6</v>
      </c>
    </row>
    <row r="566" ht="22.5" customHeight="1">
      <c r="A566" s="80"/>
      <c r="B566" s="81"/>
      <c r="C566" s="82"/>
      <c r="D566" s="82" t="s">
        <v>6</v>
      </c>
      <c r="E566" s="82" t="s">
        <v>6</v>
      </c>
      <c r="F566" s="82" t="s">
        <v>6</v>
      </c>
      <c r="G566" s="83" t="s">
        <v>6</v>
      </c>
    </row>
    <row r="567" ht="22.5" customHeight="1">
      <c r="A567" s="80"/>
      <c r="B567" s="81"/>
      <c r="C567" s="82"/>
      <c r="D567" s="82" t="s">
        <v>6</v>
      </c>
      <c r="E567" s="82" t="s">
        <v>6</v>
      </c>
      <c r="F567" s="82" t="s">
        <v>6</v>
      </c>
      <c r="G567" s="83" t="s">
        <v>6</v>
      </c>
    </row>
    <row r="568" ht="22.5" customHeight="1">
      <c r="A568" s="80"/>
      <c r="B568" s="81"/>
      <c r="C568" s="82"/>
      <c r="D568" s="82" t="s">
        <v>6</v>
      </c>
      <c r="E568" s="82" t="s">
        <v>6</v>
      </c>
      <c r="F568" s="82" t="s">
        <v>6</v>
      </c>
      <c r="G568" s="83" t="s">
        <v>6</v>
      </c>
    </row>
    <row r="569" ht="22.5" customHeight="1">
      <c r="A569" s="80"/>
      <c r="B569" s="81"/>
      <c r="C569" s="82"/>
      <c r="D569" s="82" t="s">
        <v>6</v>
      </c>
      <c r="E569" s="82" t="s">
        <v>6</v>
      </c>
      <c r="F569" s="82" t="s">
        <v>6</v>
      </c>
      <c r="G569" s="83" t="s">
        <v>6</v>
      </c>
    </row>
    <row r="570" ht="22.5" customHeight="1">
      <c r="A570" s="80"/>
      <c r="B570" s="81"/>
      <c r="C570" s="82"/>
      <c r="D570" s="82" t="s">
        <v>6</v>
      </c>
      <c r="E570" s="82" t="s">
        <v>6</v>
      </c>
      <c r="F570" s="82" t="s">
        <v>6</v>
      </c>
      <c r="G570" s="83" t="s">
        <v>6</v>
      </c>
    </row>
    <row r="571" ht="22.5" customHeight="1">
      <c r="A571" s="80"/>
      <c r="B571" s="81"/>
      <c r="C571" s="82"/>
      <c r="D571" s="82" t="s">
        <v>6</v>
      </c>
      <c r="E571" s="82" t="s">
        <v>6</v>
      </c>
      <c r="F571" s="82" t="s">
        <v>6</v>
      </c>
      <c r="G571" s="83" t="s">
        <v>6</v>
      </c>
    </row>
    <row r="572" ht="22.5" customHeight="1">
      <c r="A572" s="80"/>
      <c r="B572" s="81"/>
      <c r="C572" s="82"/>
      <c r="D572" s="82" t="s">
        <v>6</v>
      </c>
      <c r="E572" s="82" t="s">
        <v>6</v>
      </c>
      <c r="F572" s="82" t="s">
        <v>6</v>
      </c>
      <c r="G572" s="83" t="s">
        <v>6</v>
      </c>
    </row>
    <row r="573" ht="22.5" customHeight="1">
      <c r="A573" s="80"/>
      <c r="B573" s="81"/>
      <c r="C573" s="82"/>
      <c r="D573" s="82" t="s">
        <v>6</v>
      </c>
      <c r="E573" s="82" t="s">
        <v>6</v>
      </c>
      <c r="F573" s="82" t="s">
        <v>6</v>
      </c>
      <c r="G573" s="83" t="s">
        <v>6</v>
      </c>
    </row>
    <row r="574" ht="22.5" customHeight="1">
      <c r="A574" s="80"/>
      <c r="B574" s="81"/>
      <c r="C574" s="82"/>
      <c r="D574" s="82" t="s">
        <v>6</v>
      </c>
      <c r="E574" s="82" t="s">
        <v>6</v>
      </c>
      <c r="F574" s="82" t="s">
        <v>6</v>
      </c>
      <c r="G574" s="83" t="s">
        <v>6</v>
      </c>
    </row>
    <row r="575" ht="22.5" customHeight="1">
      <c r="A575" s="80"/>
      <c r="B575" s="81"/>
      <c r="C575" s="82"/>
      <c r="D575" s="82" t="s">
        <v>6</v>
      </c>
      <c r="E575" s="82" t="s">
        <v>6</v>
      </c>
      <c r="F575" s="82" t="s">
        <v>6</v>
      </c>
      <c r="G575" s="83" t="s">
        <v>6</v>
      </c>
    </row>
    <row r="576" ht="22.5" customHeight="1">
      <c r="A576" s="80"/>
      <c r="B576" s="81"/>
      <c r="C576" s="82"/>
      <c r="D576" s="82" t="s">
        <v>6</v>
      </c>
      <c r="E576" s="82" t="s">
        <v>6</v>
      </c>
      <c r="F576" s="82" t="s">
        <v>6</v>
      </c>
      <c r="G576" s="83" t="s">
        <v>6</v>
      </c>
    </row>
    <row r="577" ht="22.5" customHeight="1">
      <c r="A577" s="80"/>
      <c r="B577" s="81"/>
      <c r="C577" s="82"/>
      <c r="D577" s="82" t="s">
        <v>6</v>
      </c>
      <c r="E577" s="82" t="s">
        <v>6</v>
      </c>
      <c r="F577" s="82" t="s">
        <v>6</v>
      </c>
      <c r="G577" s="83" t="s">
        <v>6</v>
      </c>
    </row>
    <row r="578" ht="22.5" customHeight="1">
      <c r="A578" s="80"/>
      <c r="B578" s="81"/>
      <c r="C578" s="82"/>
      <c r="D578" s="82" t="s">
        <v>6</v>
      </c>
      <c r="E578" s="82" t="s">
        <v>6</v>
      </c>
      <c r="F578" s="82" t="s">
        <v>6</v>
      </c>
      <c r="G578" s="83" t="s">
        <v>6</v>
      </c>
    </row>
    <row r="579" ht="22.5" customHeight="1">
      <c r="A579" s="80"/>
      <c r="B579" s="81"/>
      <c r="C579" s="82"/>
      <c r="D579" s="82" t="s">
        <v>6</v>
      </c>
      <c r="E579" s="82" t="s">
        <v>6</v>
      </c>
      <c r="F579" s="82" t="s">
        <v>6</v>
      </c>
      <c r="G579" s="83" t="s">
        <v>6</v>
      </c>
    </row>
    <row r="580" ht="22.5" customHeight="1">
      <c r="A580" s="80"/>
      <c r="B580" s="81"/>
      <c r="C580" s="82"/>
      <c r="D580" s="82" t="s">
        <v>6</v>
      </c>
      <c r="E580" s="82" t="s">
        <v>6</v>
      </c>
      <c r="F580" s="82" t="s">
        <v>6</v>
      </c>
      <c r="G580" s="83" t="s">
        <v>6</v>
      </c>
    </row>
    <row r="581" ht="22.5" customHeight="1">
      <c r="A581" s="80"/>
      <c r="B581" s="81"/>
      <c r="C581" s="82"/>
      <c r="D581" s="82" t="s">
        <v>6</v>
      </c>
      <c r="E581" s="82" t="s">
        <v>6</v>
      </c>
      <c r="F581" s="82" t="s">
        <v>6</v>
      </c>
      <c r="G581" s="83" t="s">
        <v>6</v>
      </c>
    </row>
    <row r="582" ht="22.5" customHeight="1">
      <c r="A582" s="80"/>
      <c r="B582" s="81"/>
      <c r="C582" s="82"/>
      <c r="D582" s="82" t="s">
        <v>6</v>
      </c>
      <c r="E582" s="82" t="s">
        <v>6</v>
      </c>
      <c r="F582" s="82" t="s">
        <v>6</v>
      </c>
      <c r="G582" s="83" t="s">
        <v>6</v>
      </c>
    </row>
    <row r="583" ht="22.5" customHeight="1">
      <c r="A583" s="80"/>
      <c r="B583" s="81"/>
      <c r="C583" s="82"/>
      <c r="D583" s="82" t="s">
        <v>6</v>
      </c>
      <c r="E583" s="82" t="s">
        <v>6</v>
      </c>
      <c r="F583" s="82" t="s">
        <v>6</v>
      </c>
      <c r="G583" s="83" t="s">
        <v>6</v>
      </c>
    </row>
    <row r="584" ht="22.5" customHeight="1">
      <c r="A584" s="80"/>
      <c r="B584" s="81"/>
      <c r="C584" s="82"/>
      <c r="D584" s="82" t="s">
        <v>6</v>
      </c>
      <c r="E584" s="82" t="s">
        <v>6</v>
      </c>
      <c r="F584" s="82" t="s">
        <v>6</v>
      </c>
      <c r="G584" s="83" t="s">
        <v>6</v>
      </c>
    </row>
    <row r="585" ht="22.5" customHeight="1">
      <c r="A585" s="80"/>
      <c r="B585" s="81"/>
      <c r="C585" s="82"/>
      <c r="D585" s="82" t="s">
        <v>6</v>
      </c>
      <c r="E585" s="82" t="s">
        <v>6</v>
      </c>
      <c r="F585" s="82" t="s">
        <v>6</v>
      </c>
      <c r="G585" s="83" t="s">
        <v>6</v>
      </c>
    </row>
    <row r="586" ht="22.5" customHeight="1">
      <c r="A586" s="80"/>
      <c r="B586" s="81"/>
      <c r="C586" s="82"/>
      <c r="D586" s="82" t="s">
        <v>6</v>
      </c>
      <c r="E586" s="82" t="s">
        <v>6</v>
      </c>
      <c r="F586" s="82" t="s">
        <v>6</v>
      </c>
      <c r="G586" s="83" t="s">
        <v>6</v>
      </c>
    </row>
    <row r="587" ht="22.5" customHeight="1">
      <c r="A587" s="80"/>
      <c r="B587" s="81"/>
      <c r="C587" s="82"/>
      <c r="D587" s="82" t="s">
        <v>6</v>
      </c>
      <c r="E587" s="82" t="s">
        <v>6</v>
      </c>
      <c r="F587" s="82" t="s">
        <v>6</v>
      </c>
      <c r="G587" s="83" t="s">
        <v>6</v>
      </c>
    </row>
    <row r="588" ht="22.5" customHeight="1">
      <c r="A588" s="80"/>
      <c r="B588" s="81"/>
      <c r="C588" s="82"/>
      <c r="D588" s="82" t="s">
        <v>6</v>
      </c>
      <c r="E588" s="82" t="s">
        <v>6</v>
      </c>
      <c r="F588" s="82" t="s">
        <v>6</v>
      </c>
      <c r="G588" s="83" t="s">
        <v>6</v>
      </c>
    </row>
    <row r="589" ht="22.5" customHeight="1">
      <c r="A589" s="80"/>
      <c r="B589" s="81"/>
      <c r="C589" s="82"/>
      <c r="D589" s="82" t="s">
        <v>6</v>
      </c>
      <c r="E589" s="82" t="s">
        <v>6</v>
      </c>
      <c r="F589" s="82" t="s">
        <v>6</v>
      </c>
      <c r="G589" s="83" t="s">
        <v>6</v>
      </c>
    </row>
    <row r="590" ht="22.5" customHeight="1">
      <c r="A590" s="80"/>
      <c r="B590" s="81"/>
      <c r="C590" s="82"/>
      <c r="D590" s="82" t="s">
        <v>6</v>
      </c>
      <c r="E590" s="82" t="s">
        <v>6</v>
      </c>
      <c r="F590" s="82" t="s">
        <v>6</v>
      </c>
      <c r="G590" s="83" t="s">
        <v>6</v>
      </c>
    </row>
    <row r="591" ht="22.5" customHeight="1">
      <c r="A591" s="80"/>
      <c r="B591" s="81"/>
      <c r="C591" s="82"/>
      <c r="D591" s="82" t="s">
        <v>6</v>
      </c>
      <c r="E591" s="82" t="s">
        <v>6</v>
      </c>
      <c r="F591" s="82" t="s">
        <v>6</v>
      </c>
      <c r="G591" s="83" t="s">
        <v>6</v>
      </c>
    </row>
    <row r="592" ht="22.5" customHeight="1">
      <c r="A592" s="80"/>
      <c r="B592" s="81"/>
      <c r="C592" s="82"/>
      <c r="D592" s="82" t="s">
        <v>6</v>
      </c>
      <c r="E592" s="82" t="s">
        <v>6</v>
      </c>
      <c r="F592" s="82" t="s">
        <v>6</v>
      </c>
      <c r="G592" s="83" t="s">
        <v>6</v>
      </c>
    </row>
    <row r="593" ht="22.5" customHeight="1">
      <c r="A593" s="80"/>
      <c r="B593" s="81"/>
      <c r="C593" s="82"/>
      <c r="D593" s="82" t="s">
        <v>6</v>
      </c>
      <c r="E593" s="82" t="s">
        <v>6</v>
      </c>
      <c r="F593" s="82" t="s">
        <v>6</v>
      </c>
      <c r="G593" s="83" t="s">
        <v>6</v>
      </c>
    </row>
    <row r="594" ht="22.5" customHeight="1">
      <c r="A594" s="80"/>
      <c r="B594" s="81"/>
      <c r="C594" s="82"/>
      <c r="D594" s="82" t="s">
        <v>6</v>
      </c>
      <c r="E594" s="82" t="s">
        <v>6</v>
      </c>
      <c r="F594" s="82" t="s">
        <v>6</v>
      </c>
      <c r="G594" s="83" t="s">
        <v>6</v>
      </c>
    </row>
    <row r="595" ht="22.5" customHeight="1">
      <c r="A595" s="80"/>
      <c r="B595" s="81"/>
      <c r="C595" s="82"/>
      <c r="D595" s="82" t="s">
        <v>6</v>
      </c>
      <c r="E595" s="82" t="s">
        <v>6</v>
      </c>
      <c r="F595" s="82" t="s">
        <v>6</v>
      </c>
      <c r="G595" s="83" t="s">
        <v>6</v>
      </c>
    </row>
    <row r="596" ht="22.5" customHeight="1">
      <c r="A596" s="80"/>
      <c r="B596" s="81"/>
      <c r="C596" s="82"/>
      <c r="D596" s="82" t="s">
        <v>6</v>
      </c>
      <c r="E596" s="82" t="s">
        <v>6</v>
      </c>
      <c r="F596" s="82" t="s">
        <v>6</v>
      </c>
      <c r="G596" s="83" t="s">
        <v>6</v>
      </c>
    </row>
    <row r="597" ht="22.5" customHeight="1">
      <c r="A597" s="80"/>
      <c r="B597" s="81"/>
      <c r="C597" s="82"/>
      <c r="D597" s="82" t="s">
        <v>6</v>
      </c>
      <c r="E597" s="82" t="s">
        <v>6</v>
      </c>
      <c r="F597" s="82" t="s">
        <v>6</v>
      </c>
      <c r="G597" s="83" t="s">
        <v>6</v>
      </c>
    </row>
    <row r="598" ht="22.5" customHeight="1">
      <c r="A598" s="80"/>
      <c r="B598" s="81"/>
      <c r="C598" s="82"/>
      <c r="D598" s="82" t="s">
        <v>6</v>
      </c>
      <c r="E598" s="82" t="s">
        <v>6</v>
      </c>
      <c r="F598" s="82" t="s">
        <v>6</v>
      </c>
      <c r="G598" s="83" t="s">
        <v>6</v>
      </c>
    </row>
    <row r="599" ht="22.5" customHeight="1">
      <c r="A599" s="80"/>
      <c r="B599" s="81"/>
      <c r="C599" s="82"/>
      <c r="D599" s="82" t="s">
        <v>6</v>
      </c>
      <c r="E599" s="82" t="s">
        <v>6</v>
      </c>
      <c r="F599" s="82" t="s">
        <v>6</v>
      </c>
      <c r="G599" s="83" t="s">
        <v>6</v>
      </c>
    </row>
    <row r="600" ht="22.5" customHeight="1">
      <c r="A600" s="80"/>
      <c r="B600" s="81"/>
      <c r="C600" s="82"/>
      <c r="D600" s="82" t="s">
        <v>6</v>
      </c>
      <c r="E600" s="82" t="s">
        <v>6</v>
      </c>
      <c r="F600" s="82" t="s">
        <v>6</v>
      </c>
      <c r="G600" s="83" t="s">
        <v>6</v>
      </c>
    </row>
    <row r="601" ht="22.5" customHeight="1">
      <c r="A601" s="80"/>
      <c r="B601" s="81"/>
      <c r="C601" s="82"/>
      <c r="D601" s="82" t="s">
        <v>6</v>
      </c>
      <c r="E601" s="82" t="s">
        <v>6</v>
      </c>
      <c r="F601" s="82" t="s">
        <v>6</v>
      </c>
      <c r="G601" s="83" t="s">
        <v>6</v>
      </c>
    </row>
    <row r="602" ht="22.5" customHeight="1">
      <c r="A602" s="80"/>
      <c r="B602" s="81"/>
      <c r="C602" s="82"/>
      <c r="D602" s="82" t="s">
        <v>6</v>
      </c>
      <c r="E602" s="82" t="s">
        <v>6</v>
      </c>
      <c r="F602" s="82" t="s">
        <v>6</v>
      </c>
      <c r="G602" s="83" t="s">
        <v>6</v>
      </c>
    </row>
    <row r="603" ht="22.5" customHeight="1">
      <c r="A603" s="80"/>
      <c r="B603" s="81"/>
      <c r="C603" s="82"/>
      <c r="D603" s="82" t="s">
        <v>6</v>
      </c>
      <c r="E603" s="82" t="s">
        <v>6</v>
      </c>
      <c r="F603" s="82" t="s">
        <v>6</v>
      </c>
      <c r="G603" s="83" t="s">
        <v>6</v>
      </c>
    </row>
    <row r="604" ht="22.5" customHeight="1">
      <c r="A604" s="80"/>
      <c r="B604" s="81"/>
      <c r="C604" s="82"/>
      <c r="D604" s="82" t="s">
        <v>6</v>
      </c>
      <c r="E604" s="82" t="s">
        <v>6</v>
      </c>
      <c r="F604" s="82" t="s">
        <v>6</v>
      </c>
      <c r="G604" s="83" t="s">
        <v>6</v>
      </c>
    </row>
    <row r="605" ht="22.5" customHeight="1">
      <c r="A605" s="80"/>
      <c r="B605" s="81"/>
      <c r="C605" s="82"/>
      <c r="D605" s="82" t="s">
        <v>6</v>
      </c>
      <c r="E605" s="82" t="s">
        <v>6</v>
      </c>
      <c r="F605" s="82" t="s">
        <v>6</v>
      </c>
      <c r="G605" s="83" t="s">
        <v>6</v>
      </c>
    </row>
    <row r="606" ht="22.5" customHeight="1">
      <c r="A606" s="80"/>
      <c r="B606" s="81"/>
      <c r="C606" s="82"/>
      <c r="D606" s="82" t="s">
        <v>6</v>
      </c>
      <c r="E606" s="82" t="s">
        <v>6</v>
      </c>
      <c r="F606" s="82" t="s">
        <v>6</v>
      </c>
      <c r="G606" s="83" t="s">
        <v>6</v>
      </c>
    </row>
    <row r="607" ht="22.5" customHeight="1">
      <c r="A607" s="80"/>
      <c r="B607" s="81"/>
      <c r="C607" s="82"/>
      <c r="D607" s="82" t="s">
        <v>6</v>
      </c>
      <c r="E607" s="82" t="s">
        <v>6</v>
      </c>
      <c r="F607" s="82" t="s">
        <v>6</v>
      </c>
      <c r="G607" s="83" t="s">
        <v>6</v>
      </c>
    </row>
    <row r="608" ht="22.5" customHeight="1">
      <c r="A608" s="80"/>
      <c r="B608" s="81"/>
      <c r="C608" s="82"/>
      <c r="D608" s="82" t="s">
        <v>6</v>
      </c>
      <c r="E608" s="82" t="s">
        <v>6</v>
      </c>
      <c r="F608" s="82" t="s">
        <v>6</v>
      </c>
      <c r="G608" s="83" t="s">
        <v>6</v>
      </c>
    </row>
    <row r="609" ht="22.5" customHeight="1">
      <c r="A609" s="80"/>
      <c r="B609" s="81"/>
      <c r="C609" s="82"/>
      <c r="D609" s="82" t="s">
        <v>6</v>
      </c>
      <c r="E609" s="82" t="s">
        <v>6</v>
      </c>
      <c r="F609" s="82" t="s">
        <v>6</v>
      </c>
      <c r="G609" s="83" t="s">
        <v>6</v>
      </c>
    </row>
    <row r="610" ht="22.5" customHeight="1">
      <c r="A610" s="80"/>
      <c r="B610" s="81"/>
      <c r="C610" s="82"/>
      <c r="D610" s="82" t="s">
        <v>6</v>
      </c>
      <c r="E610" s="82" t="s">
        <v>6</v>
      </c>
      <c r="F610" s="82" t="s">
        <v>6</v>
      </c>
      <c r="G610" s="83" t="s">
        <v>6</v>
      </c>
    </row>
    <row r="611" ht="22.5" customHeight="1">
      <c r="A611" s="80"/>
      <c r="B611" s="81"/>
      <c r="C611" s="82"/>
      <c r="D611" s="82" t="s">
        <v>6</v>
      </c>
      <c r="E611" s="82" t="s">
        <v>6</v>
      </c>
      <c r="F611" s="82" t="s">
        <v>6</v>
      </c>
      <c r="G611" s="83" t="s">
        <v>6</v>
      </c>
    </row>
    <row r="612" ht="22.5" customHeight="1">
      <c r="A612" s="80"/>
      <c r="B612" s="81"/>
      <c r="C612" s="82"/>
      <c r="D612" s="82" t="s">
        <v>6</v>
      </c>
      <c r="E612" s="82" t="s">
        <v>6</v>
      </c>
      <c r="F612" s="82" t="s">
        <v>6</v>
      </c>
      <c r="G612" s="83" t="s">
        <v>6</v>
      </c>
    </row>
    <row r="613" ht="22.5" customHeight="1">
      <c r="A613" s="80"/>
      <c r="B613" s="81"/>
      <c r="C613" s="82"/>
      <c r="D613" s="82" t="s">
        <v>6</v>
      </c>
      <c r="E613" s="82" t="s">
        <v>6</v>
      </c>
      <c r="F613" s="82" t="s">
        <v>6</v>
      </c>
      <c r="G613" s="83" t="s">
        <v>6</v>
      </c>
    </row>
    <row r="614" ht="22.5" customHeight="1">
      <c r="A614" s="80"/>
      <c r="B614" s="81"/>
      <c r="C614" s="82"/>
      <c r="D614" s="82" t="s">
        <v>6</v>
      </c>
      <c r="E614" s="82" t="s">
        <v>6</v>
      </c>
      <c r="F614" s="82" t="s">
        <v>6</v>
      </c>
      <c r="G614" s="83" t="s">
        <v>6</v>
      </c>
    </row>
    <row r="615" ht="22.5" customHeight="1">
      <c r="A615" s="80"/>
      <c r="B615" s="81"/>
      <c r="C615" s="82"/>
      <c r="D615" s="82" t="s">
        <v>6</v>
      </c>
      <c r="E615" s="82" t="s">
        <v>6</v>
      </c>
      <c r="F615" s="82" t="s">
        <v>6</v>
      </c>
      <c r="G615" s="83" t="s">
        <v>6</v>
      </c>
    </row>
    <row r="616" ht="22.5" customHeight="1">
      <c r="A616" s="80"/>
      <c r="B616" s="81"/>
      <c r="C616" s="82"/>
      <c r="D616" s="82" t="s">
        <v>6</v>
      </c>
      <c r="E616" s="82" t="s">
        <v>6</v>
      </c>
      <c r="F616" s="82" t="s">
        <v>6</v>
      </c>
      <c r="G616" s="83" t="s">
        <v>6</v>
      </c>
    </row>
    <row r="617" ht="22.5" customHeight="1">
      <c r="A617" s="80"/>
      <c r="B617" s="81"/>
      <c r="C617" s="82"/>
      <c r="D617" s="82" t="s">
        <v>6</v>
      </c>
      <c r="E617" s="82" t="s">
        <v>6</v>
      </c>
      <c r="F617" s="82" t="s">
        <v>6</v>
      </c>
      <c r="G617" s="83" t="s">
        <v>6</v>
      </c>
    </row>
    <row r="618" ht="22.5" customHeight="1">
      <c r="A618" s="80"/>
      <c r="B618" s="81"/>
      <c r="C618" s="82"/>
      <c r="D618" s="82" t="s">
        <v>6</v>
      </c>
      <c r="E618" s="82" t="s">
        <v>6</v>
      </c>
      <c r="F618" s="82" t="s">
        <v>6</v>
      </c>
      <c r="G618" s="83" t="s">
        <v>6</v>
      </c>
    </row>
    <row r="619" ht="22.5" customHeight="1">
      <c r="A619" s="80"/>
      <c r="B619" s="81"/>
      <c r="C619" s="82"/>
      <c r="D619" s="82" t="s">
        <v>6</v>
      </c>
      <c r="E619" s="82" t="s">
        <v>6</v>
      </c>
      <c r="F619" s="82" t="s">
        <v>6</v>
      </c>
      <c r="G619" s="83" t="s">
        <v>6</v>
      </c>
    </row>
    <row r="620" ht="22.5" customHeight="1">
      <c r="A620" s="80"/>
      <c r="B620" s="81"/>
      <c r="C620" s="82"/>
      <c r="D620" s="82" t="s">
        <v>6</v>
      </c>
      <c r="E620" s="82" t="s">
        <v>6</v>
      </c>
      <c r="F620" s="82" t="s">
        <v>6</v>
      </c>
      <c r="G620" s="83" t="s">
        <v>6</v>
      </c>
    </row>
    <row r="621" ht="22.5" customHeight="1">
      <c r="A621" s="80"/>
      <c r="B621" s="81"/>
      <c r="C621" s="82"/>
      <c r="D621" s="82" t="s">
        <v>6</v>
      </c>
      <c r="E621" s="82" t="s">
        <v>6</v>
      </c>
      <c r="F621" s="82" t="s">
        <v>6</v>
      </c>
      <c r="G621" s="83" t="s">
        <v>6</v>
      </c>
    </row>
    <row r="622" ht="22.5" customHeight="1">
      <c r="A622" s="80"/>
      <c r="B622" s="81"/>
      <c r="C622" s="82"/>
      <c r="D622" s="82" t="s">
        <v>6</v>
      </c>
      <c r="E622" s="82" t="s">
        <v>6</v>
      </c>
      <c r="F622" s="82" t="s">
        <v>6</v>
      </c>
      <c r="G622" s="83" t="s">
        <v>6</v>
      </c>
    </row>
    <row r="623" ht="22.5" customHeight="1">
      <c r="A623" s="80"/>
      <c r="B623" s="81"/>
      <c r="C623" s="82"/>
      <c r="D623" s="82" t="s">
        <v>6</v>
      </c>
      <c r="E623" s="82" t="s">
        <v>6</v>
      </c>
      <c r="F623" s="82" t="s">
        <v>6</v>
      </c>
      <c r="G623" s="83" t="s">
        <v>6</v>
      </c>
    </row>
    <row r="624" ht="22.5" customHeight="1">
      <c r="A624" s="80"/>
      <c r="B624" s="81"/>
      <c r="C624" s="82"/>
      <c r="D624" s="82" t="s">
        <v>6</v>
      </c>
      <c r="E624" s="82" t="s">
        <v>6</v>
      </c>
      <c r="F624" s="82" t="s">
        <v>6</v>
      </c>
      <c r="G624" s="83" t="s">
        <v>6</v>
      </c>
    </row>
    <row r="625" ht="22.5" customHeight="1">
      <c r="A625" s="80"/>
      <c r="B625" s="81"/>
      <c r="C625" s="82"/>
      <c r="D625" s="82" t="s">
        <v>6</v>
      </c>
      <c r="E625" s="82" t="s">
        <v>6</v>
      </c>
      <c r="F625" s="82" t="s">
        <v>6</v>
      </c>
      <c r="G625" s="83" t="s">
        <v>6</v>
      </c>
    </row>
    <row r="626" ht="22.5" customHeight="1">
      <c r="A626" s="80"/>
      <c r="B626" s="81"/>
      <c r="C626" s="82"/>
      <c r="D626" s="82" t="s">
        <v>6</v>
      </c>
      <c r="E626" s="82" t="s">
        <v>6</v>
      </c>
      <c r="F626" s="82" t="s">
        <v>6</v>
      </c>
      <c r="G626" s="83" t="s">
        <v>6</v>
      </c>
    </row>
    <row r="627" ht="22.5" customHeight="1">
      <c r="A627" s="80"/>
      <c r="B627" s="81"/>
      <c r="C627" s="82"/>
      <c r="D627" s="82" t="s">
        <v>6</v>
      </c>
      <c r="E627" s="82" t="s">
        <v>6</v>
      </c>
      <c r="F627" s="82" t="s">
        <v>6</v>
      </c>
      <c r="G627" s="83" t="s">
        <v>6</v>
      </c>
    </row>
    <row r="628" ht="22.5" customHeight="1">
      <c r="A628" s="80"/>
      <c r="B628" s="81"/>
      <c r="C628" s="82"/>
      <c r="D628" s="82" t="s">
        <v>6</v>
      </c>
      <c r="E628" s="82" t="s">
        <v>6</v>
      </c>
      <c r="F628" s="82" t="s">
        <v>6</v>
      </c>
      <c r="G628" s="83" t="s">
        <v>6</v>
      </c>
    </row>
    <row r="629" ht="22.5" customHeight="1">
      <c r="A629" s="80"/>
      <c r="B629" s="81"/>
      <c r="C629" s="82"/>
      <c r="D629" s="82" t="s">
        <v>6</v>
      </c>
      <c r="E629" s="82" t="s">
        <v>6</v>
      </c>
      <c r="F629" s="82" t="s">
        <v>6</v>
      </c>
      <c r="G629" s="83" t="s">
        <v>6</v>
      </c>
    </row>
    <row r="630" ht="22.5" customHeight="1">
      <c r="A630" s="80"/>
      <c r="B630" s="81"/>
      <c r="C630" s="82"/>
      <c r="D630" s="82" t="s">
        <v>6</v>
      </c>
      <c r="E630" s="82" t="s">
        <v>6</v>
      </c>
      <c r="F630" s="82" t="s">
        <v>6</v>
      </c>
      <c r="G630" s="83" t="s">
        <v>6</v>
      </c>
    </row>
    <row r="631" ht="22.5" customHeight="1">
      <c r="A631" s="80"/>
      <c r="B631" s="81"/>
      <c r="C631" s="82"/>
      <c r="D631" s="82" t="s">
        <v>6</v>
      </c>
      <c r="E631" s="82" t="s">
        <v>6</v>
      </c>
      <c r="F631" s="82" t="s">
        <v>6</v>
      </c>
      <c r="G631" s="83" t="s">
        <v>6</v>
      </c>
    </row>
    <row r="632" ht="22.5" customHeight="1">
      <c r="A632" s="80"/>
      <c r="B632" s="81"/>
      <c r="C632" s="82"/>
      <c r="D632" s="82" t="s">
        <v>6</v>
      </c>
      <c r="E632" s="82" t="s">
        <v>6</v>
      </c>
      <c r="F632" s="82" t="s">
        <v>6</v>
      </c>
      <c r="G632" s="83" t="s">
        <v>6</v>
      </c>
    </row>
    <row r="633" ht="22.5" customHeight="1">
      <c r="A633" s="80"/>
      <c r="B633" s="81"/>
      <c r="C633" s="82"/>
      <c r="D633" s="82" t="s">
        <v>6</v>
      </c>
      <c r="E633" s="82" t="s">
        <v>6</v>
      </c>
      <c r="F633" s="82" t="s">
        <v>6</v>
      </c>
      <c r="G633" s="83" t="s">
        <v>6</v>
      </c>
    </row>
    <row r="634" ht="22.5" customHeight="1">
      <c r="A634" s="80"/>
      <c r="B634" s="81"/>
      <c r="C634" s="82"/>
      <c r="D634" s="82" t="s">
        <v>6</v>
      </c>
      <c r="E634" s="82" t="s">
        <v>6</v>
      </c>
      <c r="F634" s="82" t="s">
        <v>6</v>
      </c>
      <c r="G634" s="83" t="s">
        <v>6</v>
      </c>
    </row>
    <row r="635" ht="22.5" customHeight="1">
      <c r="A635" s="80"/>
      <c r="B635" s="81"/>
      <c r="C635" s="82"/>
      <c r="D635" s="82" t="s">
        <v>6</v>
      </c>
      <c r="E635" s="82" t="s">
        <v>6</v>
      </c>
      <c r="F635" s="82" t="s">
        <v>6</v>
      </c>
      <c r="G635" s="83" t="s">
        <v>6</v>
      </c>
    </row>
    <row r="636" ht="22.5" customHeight="1">
      <c r="A636" s="80"/>
      <c r="B636" s="81"/>
      <c r="C636" s="82"/>
      <c r="D636" s="82" t="s">
        <v>6</v>
      </c>
      <c r="E636" s="82" t="s">
        <v>6</v>
      </c>
      <c r="F636" s="82" t="s">
        <v>6</v>
      </c>
      <c r="G636" s="83" t="s">
        <v>6</v>
      </c>
    </row>
    <row r="637" ht="22.5" customHeight="1">
      <c r="A637" s="80"/>
      <c r="B637" s="81"/>
      <c r="C637" s="82"/>
      <c r="D637" s="82" t="s">
        <v>6</v>
      </c>
      <c r="E637" s="82" t="s">
        <v>6</v>
      </c>
      <c r="F637" s="82" t="s">
        <v>6</v>
      </c>
      <c r="G637" s="83" t="s">
        <v>6</v>
      </c>
    </row>
    <row r="638" ht="22.5" customHeight="1">
      <c r="A638" s="80"/>
      <c r="B638" s="81"/>
      <c r="C638" s="82"/>
      <c r="D638" s="82" t="s">
        <v>6</v>
      </c>
      <c r="E638" s="82" t="s">
        <v>6</v>
      </c>
      <c r="F638" s="82" t="s">
        <v>6</v>
      </c>
      <c r="G638" s="83" t="s">
        <v>6</v>
      </c>
    </row>
    <row r="639" ht="22.5" customHeight="1">
      <c r="A639" s="80"/>
      <c r="B639" s="81"/>
      <c r="C639" s="82"/>
      <c r="D639" s="82" t="s">
        <v>6</v>
      </c>
      <c r="E639" s="82" t="s">
        <v>6</v>
      </c>
      <c r="F639" s="82" t="s">
        <v>6</v>
      </c>
      <c r="G639" s="83" t="s">
        <v>6</v>
      </c>
    </row>
    <row r="640" ht="22.5" customHeight="1">
      <c r="A640" s="80"/>
      <c r="B640" s="81"/>
      <c r="C640" s="82"/>
      <c r="D640" s="82" t="s">
        <v>6</v>
      </c>
      <c r="E640" s="82" t="s">
        <v>6</v>
      </c>
      <c r="F640" s="82" t="s">
        <v>6</v>
      </c>
      <c r="G640" s="83" t="s">
        <v>6</v>
      </c>
    </row>
    <row r="641" ht="22.5" customHeight="1">
      <c r="A641" s="80"/>
      <c r="B641" s="81"/>
      <c r="C641" s="82"/>
      <c r="D641" s="82" t="s">
        <v>6</v>
      </c>
      <c r="E641" s="82" t="s">
        <v>6</v>
      </c>
      <c r="F641" s="82" t="s">
        <v>6</v>
      </c>
      <c r="G641" s="83" t="s">
        <v>6</v>
      </c>
    </row>
    <row r="642" ht="22.5" customHeight="1">
      <c r="A642" s="80"/>
      <c r="B642" s="81"/>
      <c r="C642" s="82"/>
      <c r="D642" s="82" t="s">
        <v>6</v>
      </c>
      <c r="E642" s="82" t="s">
        <v>6</v>
      </c>
      <c r="F642" s="82" t="s">
        <v>6</v>
      </c>
      <c r="G642" s="83" t="s">
        <v>6</v>
      </c>
    </row>
    <row r="643" ht="22.5" customHeight="1">
      <c r="A643" s="80"/>
      <c r="B643" s="81"/>
      <c r="C643" s="82"/>
      <c r="D643" s="82" t="s">
        <v>6</v>
      </c>
      <c r="E643" s="82" t="s">
        <v>6</v>
      </c>
      <c r="F643" s="82" t="s">
        <v>6</v>
      </c>
      <c r="G643" s="83" t="s">
        <v>6</v>
      </c>
    </row>
    <row r="644" ht="22.5" customHeight="1">
      <c r="A644" s="80"/>
      <c r="B644" s="81"/>
      <c r="C644" s="82"/>
      <c r="D644" s="82" t="s">
        <v>6</v>
      </c>
      <c r="E644" s="82" t="s">
        <v>6</v>
      </c>
      <c r="F644" s="82" t="s">
        <v>6</v>
      </c>
      <c r="G644" s="83" t="s">
        <v>6</v>
      </c>
    </row>
    <row r="645" ht="22.5" customHeight="1">
      <c r="A645" s="80"/>
      <c r="B645" s="81"/>
      <c r="C645" s="82"/>
      <c r="D645" s="82" t="s">
        <v>6</v>
      </c>
      <c r="E645" s="82" t="s">
        <v>6</v>
      </c>
      <c r="F645" s="82" t="s">
        <v>6</v>
      </c>
      <c r="G645" s="83" t="s">
        <v>6</v>
      </c>
    </row>
    <row r="646" ht="22.5" customHeight="1">
      <c r="A646" s="80"/>
      <c r="B646" s="81"/>
      <c r="C646" s="82"/>
      <c r="D646" s="82" t="s">
        <v>6</v>
      </c>
      <c r="E646" s="82" t="s">
        <v>6</v>
      </c>
      <c r="F646" s="82" t="s">
        <v>6</v>
      </c>
      <c r="G646" s="83" t="s">
        <v>6</v>
      </c>
    </row>
    <row r="647" ht="22.5" customHeight="1">
      <c r="A647" s="80"/>
      <c r="B647" s="81"/>
      <c r="C647" s="82"/>
      <c r="D647" s="82" t="s">
        <v>6</v>
      </c>
      <c r="E647" s="82" t="s">
        <v>6</v>
      </c>
      <c r="F647" s="82" t="s">
        <v>6</v>
      </c>
      <c r="G647" s="83" t="s">
        <v>6</v>
      </c>
    </row>
    <row r="648" ht="22.5" customHeight="1">
      <c r="A648" s="80"/>
      <c r="B648" s="81"/>
      <c r="C648" s="82"/>
      <c r="D648" s="82" t="s">
        <v>6</v>
      </c>
      <c r="E648" s="82" t="s">
        <v>6</v>
      </c>
      <c r="F648" s="82" t="s">
        <v>6</v>
      </c>
      <c r="G648" s="83" t="s">
        <v>6</v>
      </c>
    </row>
    <row r="649" ht="22.5" customHeight="1">
      <c r="A649" s="80"/>
      <c r="B649" s="81"/>
      <c r="C649" s="82"/>
      <c r="D649" s="82" t="s">
        <v>6</v>
      </c>
      <c r="E649" s="82" t="s">
        <v>6</v>
      </c>
      <c r="F649" s="82" t="s">
        <v>6</v>
      </c>
      <c r="G649" s="83" t="s">
        <v>6</v>
      </c>
    </row>
    <row r="650" ht="22.5" customHeight="1">
      <c r="A650" s="80"/>
      <c r="B650" s="81"/>
      <c r="C650" s="82"/>
      <c r="D650" s="82" t="s">
        <v>6</v>
      </c>
      <c r="E650" s="82" t="s">
        <v>6</v>
      </c>
      <c r="F650" s="82" t="s">
        <v>6</v>
      </c>
      <c r="G650" s="83" t="s">
        <v>6</v>
      </c>
    </row>
    <row r="651" ht="22.5" customHeight="1">
      <c r="A651" s="80"/>
      <c r="B651" s="81"/>
      <c r="C651" s="82"/>
      <c r="D651" s="82" t="s">
        <v>6</v>
      </c>
      <c r="E651" s="82" t="s">
        <v>6</v>
      </c>
      <c r="F651" s="82" t="s">
        <v>6</v>
      </c>
      <c r="G651" s="83" t="s">
        <v>6</v>
      </c>
    </row>
    <row r="652" ht="22.5" customHeight="1">
      <c r="A652" s="80"/>
      <c r="B652" s="81"/>
      <c r="C652" s="82"/>
      <c r="D652" s="82" t="s">
        <v>6</v>
      </c>
      <c r="E652" s="82" t="s">
        <v>6</v>
      </c>
      <c r="F652" s="82" t="s">
        <v>6</v>
      </c>
      <c r="G652" s="83" t="s">
        <v>6</v>
      </c>
    </row>
    <row r="653" ht="22.5" customHeight="1">
      <c r="A653" s="80"/>
      <c r="B653" s="81"/>
      <c r="C653" s="82"/>
      <c r="D653" s="82" t="s">
        <v>6</v>
      </c>
      <c r="E653" s="82" t="s">
        <v>6</v>
      </c>
      <c r="F653" s="82" t="s">
        <v>6</v>
      </c>
      <c r="G653" s="83" t="s">
        <v>6</v>
      </c>
    </row>
    <row r="654" ht="22.5" customHeight="1">
      <c r="A654" s="80"/>
      <c r="B654" s="81"/>
      <c r="C654" s="82"/>
      <c r="D654" s="82" t="s">
        <v>6</v>
      </c>
      <c r="E654" s="82" t="s">
        <v>6</v>
      </c>
      <c r="F654" s="82" t="s">
        <v>6</v>
      </c>
      <c r="G654" s="83" t="s">
        <v>6</v>
      </c>
    </row>
    <row r="655" ht="22.5" customHeight="1">
      <c r="A655" s="80"/>
      <c r="B655" s="81"/>
      <c r="C655" s="82"/>
      <c r="D655" s="82" t="s">
        <v>6</v>
      </c>
      <c r="E655" s="82" t="s">
        <v>6</v>
      </c>
      <c r="F655" s="82" t="s">
        <v>6</v>
      </c>
      <c r="G655" s="83" t="s">
        <v>6</v>
      </c>
    </row>
    <row r="656" ht="22.5" customHeight="1">
      <c r="A656" s="80"/>
      <c r="B656" s="81"/>
      <c r="C656" s="82"/>
      <c r="D656" s="82" t="s">
        <v>6</v>
      </c>
      <c r="E656" s="82" t="s">
        <v>6</v>
      </c>
      <c r="F656" s="82" t="s">
        <v>6</v>
      </c>
      <c r="G656" s="83" t="s">
        <v>6</v>
      </c>
    </row>
    <row r="657" ht="22.5" customHeight="1">
      <c r="A657" s="80"/>
      <c r="B657" s="81"/>
      <c r="C657" s="82"/>
      <c r="D657" s="82" t="s">
        <v>6</v>
      </c>
      <c r="E657" s="82" t="s">
        <v>6</v>
      </c>
      <c r="F657" s="82" t="s">
        <v>6</v>
      </c>
      <c r="G657" s="83" t="s">
        <v>6</v>
      </c>
    </row>
    <row r="658" ht="22.5" customHeight="1">
      <c r="A658" s="80"/>
      <c r="B658" s="81"/>
      <c r="C658" s="82"/>
      <c r="D658" s="82" t="s">
        <v>6</v>
      </c>
      <c r="E658" s="82" t="s">
        <v>6</v>
      </c>
      <c r="F658" s="82" t="s">
        <v>6</v>
      </c>
      <c r="G658" s="83" t="s">
        <v>6</v>
      </c>
    </row>
    <row r="659" ht="22.5" customHeight="1">
      <c r="A659" s="80"/>
      <c r="B659" s="81"/>
      <c r="C659" s="82"/>
      <c r="D659" s="82" t="s">
        <v>6</v>
      </c>
      <c r="E659" s="82" t="s">
        <v>6</v>
      </c>
      <c r="F659" s="82" t="s">
        <v>6</v>
      </c>
      <c r="G659" s="83" t="s">
        <v>6</v>
      </c>
    </row>
    <row r="660" ht="22.5" customHeight="1">
      <c r="A660" s="80"/>
      <c r="B660" s="81"/>
      <c r="C660" s="82"/>
      <c r="D660" s="82" t="s">
        <v>6</v>
      </c>
      <c r="E660" s="82" t="s">
        <v>6</v>
      </c>
      <c r="F660" s="82" t="s">
        <v>6</v>
      </c>
      <c r="G660" s="83" t="s">
        <v>6</v>
      </c>
    </row>
    <row r="661" ht="22.5" customHeight="1">
      <c r="A661" s="80"/>
      <c r="B661" s="81"/>
      <c r="C661" s="82"/>
      <c r="D661" s="82" t="s">
        <v>6</v>
      </c>
      <c r="E661" s="82" t="s">
        <v>6</v>
      </c>
      <c r="F661" s="82" t="s">
        <v>6</v>
      </c>
      <c r="G661" s="83" t="s">
        <v>6</v>
      </c>
    </row>
    <row r="662" ht="22.5" customHeight="1">
      <c r="A662" s="80"/>
      <c r="B662" s="81"/>
      <c r="C662" s="82"/>
      <c r="D662" s="82" t="s">
        <v>6</v>
      </c>
      <c r="E662" s="82" t="s">
        <v>6</v>
      </c>
      <c r="F662" s="82" t="s">
        <v>6</v>
      </c>
      <c r="G662" s="83" t="s">
        <v>6</v>
      </c>
    </row>
    <row r="663" ht="22.5" customHeight="1">
      <c r="A663" s="80"/>
      <c r="B663" s="81"/>
      <c r="C663" s="82"/>
      <c r="D663" s="82" t="s">
        <v>6</v>
      </c>
      <c r="E663" s="82" t="s">
        <v>6</v>
      </c>
      <c r="F663" s="82" t="s">
        <v>6</v>
      </c>
      <c r="G663" s="83" t="s">
        <v>6</v>
      </c>
    </row>
    <row r="664" ht="22.5" customHeight="1">
      <c r="A664" s="80"/>
      <c r="B664" s="81"/>
      <c r="C664" s="82"/>
      <c r="D664" s="82" t="s">
        <v>6</v>
      </c>
      <c r="E664" s="82" t="s">
        <v>6</v>
      </c>
      <c r="F664" s="82" t="s">
        <v>6</v>
      </c>
      <c r="G664" s="83" t="s">
        <v>6</v>
      </c>
    </row>
    <row r="665" ht="22.5" customHeight="1">
      <c r="A665" s="80"/>
      <c r="B665" s="81"/>
      <c r="C665" s="82"/>
      <c r="D665" s="82" t="s">
        <v>6</v>
      </c>
      <c r="E665" s="82" t="s">
        <v>6</v>
      </c>
      <c r="F665" s="82" t="s">
        <v>6</v>
      </c>
      <c r="G665" s="83" t="s">
        <v>6</v>
      </c>
    </row>
    <row r="666" ht="22.5" customHeight="1">
      <c r="A666" s="80"/>
      <c r="B666" s="81"/>
      <c r="C666" s="82"/>
      <c r="D666" s="82" t="s">
        <v>6</v>
      </c>
      <c r="E666" s="82" t="s">
        <v>6</v>
      </c>
      <c r="F666" s="82" t="s">
        <v>6</v>
      </c>
      <c r="G666" s="83" t="s">
        <v>6</v>
      </c>
    </row>
    <row r="667" ht="22.5" customHeight="1">
      <c r="A667" s="80"/>
      <c r="B667" s="81"/>
      <c r="C667" s="82"/>
      <c r="D667" s="82" t="s">
        <v>6</v>
      </c>
      <c r="E667" s="82" t="s">
        <v>6</v>
      </c>
      <c r="F667" s="82" t="s">
        <v>6</v>
      </c>
      <c r="G667" s="83" t="s">
        <v>6</v>
      </c>
    </row>
    <row r="668" ht="22.5" customHeight="1">
      <c r="A668" s="80"/>
      <c r="B668" s="81"/>
      <c r="C668" s="82"/>
      <c r="D668" s="82" t="s">
        <v>6</v>
      </c>
      <c r="E668" s="82" t="s">
        <v>6</v>
      </c>
      <c r="F668" s="82" t="s">
        <v>6</v>
      </c>
      <c r="G668" s="83" t="s">
        <v>6</v>
      </c>
    </row>
    <row r="669" ht="22.5" customHeight="1">
      <c r="A669" s="80"/>
      <c r="B669" s="81"/>
      <c r="C669" s="82"/>
      <c r="D669" s="82" t="s">
        <v>6</v>
      </c>
      <c r="E669" s="82" t="s">
        <v>6</v>
      </c>
      <c r="F669" s="82" t="s">
        <v>6</v>
      </c>
      <c r="G669" s="83" t="s">
        <v>6</v>
      </c>
    </row>
    <row r="670" ht="22.5" customHeight="1">
      <c r="A670" s="80"/>
      <c r="B670" s="81"/>
      <c r="C670" s="82"/>
      <c r="D670" s="82" t="s">
        <v>6</v>
      </c>
      <c r="E670" s="82" t="s">
        <v>6</v>
      </c>
      <c r="F670" s="82" t="s">
        <v>6</v>
      </c>
      <c r="G670" s="83" t="s">
        <v>6</v>
      </c>
    </row>
    <row r="671" ht="22.5" customHeight="1">
      <c r="A671" s="80"/>
      <c r="B671" s="81"/>
      <c r="C671" s="82"/>
      <c r="D671" s="82" t="s">
        <v>6</v>
      </c>
      <c r="E671" s="82" t="s">
        <v>6</v>
      </c>
      <c r="F671" s="82" t="s">
        <v>6</v>
      </c>
      <c r="G671" s="83" t="s">
        <v>6</v>
      </c>
    </row>
    <row r="672" ht="22.5" customHeight="1">
      <c r="A672" s="80"/>
      <c r="B672" s="81"/>
      <c r="C672" s="82"/>
      <c r="D672" s="82" t="s">
        <v>6</v>
      </c>
      <c r="E672" s="82" t="s">
        <v>6</v>
      </c>
      <c r="F672" s="82" t="s">
        <v>6</v>
      </c>
      <c r="G672" s="83" t="s">
        <v>6</v>
      </c>
    </row>
    <row r="673" ht="22.5" customHeight="1">
      <c r="A673" s="80"/>
      <c r="B673" s="81"/>
      <c r="C673" s="82"/>
      <c r="D673" s="82" t="s">
        <v>6</v>
      </c>
      <c r="E673" s="82" t="s">
        <v>6</v>
      </c>
      <c r="F673" s="82" t="s">
        <v>6</v>
      </c>
      <c r="G673" s="83" t="s">
        <v>6</v>
      </c>
    </row>
    <row r="674" ht="22.5" customHeight="1">
      <c r="A674" s="80"/>
      <c r="B674" s="81"/>
      <c r="C674" s="82"/>
      <c r="D674" s="82" t="s">
        <v>6</v>
      </c>
      <c r="E674" s="82" t="s">
        <v>6</v>
      </c>
      <c r="F674" s="82" t="s">
        <v>6</v>
      </c>
      <c r="G674" s="83" t="s">
        <v>6</v>
      </c>
    </row>
    <row r="675" ht="22.5" customHeight="1">
      <c r="A675" s="80"/>
      <c r="B675" s="81"/>
      <c r="C675" s="82"/>
      <c r="D675" s="82" t="s">
        <v>6</v>
      </c>
      <c r="E675" s="82" t="s">
        <v>6</v>
      </c>
      <c r="F675" s="82" t="s">
        <v>6</v>
      </c>
      <c r="G675" s="83" t="s">
        <v>6</v>
      </c>
    </row>
    <row r="676" ht="22.5" customHeight="1">
      <c r="A676" s="80"/>
      <c r="B676" s="81"/>
      <c r="C676" s="82"/>
      <c r="D676" s="82" t="s">
        <v>6</v>
      </c>
      <c r="E676" s="82" t="s">
        <v>6</v>
      </c>
      <c r="F676" s="82" t="s">
        <v>6</v>
      </c>
      <c r="G676" s="83" t="s">
        <v>6</v>
      </c>
    </row>
    <row r="677" ht="22.5" customHeight="1">
      <c r="A677" s="80"/>
      <c r="B677" s="81"/>
      <c r="C677" s="82"/>
      <c r="D677" s="82" t="s">
        <v>6</v>
      </c>
      <c r="E677" s="82" t="s">
        <v>6</v>
      </c>
      <c r="F677" s="82" t="s">
        <v>6</v>
      </c>
      <c r="G677" s="83" t="s">
        <v>6</v>
      </c>
    </row>
    <row r="678" ht="22.5" customHeight="1">
      <c r="A678" s="80"/>
      <c r="B678" s="81"/>
      <c r="C678" s="82"/>
      <c r="D678" s="82" t="s">
        <v>6</v>
      </c>
      <c r="E678" s="82" t="s">
        <v>6</v>
      </c>
      <c r="F678" s="82" t="s">
        <v>6</v>
      </c>
      <c r="G678" s="83" t="s">
        <v>6</v>
      </c>
    </row>
    <row r="679" ht="22.5" customHeight="1">
      <c r="A679" s="80"/>
      <c r="B679" s="81"/>
      <c r="C679" s="82"/>
      <c r="D679" s="82" t="s">
        <v>6</v>
      </c>
      <c r="E679" s="82" t="s">
        <v>6</v>
      </c>
      <c r="F679" s="82" t="s">
        <v>6</v>
      </c>
      <c r="G679" s="83" t="s">
        <v>6</v>
      </c>
    </row>
    <row r="680" ht="22.5" customHeight="1">
      <c r="A680" s="80"/>
      <c r="B680" s="81"/>
      <c r="C680" s="82"/>
      <c r="D680" s="82" t="s">
        <v>6</v>
      </c>
      <c r="E680" s="82" t="s">
        <v>6</v>
      </c>
      <c r="F680" s="82" t="s">
        <v>6</v>
      </c>
      <c r="G680" s="83" t="s">
        <v>6</v>
      </c>
    </row>
    <row r="681" ht="22.5" customHeight="1">
      <c r="A681" s="80"/>
      <c r="B681" s="81"/>
      <c r="C681" s="82"/>
      <c r="D681" s="82" t="s">
        <v>6</v>
      </c>
      <c r="E681" s="82" t="s">
        <v>6</v>
      </c>
      <c r="F681" s="82" t="s">
        <v>6</v>
      </c>
      <c r="G681" s="83" t="s">
        <v>6</v>
      </c>
    </row>
    <row r="682" ht="22.5" customHeight="1">
      <c r="A682" s="80"/>
      <c r="B682" s="81"/>
      <c r="C682" s="82"/>
      <c r="D682" s="82" t="s">
        <v>6</v>
      </c>
      <c r="E682" s="82" t="s">
        <v>6</v>
      </c>
      <c r="F682" s="82" t="s">
        <v>6</v>
      </c>
      <c r="G682" s="83" t="s">
        <v>6</v>
      </c>
    </row>
    <row r="683" ht="22.5" customHeight="1">
      <c r="A683" s="80"/>
      <c r="B683" s="81"/>
      <c r="C683" s="82"/>
      <c r="D683" s="82" t="s">
        <v>6</v>
      </c>
      <c r="E683" s="82" t="s">
        <v>6</v>
      </c>
      <c r="F683" s="82" t="s">
        <v>6</v>
      </c>
      <c r="G683" s="83" t="s">
        <v>6</v>
      </c>
    </row>
    <row r="684" ht="22.5" customHeight="1">
      <c r="A684" s="80"/>
      <c r="B684" s="81"/>
      <c r="C684" s="82"/>
      <c r="D684" s="82" t="s">
        <v>6</v>
      </c>
      <c r="E684" s="82" t="s">
        <v>6</v>
      </c>
      <c r="F684" s="82" t="s">
        <v>6</v>
      </c>
      <c r="G684" s="83" t="s">
        <v>6</v>
      </c>
    </row>
    <row r="685" ht="22.5" customHeight="1">
      <c r="A685" s="80"/>
      <c r="B685" s="81"/>
      <c r="C685" s="82"/>
      <c r="D685" s="82" t="s">
        <v>6</v>
      </c>
      <c r="E685" s="82" t="s">
        <v>6</v>
      </c>
      <c r="F685" s="82" t="s">
        <v>6</v>
      </c>
      <c r="G685" s="83" t="s">
        <v>6</v>
      </c>
    </row>
    <row r="686" ht="22.5" customHeight="1">
      <c r="A686" s="80"/>
      <c r="B686" s="81"/>
      <c r="C686" s="82"/>
      <c r="D686" s="82" t="s">
        <v>6</v>
      </c>
      <c r="E686" s="82" t="s">
        <v>6</v>
      </c>
      <c r="F686" s="82" t="s">
        <v>6</v>
      </c>
      <c r="G686" s="83" t="s">
        <v>6</v>
      </c>
    </row>
    <row r="687" ht="22.5" customHeight="1">
      <c r="A687" s="80"/>
      <c r="B687" s="81"/>
      <c r="C687" s="82"/>
      <c r="D687" s="82" t="s">
        <v>6</v>
      </c>
      <c r="E687" s="82" t="s">
        <v>6</v>
      </c>
      <c r="F687" s="82" t="s">
        <v>6</v>
      </c>
      <c r="G687" s="83" t="s">
        <v>6</v>
      </c>
    </row>
    <row r="688" ht="22.5" customHeight="1">
      <c r="A688" s="80"/>
      <c r="B688" s="81"/>
      <c r="C688" s="82"/>
      <c r="D688" s="82" t="s">
        <v>6</v>
      </c>
      <c r="E688" s="82" t="s">
        <v>6</v>
      </c>
      <c r="F688" s="82" t="s">
        <v>6</v>
      </c>
      <c r="G688" s="83" t="s">
        <v>6</v>
      </c>
    </row>
    <row r="689" ht="22.5" customHeight="1">
      <c r="A689" s="80"/>
      <c r="B689" s="81"/>
      <c r="C689" s="82"/>
      <c r="D689" s="82" t="s">
        <v>6</v>
      </c>
      <c r="E689" s="82" t="s">
        <v>6</v>
      </c>
      <c r="F689" s="82" t="s">
        <v>6</v>
      </c>
      <c r="G689" s="83" t="s">
        <v>6</v>
      </c>
    </row>
    <row r="690" ht="22.5" customHeight="1">
      <c r="A690" s="80"/>
      <c r="B690" s="81"/>
      <c r="C690" s="82"/>
      <c r="D690" s="82" t="s">
        <v>6</v>
      </c>
      <c r="E690" s="82" t="s">
        <v>6</v>
      </c>
      <c r="F690" s="82" t="s">
        <v>6</v>
      </c>
      <c r="G690" s="83" t="s">
        <v>6</v>
      </c>
    </row>
    <row r="691" ht="22.5" customHeight="1">
      <c r="A691" s="80"/>
      <c r="B691" s="81"/>
      <c r="C691" s="82"/>
      <c r="D691" s="82" t="s">
        <v>6</v>
      </c>
      <c r="E691" s="82" t="s">
        <v>6</v>
      </c>
      <c r="F691" s="82" t="s">
        <v>6</v>
      </c>
      <c r="G691" s="83" t="s">
        <v>6</v>
      </c>
    </row>
    <row r="692" ht="22.5" customHeight="1">
      <c r="A692" s="80"/>
      <c r="B692" s="81"/>
      <c r="C692" s="82"/>
      <c r="D692" s="82" t="s">
        <v>6</v>
      </c>
      <c r="E692" s="82" t="s">
        <v>6</v>
      </c>
      <c r="F692" s="82" t="s">
        <v>6</v>
      </c>
      <c r="G692" s="83" t="s">
        <v>6</v>
      </c>
    </row>
    <row r="693" ht="22.5" customHeight="1">
      <c r="A693" s="80"/>
      <c r="B693" s="81"/>
      <c r="C693" s="82"/>
      <c r="D693" s="82" t="s">
        <v>6</v>
      </c>
      <c r="E693" s="82" t="s">
        <v>6</v>
      </c>
      <c r="F693" s="82" t="s">
        <v>6</v>
      </c>
      <c r="G693" s="83" t="s">
        <v>6</v>
      </c>
    </row>
    <row r="694" ht="22.5" customHeight="1">
      <c r="A694" s="80"/>
      <c r="B694" s="81"/>
      <c r="C694" s="82"/>
      <c r="D694" s="82" t="s">
        <v>6</v>
      </c>
      <c r="E694" s="82" t="s">
        <v>6</v>
      </c>
      <c r="F694" s="82" t="s">
        <v>6</v>
      </c>
      <c r="G694" s="83" t="s">
        <v>6</v>
      </c>
    </row>
    <row r="695" ht="22.5" customHeight="1">
      <c r="A695" s="80"/>
      <c r="B695" s="81"/>
      <c r="C695" s="82"/>
      <c r="D695" s="82" t="s">
        <v>6</v>
      </c>
      <c r="E695" s="82" t="s">
        <v>6</v>
      </c>
      <c r="F695" s="82" t="s">
        <v>6</v>
      </c>
      <c r="G695" s="83" t="s">
        <v>6</v>
      </c>
    </row>
    <row r="696" ht="22.5" customHeight="1">
      <c r="A696" s="80"/>
      <c r="B696" s="81"/>
      <c r="C696" s="82"/>
      <c r="D696" s="82" t="s">
        <v>6</v>
      </c>
      <c r="E696" s="82" t="s">
        <v>6</v>
      </c>
      <c r="F696" s="82" t="s">
        <v>6</v>
      </c>
      <c r="G696" s="83" t="s">
        <v>6</v>
      </c>
    </row>
    <row r="697" ht="22.5" customHeight="1">
      <c r="A697" s="80"/>
      <c r="B697" s="81"/>
      <c r="C697" s="82"/>
      <c r="D697" s="82" t="s">
        <v>6</v>
      </c>
      <c r="E697" s="82" t="s">
        <v>6</v>
      </c>
      <c r="F697" s="82" t="s">
        <v>6</v>
      </c>
      <c r="G697" s="83" t="s">
        <v>6</v>
      </c>
    </row>
    <row r="698" ht="22.5" customHeight="1">
      <c r="A698" s="80"/>
      <c r="B698" s="81"/>
      <c r="C698" s="82"/>
      <c r="D698" s="82" t="s">
        <v>6</v>
      </c>
      <c r="E698" s="82" t="s">
        <v>6</v>
      </c>
      <c r="F698" s="82" t="s">
        <v>6</v>
      </c>
      <c r="G698" s="83" t="s">
        <v>6</v>
      </c>
    </row>
    <row r="699" ht="22.5" customHeight="1">
      <c r="A699" s="80"/>
      <c r="B699" s="81"/>
      <c r="C699" s="82"/>
      <c r="D699" s="82" t="s">
        <v>6</v>
      </c>
      <c r="E699" s="82" t="s">
        <v>6</v>
      </c>
      <c r="F699" s="82" t="s">
        <v>6</v>
      </c>
      <c r="G699" s="83" t="s">
        <v>6</v>
      </c>
    </row>
    <row r="700" ht="22.5" customHeight="1">
      <c r="A700" s="80"/>
      <c r="B700" s="81"/>
      <c r="C700" s="82"/>
      <c r="D700" s="82" t="s">
        <v>6</v>
      </c>
      <c r="E700" s="82" t="s">
        <v>6</v>
      </c>
      <c r="F700" s="82" t="s">
        <v>6</v>
      </c>
      <c r="G700" s="83" t="s">
        <v>6</v>
      </c>
    </row>
    <row r="701" ht="22.5" customHeight="1">
      <c r="A701" s="80"/>
      <c r="B701" s="81"/>
      <c r="C701" s="82"/>
      <c r="D701" s="82" t="s">
        <v>6</v>
      </c>
      <c r="E701" s="82" t="s">
        <v>6</v>
      </c>
      <c r="F701" s="82" t="s">
        <v>6</v>
      </c>
      <c r="G701" s="83" t="s">
        <v>6</v>
      </c>
    </row>
    <row r="702" ht="22.5" customHeight="1">
      <c r="A702" s="80"/>
      <c r="B702" s="81"/>
      <c r="C702" s="82"/>
      <c r="D702" s="82" t="s">
        <v>6</v>
      </c>
      <c r="E702" s="82" t="s">
        <v>6</v>
      </c>
      <c r="F702" s="82" t="s">
        <v>6</v>
      </c>
      <c r="G702" s="83" t="s">
        <v>6</v>
      </c>
    </row>
    <row r="703" ht="22.5" customHeight="1">
      <c r="A703" s="80"/>
      <c r="B703" s="81"/>
      <c r="C703" s="82"/>
      <c r="D703" s="82" t="s">
        <v>6</v>
      </c>
      <c r="E703" s="82" t="s">
        <v>6</v>
      </c>
      <c r="F703" s="82" t="s">
        <v>6</v>
      </c>
      <c r="G703" s="83" t="s">
        <v>6</v>
      </c>
    </row>
    <row r="704" ht="22.5" customHeight="1">
      <c r="A704" s="80"/>
      <c r="B704" s="81"/>
      <c r="C704" s="82"/>
      <c r="D704" s="82" t="s">
        <v>6</v>
      </c>
      <c r="E704" s="82" t="s">
        <v>6</v>
      </c>
      <c r="F704" s="82" t="s">
        <v>6</v>
      </c>
      <c r="G704" s="83" t="s">
        <v>6</v>
      </c>
    </row>
    <row r="705" ht="22.5" customHeight="1">
      <c r="A705" s="80"/>
      <c r="B705" s="81"/>
      <c r="C705" s="82"/>
      <c r="D705" s="82" t="s">
        <v>6</v>
      </c>
      <c r="E705" s="82" t="s">
        <v>6</v>
      </c>
      <c r="F705" s="82" t="s">
        <v>6</v>
      </c>
      <c r="G705" s="83" t="s">
        <v>6</v>
      </c>
    </row>
    <row r="706" ht="22.5" customHeight="1">
      <c r="A706" s="80"/>
      <c r="B706" s="81"/>
      <c r="C706" s="82"/>
      <c r="D706" s="82" t="s">
        <v>6</v>
      </c>
      <c r="E706" s="82" t="s">
        <v>6</v>
      </c>
      <c r="F706" s="82" t="s">
        <v>6</v>
      </c>
      <c r="G706" s="83" t="s">
        <v>6</v>
      </c>
    </row>
    <row r="707" ht="22.5" customHeight="1">
      <c r="A707" s="80"/>
      <c r="B707" s="81"/>
      <c r="C707" s="82"/>
      <c r="D707" s="82" t="s">
        <v>6</v>
      </c>
      <c r="E707" s="82" t="s">
        <v>6</v>
      </c>
      <c r="F707" s="82" t="s">
        <v>6</v>
      </c>
      <c r="G707" s="83" t="s">
        <v>6</v>
      </c>
    </row>
    <row r="708" ht="22.5" customHeight="1">
      <c r="A708" s="80"/>
      <c r="B708" s="81"/>
      <c r="C708" s="82"/>
      <c r="D708" s="82" t="s">
        <v>6</v>
      </c>
      <c r="E708" s="82" t="s">
        <v>6</v>
      </c>
      <c r="F708" s="82" t="s">
        <v>6</v>
      </c>
      <c r="G708" s="83" t="s">
        <v>6</v>
      </c>
    </row>
    <row r="709" ht="22.5" customHeight="1">
      <c r="A709" s="80"/>
      <c r="B709" s="81"/>
      <c r="C709" s="82"/>
      <c r="D709" s="82" t="s">
        <v>6</v>
      </c>
      <c r="E709" s="82" t="s">
        <v>6</v>
      </c>
      <c r="F709" s="82" t="s">
        <v>6</v>
      </c>
      <c r="G709" s="83" t="s">
        <v>6</v>
      </c>
    </row>
    <row r="710" ht="22.5" customHeight="1">
      <c r="A710" s="80"/>
      <c r="B710" s="81"/>
      <c r="C710" s="82"/>
      <c r="D710" s="82" t="s">
        <v>6</v>
      </c>
      <c r="E710" s="82" t="s">
        <v>6</v>
      </c>
      <c r="F710" s="82" t="s">
        <v>6</v>
      </c>
      <c r="G710" s="83" t="s">
        <v>6</v>
      </c>
    </row>
    <row r="711" ht="22.5" customHeight="1">
      <c r="A711" s="80"/>
      <c r="B711" s="81"/>
      <c r="C711" s="82"/>
      <c r="D711" s="82" t="s">
        <v>6</v>
      </c>
      <c r="E711" s="82" t="s">
        <v>6</v>
      </c>
      <c r="F711" s="82" t="s">
        <v>6</v>
      </c>
      <c r="G711" s="83" t="s">
        <v>6</v>
      </c>
    </row>
    <row r="712" ht="22.5" customHeight="1">
      <c r="A712" s="80"/>
      <c r="B712" s="81"/>
      <c r="C712" s="82"/>
      <c r="D712" s="82" t="s">
        <v>6</v>
      </c>
      <c r="E712" s="82" t="s">
        <v>6</v>
      </c>
      <c r="F712" s="82" t="s">
        <v>6</v>
      </c>
      <c r="G712" s="83" t="s">
        <v>6</v>
      </c>
    </row>
    <row r="713" ht="22.5" customHeight="1">
      <c r="A713" s="80"/>
      <c r="B713" s="81"/>
      <c r="C713" s="82"/>
      <c r="D713" s="82" t="s">
        <v>6</v>
      </c>
      <c r="E713" s="82" t="s">
        <v>6</v>
      </c>
      <c r="F713" s="82" t="s">
        <v>6</v>
      </c>
      <c r="G713" s="83" t="s">
        <v>6</v>
      </c>
    </row>
    <row r="714" ht="22.5" customHeight="1">
      <c r="A714" s="80"/>
      <c r="B714" s="81"/>
      <c r="C714" s="82"/>
      <c r="D714" s="82" t="s">
        <v>6</v>
      </c>
      <c r="E714" s="82" t="s">
        <v>6</v>
      </c>
      <c r="F714" s="82" t="s">
        <v>6</v>
      </c>
      <c r="G714" s="83" t="s">
        <v>6</v>
      </c>
    </row>
    <row r="715" ht="22.5" customHeight="1">
      <c r="A715" s="80"/>
      <c r="B715" s="81"/>
      <c r="C715" s="82"/>
      <c r="D715" s="82" t="s">
        <v>6</v>
      </c>
      <c r="E715" s="82" t="s">
        <v>6</v>
      </c>
      <c r="F715" s="82" t="s">
        <v>6</v>
      </c>
      <c r="G715" s="83" t="s">
        <v>6</v>
      </c>
    </row>
    <row r="716" ht="22.5" customHeight="1">
      <c r="A716" s="80"/>
      <c r="B716" s="81"/>
      <c r="C716" s="82"/>
      <c r="D716" s="82" t="s">
        <v>6</v>
      </c>
      <c r="E716" s="82" t="s">
        <v>6</v>
      </c>
      <c r="F716" s="82" t="s">
        <v>6</v>
      </c>
      <c r="G716" s="83" t="s">
        <v>6</v>
      </c>
    </row>
    <row r="717" ht="22.5" customHeight="1">
      <c r="A717" s="80"/>
      <c r="B717" s="81"/>
      <c r="C717" s="82"/>
      <c r="D717" s="82" t="s">
        <v>6</v>
      </c>
      <c r="E717" s="82" t="s">
        <v>6</v>
      </c>
      <c r="F717" s="82" t="s">
        <v>6</v>
      </c>
      <c r="G717" s="83" t="s">
        <v>6</v>
      </c>
    </row>
    <row r="718" ht="22.5" customHeight="1">
      <c r="A718" s="80"/>
      <c r="B718" s="81"/>
      <c r="C718" s="82"/>
      <c r="D718" s="82" t="s">
        <v>6</v>
      </c>
      <c r="E718" s="82" t="s">
        <v>6</v>
      </c>
      <c r="F718" s="82" t="s">
        <v>6</v>
      </c>
      <c r="G718" s="83" t="s">
        <v>6</v>
      </c>
    </row>
    <row r="719" ht="22.5" customHeight="1">
      <c r="A719" s="80"/>
      <c r="B719" s="81"/>
      <c r="C719" s="82"/>
      <c r="D719" s="82" t="s">
        <v>6</v>
      </c>
      <c r="E719" s="82" t="s">
        <v>6</v>
      </c>
      <c r="F719" s="82" t="s">
        <v>6</v>
      </c>
      <c r="G719" s="83" t="s">
        <v>6</v>
      </c>
    </row>
    <row r="720" ht="22.5" customHeight="1">
      <c r="A720" s="80"/>
      <c r="B720" s="81"/>
      <c r="C720" s="82"/>
      <c r="D720" s="82" t="s">
        <v>6</v>
      </c>
      <c r="E720" s="82" t="s">
        <v>6</v>
      </c>
      <c r="F720" s="82" t="s">
        <v>6</v>
      </c>
      <c r="G720" s="83" t="s">
        <v>6</v>
      </c>
    </row>
    <row r="721" ht="22.5" customHeight="1">
      <c r="A721" s="80"/>
      <c r="B721" s="81"/>
      <c r="C721" s="82"/>
      <c r="D721" s="82" t="s">
        <v>6</v>
      </c>
      <c r="E721" s="82" t="s">
        <v>6</v>
      </c>
      <c r="F721" s="82" t="s">
        <v>6</v>
      </c>
      <c r="G721" s="83" t="s">
        <v>6</v>
      </c>
    </row>
    <row r="722" ht="22.5" customHeight="1">
      <c r="A722" s="80"/>
      <c r="B722" s="81"/>
      <c r="C722" s="82"/>
      <c r="D722" s="82" t="s">
        <v>6</v>
      </c>
      <c r="E722" s="82" t="s">
        <v>6</v>
      </c>
      <c r="F722" s="82" t="s">
        <v>6</v>
      </c>
      <c r="G722" s="83" t="s">
        <v>6</v>
      </c>
    </row>
    <row r="723" ht="22.5" customHeight="1">
      <c r="A723" s="80"/>
      <c r="B723" s="81"/>
      <c r="C723" s="82"/>
      <c r="D723" s="82" t="s">
        <v>6</v>
      </c>
      <c r="E723" s="82" t="s">
        <v>6</v>
      </c>
      <c r="F723" s="82" t="s">
        <v>6</v>
      </c>
      <c r="G723" s="83" t="s">
        <v>6</v>
      </c>
    </row>
    <row r="724" ht="22.5" customHeight="1">
      <c r="A724" s="80"/>
      <c r="B724" s="81"/>
      <c r="C724" s="82"/>
      <c r="D724" s="82" t="s">
        <v>6</v>
      </c>
      <c r="E724" s="82" t="s">
        <v>6</v>
      </c>
      <c r="F724" s="82" t="s">
        <v>6</v>
      </c>
      <c r="G724" s="83" t="s">
        <v>6</v>
      </c>
    </row>
    <row r="725" ht="22.5" customHeight="1">
      <c r="A725" s="80"/>
      <c r="B725" s="81"/>
      <c r="C725" s="82"/>
      <c r="D725" s="82" t="s">
        <v>6</v>
      </c>
      <c r="E725" s="82" t="s">
        <v>6</v>
      </c>
      <c r="F725" s="82" t="s">
        <v>6</v>
      </c>
      <c r="G725" s="83" t="s">
        <v>6</v>
      </c>
    </row>
    <row r="726" ht="22.5" customHeight="1">
      <c r="A726" s="80"/>
      <c r="B726" s="81"/>
      <c r="C726" s="82"/>
      <c r="D726" s="82" t="s">
        <v>6</v>
      </c>
      <c r="E726" s="82" t="s">
        <v>6</v>
      </c>
      <c r="F726" s="82" t="s">
        <v>6</v>
      </c>
      <c r="G726" s="83" t="s">
        <v>6</v>
      </c>
    </row>
    <row r="727" ht="22.5" customHeight="1">
      <c r="A727" s="80"/>
      <c r="B727" s="81"/>
      <c r="C727" s="82"/>
      <c r="D727" s="82" t="s">
        <v>6</v>
      </c>
      <c r="E727" s="82" t="s">
        <v>6</v>
      </c>
      <c r="F727" s="82" t="s">
        <v>6</v>
      </c>
      <c r="G727" s="83" t="s">
        <v>6</v>
      </c>
    </row>
    <row r="728" ht="22.5" customHeight="1">
      <c r="A728" s="80"/>
      <c r="B728" s="81"/>
      <c r="C728" s="82"/>
      <c r="D728" s="82" t="s">
        <v>6</v>
      </c>
      <c r="E728" s="82" t="s">
        <v>6</v>
      </c>
      <c r="F728" s="82" t="s">
        <v>6</v>
      </c>
      <c r="G728" s="83" t="s">
        <v>6</v>
      </c>
    </row>
    <row r="729" ht="22.5" customHeight="1">
      <c r="A729" s="80"/>
      <c r="B729" s="81"/>
      <c r="C729" s="82"/>
      <c r="D729" s="82" t="s">
        <v>6</v>
      </c>
      <c r="E729" s="82" t="s">
        <v>6</v>
      </c>
      <c r="F729" s="82" t="s">
        <v>6</v>
      </c>
      <c r="G729" s="83" t="s">
        <v>6</v>
      </c>
    </row>
    <row r="730" ht="22.5" customHeight="1">
      <c r="A730" s="80"/>
      <c r="B730" s="81"/>
      <c r="C730" s="82"/>
      <c r="D730" s="82" t="s">
        <v>6</v>
      </c>
      <c r="E730" s="82" t="s">
        <v>6</v>
      </c>
      <c r="F730" s="82" t="s">
        <v>6</v>
      </c>
      <c r="G730" s="83" t="s">
        <v>6</v>
      </c>
    </row>
    <row r="731" ht="22.5" customHeight="1">
      <c r="A731" s="80"/>
      <c r="B731" s="81"/>
      <c r="C731" s="82"/>
      <c r="D731" s="82" t="s">
        <v>6</v>
      </c>
      <c r="E731" s="82" t="s">
        <v>6</v>
      </c>
      <c r="F731" s="82" t="s">
        <v>6</v>
      </c>
      <c r="G731" s="83" t="s">
        <v>6</v>
      </c>
    </row>
    <row r="732" ht="22.5" customHeight="1">
      <c r="A732" s="80"/>
      <c r="B732" s="81"/>
      <c r="C732" s="82"/>
      <c r="D732" s="82" t="s">
        <v>6</v>
      </c>
      <c r="E732" s="82" t="s">
        <v>6</v>
      </c>
      <c r="F732" s="82" t="s">
        <v>6</v>
      </c>
      <c r="G732" s="83" t="s">
        <v>6</v>
      </c>
    </row>
    <row r="733" ht="22.5" customHeight="1">
      <c r="A733" s="80"/>
      <c r="B733" s="81"/>
      <c r="C733" s="82"/>
      <c r="D733" s="82" t="s">
        <v>6</v>
      </c>
      <c r="E733" s="82" t="s">
        <v>6</v>
      </c>
      <c r="F733" s="82" t="s">
        <v>6</v>
      </c>
      <c r="G733" s="83" t="s">
        <v>6</v>
      </c>
    </row>
    <row r="734" ht="22.5" customHeight="1">
      <c r="A734" s="80"/>
      <c r="B734" s="81"/>
      <c r="C734" s="82"/>
      <c r="D734" s="82" t="s">
        <v>6</v>
      </c>
      <c r="E734" s="82" t="s">
        <v>6</v>
      </c>
      <c r="F734" s="82" t="s">
        <v>6</v>
      </c>
      <c r="G734" s="83" t="s">
        <v>6</v>
      </c>
    </row>
    <row r="735" ht="22.5" customHeight="1">
      <c r="A735" s="80"/>
      <c r="B735" s="81"/>
      <c r="C735" s="82"/>
      <c r="D735" s="82" t="s">
        <v>6</v>
      </c>
      <c r="E735" s="82" t="s">
        <v>6</v>
      </c>
      <c r="F735" s="82" t="s">
        <v>6</v>
      </c>
      <c r="G735" s="83" t="s">
        <v>6</v>
      </c>
    </row>
    <row r="736" ht="22.5" customHeight="1">
      <c r="A736" s="80"/>
      <c r="B736" s="81"/>
      <c r="C736" s="82"/>
      <c r="D736" s="82" t="s">
        <v>6</v>
      </c>
      <c r="E736" s="82" t="s">
        <v>6</v>
      </c>
      <c r="F736" s="82" t="s">
        <v>6</v>
      </c>
      <c r="G736" s="83" t="s">
        <v>6</v>
      </c>
    </row>
    <row r="737" ht="22.5" customHeight="1">
      <c r="A737" s="80"/>
      <c r="B737" s="81"/>
      <c r="C737" s="82"/>
      <c r="D737" s="82" t="s">
        <v>6</v>
      </c>
      <c r="E737" s="82" t="s">
        <v>6</v>
      </c>
      <c r="F737" s="82" t="s">
        <v>6</v>
      </c>
      <c r="G737" s="83" t="s">
        <v>6</v>
      </c>
    </row>
    <row r="738" ht="22.5" customHeight="1">
      <c r="A738" s="80"/>
      <c r="B738" s="81"/>
      <c r="C738" s="82"/>
      <c r="D738" s="82" t="s">
        <v>6</v>
      </c>
      <c r="E738" s="82" t="s">
        <v>6</v>
      </c>
      <c r="F738" s="82" t="s">
        <v>6</v>
      </c>
      <c r="G738" s="83" t="s">
        <v>6</v>
      </c>
    </row>
    <row r="739" ht="22.5" customHeight="1">
      <c r="A739" s="80"/>
      <c r="B739" s="81"/>
      <c r="C739" s="82"/>
      <c r="D739" s="82" t="s">
        <v>6</v>
      </c>
      <c r="E739" s="82" t="s">
        <v>6</v>
      </c>
      <c r="F739" s="82" t="s">
        <v>6</v>
      </c>
      <c r="G739" s="83" t="s">
        <v>6</v>
      </c>
    </row>
    <row r="740" ht="22.5" customHeight="1">
      <c r="A740" s="80"/>
      <c r="B740" s="81"/>
      <c r="C740" s="82"/>
      <c r="D740" s="82" t="s">
        <v>6</v>
      </c>
      <c r="E740" s="82" t="s">
        <v>6</v>
      </c>
      <c r="F740" s="82" t="s">
        <v>6</v>
      </c>
      <c r="G740" s="83" t="s">
        <v>6</v>
      </c>
    </row>
    <row r="741" ht="22.5" customHeight="1">
      <c r="A741" s="80"/>
      <c r="B741" s="81"/>
      <c r="C741" s="82"/>
      <c r="D741" s="82" t="s">
        <v>6</v>
      </c>
      <c r="E741" s="82" t="s">
        <v>6</v>
      </c>
      <c r="F741" s="82" t="s">
        <v>6</v>
      </c>
      <c r="G741" s="83" t="s">
        <v>6</v>
      </c>
    </row>
    <row r="742" ht="22.5" customHeight="1">
      <c r="A742" s="80"/>
      <c r="B742" s="81"/>
      <c r="C742" s="82"/>
      <c r="D742" s="82" t="s">
        <v>6</v>
      </c>
      <c r="E742" s="82" t="s">
        <v>6</v>
      </c>
      <c r="F742" s="82" t="s">
        <v>6</v>
      </c>
      <c r="G742" s="83" t="s">
        <v>6</v>
      </c>
    </row>
    <row r="743" ht="22.5" customHeight="1">
      <c r="A743" s="80"/>
      <c r="B743" s="81"/>
      <c r="C743" s="82"/>
      <c r="D743" s="82" t="s">
        <v>6</v>
      </c>
      <c r="E743" s="82" t="s">
        <v>6</v>
      </c>
      <c r="F743" s="82" t="s">
        <v>6</v>
      </c>
      <c r="G743" s="83" t="s">
        <v>6</v>
      </c>
    </row>
    <row r="744" ht="22.5" customHeight="1">
      <c r="A744" s="80"/>
      <c r="B744" s="81"/>
      <c r="C744" s="82"/>
      <c r="D744" s="82" t="s">
        <v>6</v>
      </c>
      <c r="E744" s="82" t="s">
        <v>6</v>
      </c>
      <c r="F744" s="82" t="s">
        <v>6</v>
      </c>
      <c r="G744" s="83" t="s">
        <v>6</v>
      </c>
    </row>
    <row r="745" ht="22.5" customHeight="1">
      <c r="A745" s="80"/>
      <c r="B745" s="81"/>
      <c r="C745" s="82"/>
      <c r="D745" s="82" t="s">
        <v>6</v>
      </c>
      <c r="E745" s="82" t="s">
        <v>6</v>
      </c>
      <c r="F745" s="82" t="s">
        <v>6</v>
      </c>
      <c r="G745" s="83" t="s">
        <v>6</v>
      </c>
    </row>
    <row r="746" ht="22.5" customHeight="1">
      <c r="A746" s="80"/>
      <c r="B746" s="81"/>
      <c r="C746" s="82"/>
      <c r="D746" s="82" t="s">
        <v>6</v>
      </c>
      <c r="E746" s="82" t="s">
        <v>6</v>
      </c>
      <c r="F746" s="82" t="s">
        <v>6</v>
      </c>
      <c r="G746" s="83" t="s">
        <v>6</v>
      </c>
    </row>
    <row r="747" ht="22.5" customHeight="1">
      <c r="A747" s="80"/>
      <c r="B747" s="81"/>
      <c r="C747" s="82"/>
      <c r="D747" s="82" t="s">
        <v>6</v>
      </c>
      <c r="E747" s="82" t="s">
        <v>6</v>
      </c>
      <c r="F747" s="82" t="s">
        <v>6</v>
      </c>
      <c r="G747" s="83" t="s">
        <v>6</v>
      </c>
    </row>
    <row r="748" ht="22.5" customHeight="1">
      <c r="A748" s="80"/>
      <c r="B748" s="81"/>
      <c r="C748" s="82"/>
      <c r="D748" s="82" t="s">
        <v>6</v>
      </c>
      <c r="E748" s="82" t="s">
        <v>6</v>
      </c>
      <c r="F748" s="82" t="s">
        <v>6</v>
      </c>
      <c r="G748" s="83" t="s">
        <v>6</v>
      </c>
    </row>
    <row r="749" ht="22.5" customHeight="1">
      <c r="A749" s="80"/>
      <c r="B749" s="81"/>
      <c r="C749" s="82"/>
      <c r="D749" s="82" t="s">
        <v>6</v>
      </c>
      <c r="E749" s="82" t="s">
        <v>6</v>
      </c>
      <c r="F749" s="82" t="s">
        <v>6</v>
      </c>
      <c r="G749" s="83" t="s">
        <v>6</v>
      </c>
    </row>
    <row r="750" ht="22.5" customHeight="1">
      <c r="A750" s="80"/>
      <c r="B750" s="81"/>
      <c r="C750" s="82"/>
      <c r="D750" s="82" t="s">
        <v>6</v>
      </c>
      <c r="E750" s="82" t="s">
        <v>6</v>
      </c>
      <c r="F750" s="82" t="s">
        <v>6</v>
      </c>
      <c r="G750" s="83" t="s">
        <v>6</v>
      </c>
    </row>
    <row r="751" ht="22.5" customHeight="1">
      <c r="A751" s="80"/>
      <c r="B751" s="81"/>
      <c r="C751" s="82"/>
      <c r="D751" s="82" t="s">
        <v>6</v>
      </c>
      <c r="E751" s="82" t="s">
        <v>6</v>
      </c>
      <c r="F751" s="82" t="s">
        <v>6</v>
      </c>
      <c r="G751" s="83" t="s">
        <v>6</v>
      </c>
    </row>
    <row r="752" ht="22.5" customHeight="1">
      <c r="A752" s="80"/>
      <c r="B752" s="81"/>
      <c r="C752" s="82"/>
      <c r="D752" s="82" t="s">
        <v>6</v>
      </c>
      <c r="E752" s="82" t="s">
        <v>6</v>
      </c>
      <c r="F752" s="82" t="s">
        <v>6</v>
      </c>
      <c r="G752" s="83" t="s">
        <v>6</v>
      </c>
    </row>
    <row r="753" ht="22.5" customHeight="1">
      <c r="A753" s="80"/>
      <c r="B753" s="81"/>
      <c r="C753" s="82"/>
      <c r="D753" s="82" t="s">
        <v>6</v>
      </c>
      <c r="E753" s="82" t="s">
        <v>6</v>
      </c>
      <c r="F753" s="82" t="s">
        <v>6</v>
      </c>
      <c r="G753" s="83" t="s">
        <v>6</v>
      </c>
    </row>
    <row r="754" ht="22.5" customHeight="1">
      <c r="A754" s="80"/>
      <c r="B754" s="81"/>
      <c r="C754" s="82"/>
      <c r="D754" s="82" t="s">
        <v>6</v>
      </c>
      <c r="E754" s="82" t="s">
        <v>6</v>
      </c>
      <c r="F754" s="82" t="s">
        <v>6</v>
      </c>
      <c r="G754" s="83" t="s">
        <v>6</v>
      </c>
    </row>
    <row r="755" ht="22.5" customHeight="1">
      <c r="A755" s="80"/>
      <c r="B755" s="81"/>
      <c r="C755" s="82"/>
      <c r="D755" s="82" t="s">
        <v>6</v>
      </c>
      <c r="E755" s="82" t="s">
        <v>6</v>
      </c>
      <c r="F755" s="82" t="s">
        <v>6</v>
      </c>
      <c r="G755" s="83" t="s">
        <v>6</v>
      </c>
    </row>
    <row r="756" ht="22.5" customHeight="1">
      <c r="A756" s="80"/>
      <c r="B756" s="81"/>
      <c r="C756" s="82"/>
      <c r="D756" s="82" t="s">
        <v>6</v>
      </c>
      <c r="E756" s="82" t="s">
        <v>6</v>
      </c>
      <c r="F756" s="82" t="s">
        <v>6</v>
      </c>
      <c r="G756" s="83" t="s">
        <v>6</v>
      </c>
    </row>
    <row r="757" ht="22.5" customHeight="1">
      <c r="A757" s="80"/>
      <c r="B757" s="81"/>
      <c r="C757" s="82"/>
      <c r="D757" s="82" t="s">
        <v>6</v>
      </c>
      <c r="E757" s="82" t="s">
        <v>6</v>
      </c>
      <c r="F757" s="82" t="s">
        <v>6</v>
      </c>
      <c r="G757" s="83" t="s">
        <v>6</v>
      </c>
    </row>
    <row r="758" ht="22.5" customHeight="1">
      <c r="A758" s="80"/>
      <c r="B758" s="81"/>
      <c r="C758" s="82"/>
      <c r="D758" s="82" t="s">
        <v>6</v>
      </c>
      <c r="E758" s="82" t="s">
        <v>6</v>
      </c>
      <c r="F758" s="82" t="s">
        <v>6</v>
      </c>
      <c r="G758" s="83" t="s">
        <v>6</v>
      </c>
    </row>
    <row r="759" ht="22.5" customHeight="1">
      <c r="A759" s="80"/>
      <c r="B759" s="81"/>
      <c r="C759" s="82"/>
      <c r="D759" s="82" t="s">
        <v>6</v>
      </c>
      <c r="E759" s="82" t="s">
        <v>6</v>
      </c>
      <c r="F759" s="82" t="s">
        <v>6</v>
      </c>
      <c r="G759" s="83" t="s">
        <v>6</v>
      </c>
    </row>
    <row r="760" ht="22.5" customHeight="1">
      <c r="A760" s="80"/>
      <c r="B760" s="81"/>
      <c r="C760" s="82"/>
      <c r="D760" s="82" t="s">
        <v>6</v>
      </c>
      <c r="E760" s="82" t="s">
        <v>6</v>
      </c>
      <c r="F760" s="82" t="s">
        <v>6</v>
      </c>
      <c r="G760" s="83" t="s">
        <v>6</v>
      </c>
    </row>
    <row r="761" ht="22.5" customHeight="1">
      <c r="A761" s="80"/>
      <c r="B761" s="81"/>
      <c r="C761" s="82"/>
      <c r="D761" s="82" t="s">
        <v>6</v>
      </c>
      <c r="E761" s="82" t="s">
        <v>6</v>
      </c>
      <c r="F761" s="82" t="s">
        <v>6</v>
      </c>
      <c r="G761" s="83" t="s">
        <v>6</v>
      </c>
    </row>
    <row r="762" ht="22.5" customHeight="1">
      <c r="A762" s="80"/>
      <c r="B762" s="81"/>
      <c r="C762" s="82"/>
      <c r="D762" s="82" t="s">
        <v>6</v>
      </c>
      <c r="E762" s="82" t="s">
        <v>6</v>
      </c>
      <c r="F762" s="82" t="s">
        <v>6</v>
      </c>
      <c r="G762" s="83" t="s">
        <v>6</v>
      </c>
    </row>
    <row r="763" ht="22.5" customHeight="1">
      <c r="A763" s="80"/>
      <c r="B763" s="81"/>
      <c r="C763" s="82"/>
      <c r="D763" s="82" t="s">
        <v>6</v>
      </c>
      <c r="E763" s="82" t="s">
        <v>6</v>
      </c>
      <c r="F763" s="82" t="s">
        <v>6</v>
      </c>
      <c r="G763" s="83" t="s">
        <v>6</v>
      </c>
    </row>
    <row r="764" ht="22.5" customHeight="1">
      <c r="A764" s="80"/>
      <c r="B764" s="81"/>
      <c r="C764" s="82"/>
      <c r="D764" s="82" t="s">
        <v>6</v>
      </c>
      <c r="E764" s="82" t="s">
        <v>6</v>
      </c>
      <c r="F764" s="82" t="s">
        <v>6</v>
      </c>
      <c r="G764" s="83" t="s">
        <v>6</v>
      </c>
    </row>
    <row r="765" ht="22.5" customHeight="1">
      <c r="A765" s="80"/>
      <c r="B765" s="81"/>
      <c r="C765" s="82"/>
      <c r="D765" s="82" t="s">
        <v>6</v>
      </c>
      <c r="E765" s="82" t="s">
        <v>6</v>
      </c>
      <c r="F765" s="82" t="s">
        <v>6</v>
      </c>
      <c r="G765" s="83" t="s">
        <v>6</v>
      </c>
    </row>
    <row r="766" ht="22.5" customHeight="1">
      <c r="A766" s="80"/>
      <c r="B766" s="81"/>
      <c r="C766" s="82"/>
      <c r="D766" s="82" t="s">
        <v>6</v>
      </c>
      <c r="E766" s="82" t="s">
        <v>6</v>
      </c>
      <c r="F766" s="82" t="s">
        <v>6</v>
      </c>
      <c r="G766" s="83" t="s">
        <v>6</v>
      </c>
    </row>
    <row r="767" ht="22.5" customHeight="1">
      <c r="A767" s="80"/>
      <c r="B767" s="81"/>
      <c r="C767" s="82"/>
      <c r="D767" s="82" t="s">
        <v>6</v>
      </c>
      <c r="E767" s="82" t="s">
        <v>6</v>
      </c>
      <c r="F767" s="82" t="s">
        <v>6</v>
      </c>
      <c r="G767" s="83" t="s">
        <v>6</v>
      </c>
    </row>
    <row r="768" ht="22.5" customHeight="1">
      <c r="A768" s="80"/>
      <c r="B768" s="81"/>
      <c r="C768" s="82"/>
      <c r="D768" s="82" t="s">
        <v>6</v>
      </c>
      <c r="E768" s="82" t="s">
        <v>6</v>
      </c>
      <c r="F768" s="82" t="s">
        <v>6</v>
      </c>
      <c r="G768" s="83" t="s">
        <v>6</v>
      </c>
    </row>
    <row r="769" ht="22.5" customHeight="1">
      <c r="A769" s="80"/>
      <c r="B769" s="81"/>
      <c r="C769" s="82"/>
      <c r="D769" s="82" t="s">
        <v>6</v>
      </c>
      <c r="E769" s="82" t="s">
        <v>6</v>
      </c>
      <c r="F769" s="82" t="s">
        <v>6</v>
      </c>
      <c r="G769" s="83" t="s">
        <v>6</v>
      </c>
    </row>
    <row r="770" ht="22.5" customHeight="1">
      <c r="A770" s="80"/>
      <c r="B770" s="81"/>
      <c r="C770" s="82"/>
      <c r="D770" s="82" t="s">
        <v>6</v>
      </c>
      <c r="E770" s="82" t="s">
        <v>6</v>
      </c>
      <c r="F770" s="82" t="s">
        <v>6</v>
      </c>
      <c r="G770" s="83" t="s">
        <v>6</v>
      </c>
    </row>
    <row r="771" ht="22.5" customHeight="1">
      <c r="A771" s="80"/>
      <c r="B771" s="81"/>
      <c r="C771" s="82"/>
      <c r="D771" s="82" t="s">
        <v>6</v>
      </c>
      <c r="E771" s="82" t="s">
        <v>6</v>
      </c>
      <c r="F771" s="82" t="s">
        <v>6</v>
      </c>
      <c r="G771" s="83" t="s">
        <v>6</v>
      </c>
    </row>
    <row r="772" ht="22.5" customHeight="1">
      <c r="A772" s="80"/>
      <c r="B772" s="81"/>
      <c r="C772" s="82"/>
      <c r="D772" s="82" t="s">
        <v>6</v>
      </c>
      <c r="E772" s="82" t="s">
        <v>6</v>
      </c>
      <c r="F772" s="82" t="s">
        <v>6</v>
      </c>
      <c r="G772" s="83" t="s">
        <v>6</v>
      </c>
    </row>
    <row r="773" ht="22.5" customHeight="1">
      <c r="A773" s="80"/>
      <c r="B773" s="81"/>
      <c r="C773" s="82"/>
      <c r="D773" s="82" t="s">
        <v>6</v>
      </c>
      <c r="E773" s="82" t="s">
        <v>6</v>
      </c>
      <c r="F773" s="82" t="s">
        <v>6</v>
      </c>
      <c r="G773" s="83" t="s">
        <v>6</v>
      </c>
    </row>
    <row r="774" ht="22.5" customHeight="1">
      <c r="A774" s="80"/>
      <c r="B774" s="81"/>
      <c r="C774" s="82"/>
      <c r="D774" s="82" t="s">
        <v>6</v>
      </c>
      <c r="E774" s="82" t="s">
        <v>6</v>
      </c>
      <c r="F774" s="82" t="s">
        <v>6</v>
      </c>
      <c r="G774" s="83" t="s">
        <v>6</v>
      </c>
    </row>
    <row r="775" ht="22.5" customHeight="1">
      <c r="A775" s="80"/>
      <c r="B775" s="81"/>
      <c r="C775" s="82"/>
      <c r="D775" s="82" t="s">
        <v>6</v>
      </c>
      <c r="E775" s="82" t="s">
        <v>6</v>
      </c>
      <c r="F775" s="82" t="s">
        <v>6</v>
      </c>
      <c r="G775" s="83" t="s">
        <v>6</v>
      </c>
    </row>
    <row r="776" ht="22.5" customHeight="1">
      <c r="A776" s="80"/>
      <c r="B776" s="81"/>
      <c r="C776" s="82"/>
      <c r="D776" s="82" t="s">
        <v>6</v>
      </c>
      <c r="E776" s="82" t="s">
        <v>6</v>
      </c>
      <c r="F776" s="82" t="s">
        <v>6</v>
      </c>
      <c r="G776" s="83" t="s">
        <v>6</v>
      </c>
    </row>
    <row r="777" ht="22.5" customHeight="1">
      <c r="A777" s="80"/>
      <c r="B777" s="81"/>
      <c r="C777" s="82"/>
      <c r="D777" s="82" t="s">
        <v>6</v>
      </c>
      <c r="E777" s="82" t="s">
        <v>6</v>
      </c>
      <c r="F777" s="82" t="s">
        <v>6</v>
      </c>
      <c r="G777" s="83" t="s">
        <v>6</v>
      </c>
    </row>
    <row r="778" ht="22.5" customHeight="1">
      <c r="A778" s="80"/>
      <c r="B778" s="81"/>
      <c r="C778" s="82"/>
      <c r="D778" s="82" t="s">
        <v>6</v>
      </c>
      <c r="E778" s="82" t="s">
        <v>6</v>
      </c>
      <c r="F778" s="82" t="s">
        <v>6</v>
      </c>
      <c r="G778" s="83" t="s">
        <v>6</v>
      </c>
    </row>
    <row r="779" ht="22.5" customHeight="1">
      <c r="A779" s="80"/>
      <c r="B779" s="81"/>
      <c r="C779" s="82"/>
      <c r="D779" s="82" t="s">
        <v>6</v>
      </c>
      <c r="E779" s="82" t="s">
        <v>6</v>
      </c>
      <c r="F779" s="82" t="s">
        <v>6</v>
      </c>
      <c r="G779" s="83" t="s">
        <v>6</v>
      </c>
    </row>
    <row r="780" ht="22.5" customHeight="1">
      <c r="A780" s="80"/>
      <c r="B780" s="81"/>
      <c r="C780" s="82"/>
      <c r="D780" s="82" t="s">
        <v>6</v>
      </c>
      <c r="E780" s="82" t="s">
        <v>6</v>
      </c>
      <c r="F780" s="82" t="s">
        <v>6</v>
      </c>
      <c r="G780" s="83" t="s">
        <v>6</v>
      </c>
    </row>
    <row r="781" ht="22.5" customHeight="1">
      <c r="A781" s="80"/>
      <c r="B781" s="81"/>
      <c r="C781" s="82"/>
      <c r="D781" s="82" t="s">
        <v>6</v>
      </c>
      <c r="E781" s="82" t="s">
        <v>6</v>
      </c>
      <c r="F781" s="82" t="s">
        <v>6</v>
      </c>
      <c r="G781" s="83" t="s">
        <v>6</v>
      </c>
    </row>
    <row r="782" ht="22.5" customHeight="1">
      <c r="A782" s="80"/>
      <c r="B782" s="81"/>
      <c r="C782" s="82"/>
      <c r="D782" s="82" t="s">
        <v>6</v>
      </c>
      <c r="E782" s="82" t="s">
        <v>6</v>
      </c>
      <c r="F782" s="82" t="s">
        <v>6</v>
      </c>
      <c r="G782" s="83" t="s">
        <v>6</v>
      </c>
    </row>
    <row r="783" ht="22.5" customHeight="1">
      <c r="A783" s="80"/>
      <c r="B783" s="81"/>
      <c r="C783" s="82"/>
      <c r="D783" s="82" t="s">
        <v>6</v>
      </c>
      <c r="E783" s="82" t="s">
        <v>6</v>
      </c>
      <c r="F783" s="82" t="s">
        <v>6</v>
      </c>
      <c r="G783" s="83" t="s">
        <v>6</v>
      </c>
    </row>
    <row r="784" ht="22.5" customHeight="1">
      <c r="A784" s="80"/>
      <c r="B784" s="81"/>
      <c r="C784" s="82"/>
      <c r="D784" s="82" t="s">
        <v>6</v>
      </c>
      <c r="E784" s="82" t="s">
        <v>6</v>
      </c>
      <c r="F784" s="82" t="s">
        <v>6</v>
      </c>
      <c r="G784" s="83" t="s">
        <v>6</v>
      </c>
    </row>
    <row r="785" ht="22.5" customHeight="1">
      <c r="A785" s="80"/>
      <c r="B785" s="81"/>
      <c r="C785" s="82"/>
      <c r="D785" s="82" t="s">
        <v>6</v>
      </c>
      <c r="E785" s="82" t="s">
        <v>6</v>
      </c>
      <c r="F785" s="82" t="s">
        <v>6</v>
      </c>
      <c r="G785" s="83" t="s">
        <v>6</v>
      </c>
    </row>
    <row r="786" ht="22.5" customHeight="1">
      <c r="A786" s="80"/>
      <c r="B786" s="81"/>
      <c r="C786" s="82"/>
      <c r="D786" s="82" t="s">
        <v>6</v>
      </c>
      <c r="E786" s="82" t="s">
        <v>6</v>
      </c>
      <c r="F786" s="82" t="s">
        <v>6</v>
      </c>
      <c r="G786" s="83" t="s">
        <v>6</v>
      </c>
    </row>
    <row r="787" ht="22.5" customHeight="1">
      <c r="A787" s="80"/>
      <c r="B787" s="81"/>
      <c r="C787" s="82"/>
      <c r="D787" s="82" t="s">
        <v>6</v>
      </c>
      <c r="E787" s="82" t="s">
        <v>6</v>
      </c>
      <c r="F787" s="82" t="s">
        <v>6</v>
      </c>
      <c r="G787" s="83" t="s">
        <v>6</v>
      </c>
    </row>
    <row r="788" ht="22.5" customHeight="1">
      <c r="A788" s="80"/>
      <c r="B788" s="81"/>
      <c r="C788" s="82"/>
      <c r="D788" s="82" t="s">
        <v>6</v>
      </c>
      <c r="E788" s="82" t="s">
        <v>6</v>
      </c>
      <c r="F788" s="82" t="s">
        <v>6</v>
      </c>
      <c r="G788" s="83" t="s">
        <v>6</v>
      </c>
    </row>
    <row r="789" ht="22.5" customHeight="1">
      <c r="A789" s="80"/>
      <c r="B789" s="81"/>
      <c r="C789" s="82"/>
      <c r="D789" s="82" t="s">
        <v>6</v>
      </c>
      <c r="E789" s="82" t="s">
        <v>6</v>
      </c>
      <c r="F789" s="82" t="s">
        <v>6</v>
      </c>
      <c r="G789" s="83" t="s">
        <v>6</v>
      </c>
    </row>
    <row r="790" ht="22.5" customHeight="1">
      <c r="A790" s="80"/>
      <c r="B790" s="81"/>
      <c r="C790" s="82"/>
      <c r="D790" s="82" t="s">
        <v>6</v>
      </c>
      <c r="E790" s="82" t="s">
        <v>6</v>
      </c>
      <c r="F790" s="82" t="s">
        <v>6</v>
      </c>
      <c r="G790" s="83" t="s">
        <v>6</v>
      </c>
    </row>
    <row r="791" ht="22.5" customHeight="1">
      <c r="A791" s="80"/>
      <c r="B791" s="81"/>
      <c r="C791" s="82"/>
      <c r="D791" s="82" t="s">
        <v>6</v>
      </c>
      <c r="E791" s="82" t="s">
        <v>6</v>
      </c>
      <c r="F791" s="82" t="s">
        <v>6</v>
      </c>
      <c r="G791" s="83" t="s">
        <v>6</v>
      </c>
    </row>
    <row r="792" ht="22.5" customHeight="1">
      <c r="A792" s="80"/>
      <c r="B792" s="81"/>
      <c r="C792" s="82"/>
      <c r="D792" s="82" t="s">
        <v>6</v>
      </c>
      <c r="E792" s="82" t="s">
        <v>6</v>
      </c>
      <c r="F792" s="82" t="s">
        <v>6</v>
      </c>
      <c r="G792" s="83" t="s">
        <v>6</v>
      </c>
    </row>
    <row r="793" ht="22.5" customHeight="1">
      <c r="A793" s="80"/>
      <c r="B793" s="81"/>
      <c r="C793" s="82"/>
      <c r="D793" s="82" t="s">
        <v>6</v>
      </c>
      <c r="E793" s="82" t="s">
        <v>6</v>
      </c>
      <c r="F793" s="82" t="s">
        <v>6</v>
      </c>
      <c r="G793" s="83" t="s">
        <v>6</v>
      </c>
    </row>
    <row r="794" ht="22.5" customHeight="1">
      <c r="A794" s="80"/>
      <c r="B794" s="81"/>
      <c r="C794" s="82"/>
      <c r="D794" s="82" t="s">
        <v>6</v>
      </c>
      <c r="E794" s="82" t="s">
        <v>6</v>
      </c>
      <c r="F794" s="82" t="s">
        <v>6</v>
      </c>
      <c r="G794" s="83" t="s">
        <v>6</v>
      </c>
    </row>
    <row r="795" ht="22.5" customHeight="1">
      <c r="A795" s="80"/>
      <c r="B795" s="81"/>
      <c r="C795" s="82"/>
      <c r="D795" s="82" t="s">
        <v>6</v>
      </c>
      <c r="E795" s="82" t="s">
        <v>6</v>
      </c>
      <c r="F795" s="82" t="s">
        <v>6</v>
      </c>
      <c r="G795" s="83" t="s">
        <v>6</v>
      </c>
    </row>
    <row r="796" ht="22.5" customHeight="1">
      <c r="A796" s="80"/>
      <c r="B796" s="81"/>
      <c r="C796" s="82"/>
      <c r="D796" s="82" t="s">
        <v>6</v>
      </c>
      <c r="E796" s="82" t="s">
        <v>6</v>
      </c>
      <c r="F796" s="82" t="s">
        <v>6</v>
      </c>
      <c r="G796" s="83" t="s">
        <v>6</v>
      </c>
    </row>
    <row r="797" ht="22.5" customHeight="1">
      <c r="A797" s="80"/>
      <c r="B797" s="81"/>
      <c r="C797" s="82"/>
      <c r="D797" s="82" t="s">
        <v>6</v>
      </c>
      <c r="E797" s="82" t="s">
        <v>6</v>
      </c>
      <c r="F797" s="82" t="s">
        <v>6</v>
      </c>
      <c r="G797" s="83" t="s">
        <v>6</v>
      </c>
    </row>
    <row r="798" ht="22.5" customHeight="1">
      <c r="A798" s="80"/>
      <c r="B798" s="81"/>
      <c r="C798" s="82"/>
      <c r="D798" s="82" t="s">
        <v>6</v>
      </c>
      <c r="E798" s="82" t="s">
        <v>6</v>
      </c>
      <c r="F798" s="82" t="s">
        <v>6</v>
      </c>
      <c r="G798" s="83" t="s">
        <v>6</v>
      </c>
    </row>
    <row r="799" ht="22.5" customHeight="1">
      <c r="A799" s="80"/>
      <c r="B799" s="81"/>
      <c r="C799" s="82"/>
      <c r="D799" s="82" t="s">
        <v>6</v>
      </c>
      <c r="E799" s="82" t="s">
        <v>6</v>
      </c>
      <c r="F799" s="82" t="s">
        <v>6</v>
      </c>
      <c r="G799" s="83" t="s">
        <v>6</v>
      </c>
    </row>
    <row r="800" ht="22.5" customHeight="1">
      <c r="A800" s="80"/>
      <c r="B800" s="81"/>
      <c r="C800" s="82"/>
      <c r="D800" s="82" t="s">
        <v>6</v>
      </c>
      <c r="E800" s="82" t="s">
        <v>6</v>
      </c>
      <c r="F800" s="82" t="s">
        <v>6</v>
      </c>
      <c r="G800" s="83" t="s">
        <v>6</v>
      </c>
    </row>
    <row r="801" ht="22.5" customHeight="1">
      <c r="A801" s="80"/>
      <c r="B801" s="81"/>
      <c r="C801" s="82"/>
      <c r="D801" s="82" t="s">
        <v>6</v>
      </c>
      <c r="E801" s="82" t="s">
        <v>6</v>
      </c>
      <c r="F801" s="82" t="s">
        <v>6</v>
      </c>
      <c r="G801" s="83" t="s">
        <v>6</v>
      </c>
    </row>
    <row r="802" ht="22.5" customHeight="1">
      <c r="A802" s="80"/>
      <c r="B802" s="81"/>
      <c r="C802" s="82"/>
      <c r="D802" s="82" t="s">
        <v>6</v>
      </c>
      <c r="E802" s="82" t="s">
        <v>6</v>
      </c>
      <c r="F802" s="82" t="s">
        <v>6</v>
      </c>
      <c r="G802" s="83" t="s">
        <v>6</v>
      </c>
    </row>
    <row r="803" ht="22.5" customHeight="1">
      <c r="A803" s="80"/>
      <c r="B803" s="81"/>
      <c r="C803" s="82"/>
      <c r="D803" s="82" t="s">
        <v>6</v>
      </c>
      <c r="E803" s="82" t="s">
        <v>6</v>
      </c>
      <c r="F803" s="82" t="s">
        <v>6</v>
      </c>
      <c r="G803" s="83" t="s">
        <v>6</v>
      </c>
    </row>
    <row r="804" ht="22.5" customHeight="1">
      <c r="A804" s="80"/>
      <c r="B804" s="81"/>
      <c r="C804" s="82"/>
      <c r="D804" s="82" t="s">
        <v>6</v>
      </c>
      <c r="E804" s="82" t="s">
        <v>6</v>
      </c>
      <c r="F804" s="82" t="s">
        <v>6</v>
      </c>
      <c r="G804" s="83" t="s">
        <v>6</v>
      </c>
    </row>
    <row r="805" ht="22.5" customHeight="1">
      <c r="A805" s="80"/>
      <c r="B805" s="81"/>
      <c r="C805" s="82"/>
      <c r="D805" s="82" t="s">
        <v>6</v>
      </c>
      <c r="E805" s="82" t="s">
        <v>6</v>
      </c>
      <c r="F805" s="82" t="s">
        <v>6</v>
      </c>
      <c r="G805" s="83" t="s">
        <v>6</v>
      </c>
    </row>
    <row r="806" ht="22.5" customHeight="1">
      <c r="A806" s="80"/>
      <c r="B806" s="81"/>
      <c r="C806" s="82"/>
      <c r="D806" s="82" t="s">
        <v>6</v>
      </c>
      <c r="E806" s="82" t="s">
        <v>6</v>
      </c>
      <c r="F806" s="82" t="s">
        <v>6</v>
      </c>
      <c r="G806" s="83" t="s">
        <v>6</v>
      </c>
    </row>
    <row r="807" ht="22.5" customHeight="1">
      <c r="A807" s="80"/>
      <c r="B807" s="81"/>
      <c r="C807" s="82"/>
      <c r="D807" s="82" t="s">
        <v>6</v>
      </c>
      <c r="E807" s="82" t="s">
        <v>6</v>
      </c>
      <c r="F807" s="82" t="s">
        <v>6</v>
      </c>
      <c r="G807" s="83" t="s">
        <v>6</v>
      </c>
    </row>
    <row r="808" ht="22.5" customHeight="1">
      <c r="A808" s="80"/>
      <c r="B808" s="81"/>
      <c r="C808" s="82"/>
      <c r="D808" s="82" t="s">
        <v>6</v>
      </c>
      <c r="E808" s="82" t="s">
        <v>6</v>
      </c>
      <c r="F808" s="82" t="s">
        <v>6</v>
      </c>
      <c r="G808" s="83" t="s">
        <v>6</v>
      </c>
    </row>
    <row r="809" ht="22.5" customHeight="1">
      <c r="A809" s="80"/>
      <c r="B809" s="81"/>
      <c r="C809" s="82"/>
      <c r="D809" s="82" t="s">
        <v>6</v>
      </c>
      <c r="E809" s="82" t="s">
        <v>6</v>
      </c>
      <c r="F809" s="82" t="s">
        <v>6</v>
      </c>
      <c r="G809" s="83" t="s">
        <v>6</v>
      </c>
    </row>
    <row r="810" ht="22.5" customHeight="1">
      <c r="A810" s="80"/>
      <c r="B810" s="81"/>
      <c r="C810" s="82"/>
      <c r="D810" s="82" t="s">
        <v>6</v>
      </c>
      <c r="E810" s="82" t="s">
        <v>6</v>
      </c>
      <c r="F810" s="82" t="s">
        <v>6</v>
      </c>
      <c r="G810" s="83" t="s">
        <v>6</v>
      </c>
    </row>
    <row r="811" ht="22.5" customHeight="1">
      <c r="A811" s="80"/>
      <c r="B811" s="81"/>
      <c r="C811" s="82"/>
      <c r="D811" s="82" t="s">
        <v>6</v>
      </c>
      <c r="E811" s="82" t="s">
        <v>6</v>
      </c>
      <c r="F811" s="82" t="s">
        <v>6</v>
      </c>
      <c r="G811" s="83" t="s">
        <v>6</v>
      </c>
    </row>
    <row r="812" ht="22.5" customHeight="1">
      <c r="A812" s="80"/>
      <c r="B812" s="81"/>
      <c r="C812" s="82"/>
      <c r="D812" s="82" t="s">
        <v>6</v>
      </c>
      <c r="E812" s="82" t="s">
        <v>6</v>
      </c>
      <c r="F812" s="82" t="s">
        <v>6</v>
      </c>
      <c r="G812" s="83" t="s">
        <v>6</v>
      </c>
    </row>
    <row r="813" ht="22.5" customHeight="1">
      <c r="A813" s="80"/>
      <c r="B813" s="81"/>
      <c r="C813" s="82"/>
      <c r="D813" s="82" t="s">
        <v>6</v>
      </c>
      <c r="E813" s="82" t="s">
        <v>6</v>
      </c>
      <c r="F813" s="82" t="s">
        <v>6</v>
      </c>
      <c r="G813" s="83" t="s">
        <v>6</v>
      </c>
    </row>
    <row r="814" ht="22.5" customHeight="1">
      <c r="A814" s="80"/>
      <c r="B814" s="81"/>
      <c r="C814" s="82"/>
      <c r="D814" s="82" t="s">
        <v>6</v>
      </c>
      <c r="E814" s="82" t="s">
        <v>6</v>
      </c>
      <c r="F814" s="82" t="s">
        <v>6</v>
      </c>
      <c r="G814" s="83" t="s">
        <v>6</v>
      </c>
    </row>
    <row r="815" ht="22.5" customHeight="1">
      <c r="A815" s="80"/>
      <c r="B815" s="81"/>
      <c r="C815" s="82"/>
      <c r="D815" s="82" t="s">
        <v>6</v>
      </c>
      <c r="E815" s="82" t="s">
        <v>6</v>
      </c>
      <c r="F815" s="82" t="s">
        <v>6</v>
      </c>
      <c r="G815" s="83" t="s">
        <v>6</v>
      </c>
    </row>
    <row r="816" ht="22.5" customHeight="1">
      <c r="A816" s="80"/>
      <c r="B816" s="81"/>
      <c r="C816" s="82"/>
      <c r="D816" s="82" t="s">
        <v>6</v>
      </c>
      <c r="E816" s="82" t="s">
        <v>6</v>
      </c>
      <c r="F816" s="82" t="s">
        <v>6</v>
      </c>
      <c r="G816" s="83" t="s">
        <v>6</v>
      </c>
    </row>
    <row r="817" ht="22.5" customHeight="1">
      <c r="A817" s="80"/>
      <c r="B817" s="81"/>
      <c r="C817" s="82"/>
      <c r="D817" s="82" t="s">
        <v>6</v>
      </c>
      <c r="E817" s="82" t="s">
        <v>6</v>
      </c>
      <c r="F817" s="82" t="s">
        <v>6</v>
      </c>
      <c r="G817" s="83" t="s">
        <v>6</v>
      </c>
    </row>
    <row r="818" ht="22.5" customHeight="1">
      <c r="A818" s="80"/>
      <c r="B818" s="81"/>
      <c r="C818" s="82"/>
      <c r="D818" s="82" t="s">
        <v>6</v>
      </c>
      <c r="E818" s="82" t="s">
        <v>6</v>
      </c>
      <c r="F818" s="82" t="s">
        <v>6</v>
      </c>
      <c r="G818" s="83" t="s">
        <v>6</v>
      </c>
    </row>
    <row r="819" ht="22.5" customHeight="1">
      <c r="A819" s="80"/>
      <c r="B819" s="81"/>
      <c r="C819" s="82"/>
      <c r="D819" s="82" t="s">
        <v>6</v>
      </c>
      <c r="E819" s="82" t="s">
        <v>6</v>
      </c>
      <c r="F819" s="82" t="s">
        <v>6</v>
      </c>
      <c r="G819" s="83" t="s">
        <v>6</v>
      </c>
    </row>
    <row r="820" ht="22.5" customHeight="1">
      <c r="A820" s="80"/>
      <c r="B820" s="81"/>
      <c r="C820" s="82"/>
      <c r="D820" s="82" t="s">
        <v>6</v>
      </c>
      <c r="E820" s="82" t="s">
        <v>6</v>
      </c>
      <c r="F820" s="82" t="s">
        <v>6</v>
      </c>
      <c r="G820" s="83" t="s">
        <v>6</v>
      </c>
    </row>
    <row r="821" ht="22.5" customHeight="1">
      <c r="A821" s="80"/>
      <c r="B821" s="81"/>
      <c r="C821" s="82"/>
      <c r="D821" s="82" t="s">
        <v>6</v>
      </c>
      <c r="E821" s="82" t="s">
        <v>6</v>
      </c>
      <c r="F821" s="82" t="s">
        <v>6</v>
      </c>
      <c r="G821" s="83" t="s">
        <v>6</v>
      </c>
    </row>
    <row r="822" ht="22.5" customHeight="1">
      <c r="A822" s="80"/>
      <c r="B822" s="81"/>
      <c r="C822" s="82"/>
      <c r="D822" s="82" t="s">
        <v>6</v>
      </c>
      <c r="E822" s="82" t="s">
        <v>6</v>
      </c>
      <c r="F822" s="82" t="s">
        <v>6</v>
      </c>
      <c r="G822" s="83" t="s">
        <v>6</v>
      </c>
    </row>
    <row r="823" ht="22.5" customHeight="1">
      <c r="A823" s="80"/>
      <c r="B823" s="81"/>
      <c r="C823" s="82"/>
      <c r="D823" s="82" t="s">
        <v>6</v>
      </c>
      <c r="E823" s="82" t="s">
        <v>6</v>
      </c>
      <c r="F823" s="82" t="s">
        <v>6</v>
      </c>
      <c r="G823" s="83" t="s">
        <v>6</v>
      </c>
    </row>
    <row r="824" ht="22.5" customHeight="1">
      <c r="A824" s="80"/>
      <c r="B824" s="81"/>
      <c r="C824" s="82"/>
      <c r="D824" s="82" t="s">
        <v>6</v>
      </c>
      <c r="E824" s="82" t="s">
        <v>6</v>
      </c>
      <c r="F824" s="82" t="s">
        <v>6</v>
      </c>
      <c r="G824" s="83" t="s">
        <v>6</v>
      </c>
    </row>
    <row r="825" ht="22.5" customHeight="1">
      <c r="A825" s="80"/>
      <c r="B825" s="81"/>
      <c r="C825" s="82"/>
      <c r="D825" s="82" t="s">
        <v>6</v>
      </c>
      <c r="E825" s="82" t="s">
        <v>6</v>
      </c>
      <c r="F825" s="82" t="s">
        <v>6</v>
      </c>
      <c r="G825" s="83" t="s">
        <v>6</v>
      </c>
    </row>
    <row r="826" ht="22.5" customHeight="1">
      <c r="A826" s="80"/>
      <c r="B826" s="81"/>
      <c r="C826" s="82"/>
      <c r="D826" s="82" t="s">
        <v>6</v>
      </c>
      <c r="E826" s="82" t="s">
        <v>6</v>
      </c>
      <c r="F826" s="82" t="s">
        <v>6</v>
      </c>
      <c r="G826" s="83" t="s">
        <v>6</v>
      </c>
    </row>
    <row r="827" ht="22.5" customHeight="1">
      <c r="A827" s="80"/>
      <c r="B827" s="81"/>
      <c r="C827" s="82"/>
      <c r="D827" s="82" t="s">
        <v>6</v>
      </c>
      <c r="E827" s="82" t="s">
        <v>6</v>
      </c>
      <c r="F827" s="82" t="s">
        <v>6</v>
      </c>
      <c r="G827" s="83" t="s">
        <v>6</v>
      </c>
    </row>
    <row r="828" ht="22.5" customHeight="1">
      <c r="A828" s="80"/>
      <c r="B828" s="81"/>
      <c r="C828" s="82"/>
      <c r="D828" s="82" t="s">
        <v>6</v>
      </c>
      <c r="E828" s="82" t="s">
        <v>6</v>
      </c>
      <c r="F828" s="82" t="s">
        <v>6</v>
      </c>
      <c r="G828" s="83" t="s">
        <v>6</v>
      </c>
    </row>
    <row r="829" ht="22.5" customHeight="1">
      <c r="A829" s="80"/>
      <c r="B829" s="81"/>
      <c r="C829" s="82"/>
      <c r="D829" s="82" t="s">
        <v>6</v>
      </c>
      <c r="E829" s="82" t="s">
        <v>6</v>
      </c>
      <c r="F829" s="82" t="s">
        <v>6</v>
      </c>
      <c r="G829" s="83" t="s">
        <v>6</v>
      </c>
    </row>
    <row r="830" ht="22.5" customHeight="1">
      <c r="A830" s="80"/>
      <c r="B830" s="81"/>
      <c r="C830" s="82"/>
      <c r="D830" s="82" t="s">
        <v>6</v>
      </c>
      <c r="E830" s="82" t="s">
        <v>6</v>
      </c>
      <c r="F830" s="82" t="s">
        <v>6</v>
      </c>
      <c r="G830" s="83" t="s">
        <v>6</v>
      </c>
    </row>
    <row r="831" ht="22.5" customHeight="1">
      <c r="A831" s="80"/>
      <c r="B831" s="81"/>
      <c r="C831" s="82"/>
      <c r="D831" s="82" t="s">
        <v>6</v>
      </c>
      <c r="E831" s="82" t="s">
        <v>6</v>
      </c>
      <c r="F831" s="82" t="s">
        <v>6</v>
      </c>
      <c r="G831" s="83" t="s">
        <v>6</v>
      </c>
    </row>
    <row r="832" ht="22.5" customHeight="1">
      <c r="A832" s="80"/>
      <c r="B832" s="81"/>
      <c r="C832" s="82"/>
      <c r="D832" s="82" t="s">
        <v>6</v>
      </c>
      <c r="E832" s="82" t="s">
        <v>6</v>
      </c>
      <c r="F832" s="82" t="s">
        <v>6</v>
      </c>
      <c r="G832" s="83" t="s">
        <v>6</v>
      </c>
    </row>
    <row r="833" ht="22.5" customHeight="1">
      <c r="A833" s="80"/>
      <c r="B833" s="81"/>
      <c r="C833" s="82"/>
      <c r="D833" s="82" t="s">
        <v>6</v>
      </c>
      <c r="E833" s="82" t="s">
        <v>6</v>
      </c>
      <c r="F833" s="82" t="s">
        <v>6</v>
      </c>
      <c r="G833" s="83" t="s">
        <v>6</v>
      </c>
    </row>
    <row r="834" ht="22.5" customHeight="1">
      <c r="A834" s="80"/>
      <c r="B834" s="81"/>
      <c r="C834" s="82"/>
      <c r="D834" s="82" t="s">
        <v>6</v>
      </c>
      <c r="E834" s="82" t="s">
        <v>6</v>
      </c>
      <c r="F834" s="82" t="s">
        <v>6</v>
      </c>
      <c r="G834" s="83" t="s">
        <v>6</v>
      </c>
    </row>
    <row r="835" ht="22.5" customHeight="1">
      <c r="A835" s="80"/>
      <c r="B835" s="81"/>
      <c r="C835" s="82"/>
      <c r="D835" s="82" t="s">
        <v>6</v>
      </c>
      <c r="E835" s="82" t="s">
        <v>6</v>
      </c>
      <c r="F835" s="82" t="s">
        <v>6</v>
      </c>
      <c r="G835" s="83" t="s">
        <v>6</v>
      </c>
    </row>
    <row r="836" ht="22.5" customHeight="1">
      <c r="A836" s="80"/>
      <c r="B836" s="81"/>
      <c r="C836" s="82"/>
      <c r="D836" s="82" t="s">
        <v>6</v>
      </c>
      <c r="E836" s="82" t="s">
        <v>6</v>
      </c>
      <c r="F836" s="82" t="s">
        <v>6</v>
      </c>
      <c r="G836" s="83" t="s">
        <v>6</v>
      </c>
    </row>
    <row r="837" ht="22.5" customHeight="1">
      <c r="A837" s="80"/>
      <c r="B837" s="81"/>
      <c r="C837" s="82"/>
      <c r="D837" s="82" t="s">
        <v>6</v>
      </c>
      <c r="E837" s="82" t="s">
        <v>6</v>
      </c>
      <c r="F837" s="82" t="s">
        <v>6</v>
      </c>
      <c r="G837" s="83" t="s">
        <v>6</v>
      </c>
    </row>
    <row r="838" ht="22.5" customHeight="1">
      <c r="A838" s="80"/>
      <c r="B838" s="81"/>
      <c r="C838" s="82"/>
      <c r="D838" s="82" t="s">
        <v>6</v>
      </c>
      <c r="E838" s="82" t="s">
        <v>6</v>
      </c>
      <c r="F838" s="82" t="s">
        <v>6</v>
      </c>
      <c r="G838" s="83" t="s">
        <v>6</v>
      </c>
    </row>
    <row r="839" ht="22.5" customHeight="1">
      <c r="A839" s="80"/>
      <c r="B839" s="81"/>
      <c r="C839" s="82"/>
      <c r="D839" s="82" t="s">
        <v>6</v>
      </c>
      <c r="E839" s="82" t="s">
        <v>6</v>
      </c>
      <c r="F839" s="82" t="s">
        <v>6</v>
      </c>
      <c r="G839" s="83" t="s">
        <v>6</v>
      </c>
    </row>
    <row r="840" ht="22.5" customHeight="1">
      <c r="A840" s="80"/>
      <c r="B840" s="81"/>
      <c r="C840" s="82"/>
      <c r="D840" s="82" t="s">
        <v>6</v>
      </c>
      <c r="E840" s="82" t="s">
        <v>6</v>
      </c>
      <c r="F840" s="82" t="s">
        <v>6</v>
      </c>
      <c r="G840" s="83" t="s">
        <v>6</v>
      </c>
    </row>
    <row r="841" ht="22.5" customHeight="1">
      <c r="A841" s="80"/>
      <c r="B841" s="81"/>
      <c r="C841" s="82"/>
      <c r="D841" s="82" t="s">
        <v>6</v>
      </c>
      <c r="E841" s="82" t="s">
        <v>6</v>
      </c>
      <c r="F841" s="82" t="s">
        <v>6</v>
      </c>
      <c r="G841" s="83" t="s">
        <v>6</v>
      </c>
    </row>
    <row r="842" ht="22.5" customHeight="1">
      <c r="A842" s="80"/>
      <c r="B842" s="81"/>
      <c r="C842" s="82"/>
      <c r="D842" s="82" t="s">
        <v>6</v>
      </c>
      <c r="E842" s="82" t="s">
        <v>6</v>
      </c>
      <c r="F842" s="82" t="s">
        <v>6</v>
      </c>
      <c r="G842" s="83" t="s">
        <v>6</v>
      </c>
    </row>
    <row r="843" ht="22.5" customHeight="1">
      <c r="A843" s="80"/>
      <c r="B843" s="81"/>
      <c r="C843" s="82"/>
      <c r="D843" s="82" t="s">
        <v>6</v>
      </c>
      <c r="E843" s="82" t="s">
        <v>6</v>
      </c>
      <c r="F843" s="82" t="s">
        <v>6</v>
      </c>
      <c r="G843" s="83" t="s">
        <v>6</v>
      </c>
    </row>
    <row r="844" ht="22.5" customHeight="1">
      <c r="A844" s="80"/>
      <c r="B844" s="81"/>
      <c r="C844" s="82"/>
      <c r="D844" s="82" t="s">
        <v>6</v>
      </c>
      <c r="E844" s="82" t="s">
        <v>6</v>
      </c>
      <c r="F844" s="82" t="s">
        <v>6</v>
      </c>
      <c r="G844" s="83" t="s">
        <v>6</v>
      </c>
    </row>
    <row r="845" ht="22.5" customHeight="1">
      <c r="A845" s="80"/>
      <c r="B845" s="81"/>
      <c r="C845" s="82"/>
      <c r="D845" s="82" t="s">
        <v>6</v>
      </c>
      <c r="E845" s="82" t="s">
        <v>6</v>
      </c>
      <c r="F845" s="82" t="s">
        <v>6</v>
      </c>
      <c r="G845" s="83" t="s">
        <v>6</v>
      </c>
    </row>
    <row r="846" ht="22.5" customHeight="1">
      <c r="A846" s="80"/>
      <c r="B846" s="81"/>
      <c r="C846" s="82"/>
      <c r="D846" s="82" t="s">
        <v>6</v>
      </c>
      <c r="E846" s="82" t="s">
        <v>6</v>
      </c>
      <c r="F846" s="82" t="s">
        <v>6</v>
      </c>
      <c r="G846" s="83" t="s">
        <v>6</v>
      </c>
    </row>
    <row r="847" ht="22.5" customHeight="1">
      <c r="A847" s="80"/>
      <c r="B847" s="81"/>
      <c r="C847" s="82"/>
      <c r="D847" s="82" t="s">
        <v>6</v>
      </c>
      <c r="E847" s="82" t="s">
        <v>6</v>
      </c>
      <c r="F847" s="82" t="s">
        <v>6</v>
      </c>
      <c r="G847" s="83" t="s">
        <v>6</v>
      </c>
    </row>
    <row r="848" ht="22.5" customHeight="1">
      <c r="A848" s="80"/>
      <c r="B848" s="81"/>
      <c r="C848" s="82"/>
      <c r="D848" s="82" t="s">
        <v>6</v>
      </c>
      <c r="E848" s="82" t="s">
        <v>6</v>
      </c>
      <c r="F848" s="82" t="s">
        <v>6</v>
      </c>
      <c r="G848" s="83" t="s">
        <v>6</v>
      </c>
    </row>
    <row r="849" ht="22.5" customHeight="1">
      <c r="A849" s="80"/>
      <c r="B849" s="81"/>
      <c r="C849" s="82"/>
      <c r="D849" s="82" t="s">
        <v>6</v>
      </c>
      <c r="E849" s="82" t="s">
        <v>6</v>
      </c>
      <c r="F849" s="82" t="s">
        <v>6</v>
      </c>
      <c r="G849" s="83" t="s">
        <v>6</v>
      </c>
    </row>
    <row r="850" ht="22.5" customHeight="1">
      <c r="A850" s="80"/>
      <c r="B850" s="81"/>
      <c r="C850" s="82"/>
      <c r="D850" s="82" t="s">
        <v>6</v>
      </c>
      <c r="E850" s="82" t="s">
        <v>6</v>
      </c>
      <c r="F850" s="82" t="s">
        <v>6</v>
      </c>
      <c r="G850" s="83" t="s">
        <v>6</v>
      </c>
    </row>
    <row r="851" ht="22.5" customHeight="1">
      <c r="A851" s="80"/>
      <c r="B851" s="81"/>
      <c r="C851" s="82"/>
      <c r="D851" s="82" t="s">
        <v>6</v>
      </c>
      <c r="E851" s="82" t="s">
        <v>6</v>
      </c>
      <c r="F851" s="82" t="s">
        <v>6</v>
      </c>
      <c r="G851" s="83" t="s">
        <v>6</v>
      </c>
    </row>
    <row r="852" ht="22.5" customHeight="1">
      <c r="A852" s="80"/>
      <c r="B852" s="81"/>
      <c r="C852" s="82"/>
      <c r="D852" s="82" t="s">
        <v>6</v>
      </c>
      <c r="E852" s="82" t="s">
        <v>6</v>
      </c>
      <c r="F852" s="82" t="s">
        <v>6</v>
      </c>
      <c r="G852" s="83" t="s">
        <v>6</v>
      </c>
    </row>
    <row r="853" ht="22.5" customHeight="1">
      <c r="A853" s="80"/>
      <c r="B853" s="81"/>
      <c r="C853" s="82"/>
      <c r="D853" s="82" t="s">
        <v>6</v>
      </c>
      <c r="E853" s="82" t="s">
        <v>6</v>
      </c>
      <c r="F853" s="82" t="s">
        <v>6</v>
      </c>
      <c r="G853" s="83" t="s">
        <v>6</v>
      </c>
    </row>
    <row r="854" ht="22.5" customHeight="1">
      <c r="A854" s="80"/>
      <c r="B854" s="81"/>
      <c r="C854" s="82"/>
      <c r="D854" s="82" t="s">
        <v>6</v>
      </c>
      <c r="E854" s="82" t="s">
        <v>6</v>
      </c>
      <c r="F854" s="82" t="s">
        <v>6</v>
      </c>
      <c r="G854" s="83" t="s">
        <v>6</v>
      </c>
    </row>
    <row r="855" ht="22.5" customHeight="1">
      <c r="A855" s="80"/>
      <c r="B855" s="81"/>
      <c r="C855" s="82"/>
      <c r="D855" s="82" t="s">
        <v>6</v>
      </c>
      <c r="E855" s="82" t="s">
        <v>6</v>
      </c>
      <c r="F855" s="82" t="s">
        <v>6</v>
      </c>
      <c r="G855" s="83" t="s">
        <v>6</v>
      </c>
    </row>
    <row r="856" ht="22.5" customHeight="1">
      <c r="A856" s="80"/>
      <c r="B856" s="81"/>
      <c r="C856" s="82"/>
      <c r="D856" s="82" t="s">
        <v>6</v>
      </c>
      <c r="E856" s="82" t="s">
        <v>6</v>
      </c>
      <c r="F856" s="82" t="s">
        <v>6</v>
      </c>
      <c r="G856" s="83" t="s">
        <v>6</v>
      </c>
    </row>
    <row r="857" ht="22.5" customHeight="1">
      <c r="A857" s="80"/>
      <c r="B857" s="81"/>
      <c r="C857" s="82"/>
      <c r="D857" s="82" t="s">
        <v>6</v>
      </c>
      <c r="E857" s="82" t="s">
        <v>6</v>
      </c>
      <c r="F857" s="82" t="s">
        <v>6</v>
      </c>
      <c r="G857" s="83" t="s">
        <v>6</v>
      </c>
    </row>
    <row r="858" ht="22.5" customHeight="1">
      <c r="A858" s="80"/>
      <c r="B858" s="81"/>
      <c r="C858" s="82"/>
      <c r="D858" s="82" t="s">
        <v>6</v>
      </c>
      <c r="E858" s="82" t="s">
        <v>6</v>
      </c>
      <c r="F858" s="82" t="s">
        <v>6</v>
      </c>
      <c r="G858" s="83" t="s">
        <v>6</v>
      </c>
    </row>
    <row r="859" ht="22.5" customHeight="1">
      <c r="A859" s="80"/>
      <c r="B859" s="81"/>
      <c r="C859" s="82"/>
      <c r="D859" s="82" t="s">
        <v>6</v>
      </c>
      <c r="E859" s="82" t="s">
        <v>6</v>
      </c>
      <c r="F859" s="82" t="s">
        <v>6</v>
      </c>
      <c r="G859" s="83" t="s">
        <v>6</v>
      </c>
    </row>
    <row r="860" ht="22.5" customHeight="1">
      <c r="A860" s="80"/>
      <c r="B860" s="81"/>
      <c r="C860" s="82"/>
      <c r="D860" s="82" t="s">
        <v>6</v>
      </c>
      <c r="E860" s="82" t="s">
        <v>6</v>
      </c>
      <c r="F860" s="82" t="s">
        <v>6</v>
      </c>
      <c r="G860" s="83" t="s">
        <v>6</v>
      </c>
    </row>
    <row r="861" ht="22.5" customHeight="1">
      <c r="A861" s="80"/>
      <c r="B861" s="81"/>
      <c r="C861" s="82"/>
      <c r="D861" s="82" t="s">
        <v>6</v>
      </c>
      <c r="E861" s="82" t="s">
        <v>6</v>
      </c>
      <c r="F861" s="82" t="s">
        <v>6</v>
      </c>
      <c r="G861" s="83" t="s">
        <v>6</v>
      </c>
    </row>
    <row r="862" ht="22.5" customHeight="1">
      <c r="A862" s="80"/>
      <c r="B862" s="81"/>
      <c r="C862" s="82"/>
      <c r="D862" s="82" t="s">
        <v>6</v>
      </c>
      <c r="E862" s="82" t="s">
        <v>6</v>
      </c>
      <c r="F862" s="82" t="s">
        <v>6</v>
      </c>
      <c r="G862" s="83" t="s">
        <v>6</v>
      </c>
    </row>
    <row r="863" ht="22.5" customHeight="1">
      <c r="A863" s="80"/>
      <c r="B863" s="81"/>
      <c r="C863" s="82"/>
      <c r="D863" s="82" t="s">
        <v>6</v>
      </c>
      <c r="E863" s="82" t="s">
        <v>6</v>
      </c>
      <c r="F863" s="82" t="s">
        <v>6</v>
      </c>
      <c r="G863" s="83" t="s">
        <v>6</v>
      </c>
    </row>
    <row r="864" ht="22.5" customHeight="1">
      <c r="A864" s="80"/>
      <c r="B864" s="81"/>
      <c r="C864" s="82"/>
      <c r="D864" s="82" t="s">
        <v>6</v>
      </c>
      <c r="E864" s="82" t="s">
        <v>6</v>
      </c>
      <c r="F864" s="82" t="s">
        <v>6</v>
      </c>
      <c r="G864" s="83" t="s">
        <v>6</v>
      </c>
    </row>
    <row r="865" ht="22.5" customHeight="1">
      <c r="A865" s="80"/>
      <c r="B865" s="81"/>
      <c r="C865" s="82"/>
      <c r="D865" s="82" t="s">
        <v>6</v>
      </c>
      <c r="E865" s="82" t="s">
        <v>6</v>
      </c>
      <c r="F865" s="82" t="s">
        <v>6</v>
      </c>
      <c r="G865" s="83" t="s">
        <v>6</v>
      </c>
    </row>
    <row r="866" ht="22.5" customHeight="1">
      <c r="A866" s="80"/>
      <c r="B866" s="81"/>
      <c r="C866" s="82"/>
      <c r="D866" s="82" t="s">
        <v>6</v>
      </c>
      <c r="E866" s="82" t="s">
        <v>6</v>
      </c>
      <c r="F866" s="82" t="s">
        <v>6</v>
      </c>
      <c r="G866" s="83" t="s">
        <v>6</v>
      </c>
    </row>
    <row r="867" ht="22.5" customHeight="1">
      <c r="A867" s="80"/>
      <c r="B867" s="81"/>
      <c r="C867" s="82"/>
      <c r="D867" s="82" t="s">
        <v>6</v>
      </c>
      <c r="E867" s="82" t="s">
        <v>6</v>
      </c>
      <c r="F867" s="82" t="s">
        <v>6</v>
      </c>
      <c r="G867" s="83" t="s">
        <v>6</v>
      </c>
    </row>
    <row r="868" ht="22.5" customHeight="1">
      <c r="A868" s="80"/>
      <c r="B868" s="81"/>
      <c r="C868" s="82"/>
      <c r="D868" s="82" t="s">
        <v>6</v>
      </c>
      <c r="E868" s="82" t="s">
        <v>6</v>
      </c>
      <c r="F868" s="82" t="s">
        <v>6</v>
      </c>
      <c r="G868" s="83" t="s">
        <v>6</v>
      </c>
    </row>
    <row r="869" ht="22.5" customHeight="1">
      <c r="A869" s="80"/>
      <c r="B869" s="81"/>
      <c r="C869" s="82"/>
      <c r="D869" s="82" t="s">
        <v>6</v>
      </c>
      <c r="E869" s="82" t="s">
        <v>6</v>
      </c>
      <c r="F869" s="82" t="s">
        <v>6</v>
      </c>
      <c r="G869" s="83" t="s">
        <v>6</v>
      </c>
    </row>
    <row r="870" ht="22.5" customHeight="1">
      <c r="A870" s="80"/>
      <c r="B870" s="81"/>
      <c r="C870" s="82"/>
      <c r="D870" s="82" t="s">
        <v>6</v>
      </c>
      <c r="E870" s="82" t="s">
        <v>6</v>
      </c>
      <c r="F870" s="82" t="s">
        <v>6</v>
      </c>
      <c r="G870" s="83" t="s">
        <v>6</v>
      </c>
    </row>
    <row r="871" ht="22.5" customHeight="1">
      <c r="A871" s="80"/>
      <c r="B871" s="81"/>
      <c r="C871" s="82"/>
      <c r="D871" s="82" t="s">
        <v>6</v>
      </c>
      <c r="E871" s="82" t="s">
        <v>6</v>
      </c>
      <c r="F871" s="82" t="s">
        <v>6</v>
      </c>
      <c r="G871" s="83" t="s">
        <v>6</v>
      </c>
    </row>
    <row r="872" ht="22.5" customHeight="1">
      <c r="A872" s="80"/>
      <c r="B872" s="81"/>
      <c r="C872" s="82"/>
      <c r="D872" s="82" t="s">
        <v>6</v>
      </c>
      <c r="E872" s="82" t="s">
        <v>6</v>
      </c>
      <c r="F872" s="82" t="s">
        <v>6</v>
      </c>
      <c r="G872" s="83" t="s">
        <v>6</v>
      </c>
    </row>
    <row r="873" ht="22.5" customHeight="1">
      <c r="A873" s="80"/>
      <c r="B873" s="81"/>
      <c r="C873" s="82"/>
      <c r="D873" s="82" t="s">
        <v>6</v>
      </c>
      <c r="E873" s="82" t="s">
        <v>6</v>
      </c>
      <c r="F873" s="82" t="s">
        <v>6</v>
      </c>
      <c r="G873" s="83" t="s">
        <v>6</v>
      </c>
    </row>
    <row r="874" ht="22.5" customHeight="1">
      <c r="A874" s="80"/>
      <c r="B874" s="81"/>
      <c r="C874" s="82"/>
      <c r="D874" s="82" t="s">
        <v>6</v>
      </c>
      <c r="E874" s="82" t="s">
        <v>6</v>
      </c>
      <c r="F874" s="82" t="s">
        <v>6</v>
      </c>
      <c r="G874" s="83" t="s">
        <v>6</v>
      </c>
    </row>
    <row r="875" ht="22.5" customHeight="1">
      <c r="A875" s="80"/>
      <c r="B875" s="81"/>
      <c r="C875" s="82"/>
      <c r="D875" s="82" t="s">
        <v>6</v>
      </c>
      <c r="E875" s="82" t="s">
        <v>6</v>
      </c>
      <c r="F875" s="82" t="s">
        <v>6</v>
      </c>
      <c r="G875" s="83" t="s">
        <v>6</v>
      </c>
    </row>
    <row r="876" ht="22.5" customHeight="1">
      <c r="A876" s="80"/>
      <c r="B876" s="81"/>
      <c r="C876" s="82"/>
      <c r="D876" s="82" t="s">
        <v>6</v>
      </c>
      <c r="E876" s="82" t="s">
        <v>6</v>
      </c>
      <c r="F876" s="82" t="s">
        <v>6</v>
      </c>
      <c r="G876" s="83" t="s">
        <v>6</v>
      </c>
    </row>
    <row r="877" ht="22.5" customHeight="1">
      <c r="A877" s="80"/>
      <c r="B877" s="81"/>
      <c r="C877" s="82"/>
      <c r="D877" s="82" t="s">
        <v>6</v>
      </c>
      <c r="E877" s="82" t="s">
        <v>6</v>
      </c>
      <c r="F877" s="82" t="s">
        <v>6</v>
      </c>
      <c r="G877" s="83" t="s">
        <v>6</v>
      </c>
    </row>
    <row r="878" ht="22.5" customHeight="1">
      <c r="A878" s="80"/>
      <c r="B878" s="81"/>
      <c r="C878" s="82"/>
      <c r="D878" s="82" t="s">
        <v>6</v>
      </c>
      <c r="E878" s="82" t="s">
        <v>6</v>
      </c>
      <c r="F878" s="82" t="s">
        <v>6</v>
      </c>
      <c r="G878" s="83" t="s">
        <v>6</v>
      </c>
    </row>
    <row r="879" ht="22.5" customHeight="1">
      <c r="A879" s="80"/>
      <c r="B879" s="81"/>
      <c r="C879" s="82"/>
      <c r="D879" s="82" t="s">
        <v>6</v>
      </c>
      <c r="E879" s="82" t="s">
        <v>6</v>
      </c>
      <c r="F879" s="82" t="s">
        <v>6</v>
      </c>
      <c r="G879" s="83" t="s">
        <v>6</v>
      </c>
    </row>
    <row r="880" ht="22.5" customHeight="1">
      <c r="A880" s="80"/>
      <c r="B880" s="81"/>
      <c r="C880" s="82"/>
      <c r="D880" s="82" t="s">
        <v>6</v>
      </c>
      <c r="E880" s="82" t="s">
        <v>6</v>
      </c>
      <c r="F880" s="82" t="s">
        <v>6</v>
      </c>
      <c r="G880" s="83" t="s">
        <v>6</v>
      </c>
    </row>
    <row r="881" ht="22.5" customHeight="1">
      <c r="A881" s="80"/>
      <c r="B881" s="81"/>
      <c r="C881" s="82"/>
      <c r="D881" s="82" t="s">
        <v>6</v>
      </c>
      <c r="E881" s="82" t="s">
        <v>6</v>
      </c>
      <c r="F881" s="82" t="s">
        <v>6</v>
      </c>
      <c r="G881" s="83" t="s">
        <v>6</v>
      </c>
    </row>
    <row r="882" ht="22.5" customHeight="1">
      <c r="A882" s="80"/>
      <c r="B882" s="81"/>
      <c r="C882" s="82"/>
      <c r="D882" s="82" t="s">
        <v>6</v>
      </c>
      <c r="E882" s="82" t="s">
        <v>6</v>
      </c>
      <c r="F882" s="82" t="s">
        <v>6</v>
      </c>
      <c r="G882" s="83" t="s">
        <v>6</v>
      </c>
    </row>
    <row r="883" ht="22.5" customHeight="1">
      <c r="A883" s="80"/>
      <c r="B883" s="81"/>
      <c r="C883" s="82"/>
      <c r="D883" s="82" t="s">
        <v>6</v>
      </c>
      <c r="E883" s="82" t="s">
        <v>6</v>
      </c>
      <c r="F883" s="82" t="s">
        <v>6</v>
      </c>
      <c r="G883" s="83" t="s">
        <v>6</v>
      </c>
    </row>
    <row r="884" ht="22.5" customHeight="1">
      <c r="A884" s="80"/>
      <c r="B884" s="81"/>
      <c r="C884" s="82"/>
      <c r="D884" s="82" t="s">
        <v>6</v>
      </c>
      <c r="E884" s="82" t="s">
        <v>6</v>
      </c>
      <c r="F884" s="82" t="s">
        <v>6</v>
      </c>
      <c r="G884" s="83" t="s">
        <v>6</v>
      </c>
    </row>
    <row r="885" ht="22.5" customHeight="1">
      <c r="A885" s="80"/>
      <c r="B885" s="81"/>
      <c r="C885" s="82"/>
      <c r="D885" s="82" t="s">
        <v>6</v>
      </c>
      <c r="E885" s="82" t="s">
        <v>6</v>
      </c>
      <c r="F885" s="82" t="s">
        <v>6</v>
      </c>
      <c r="G885" s="83" t="s">
        <v>6</v>
      </c>
    </row>
    <row r="886" ht="22.5" customHeight="1">
      <c r="A886" s="80"/>
      <c r="B886" s="81"/>
      <c r="C886" s="82"/>
      <c r="D886" s="82" t="s">
        <v>6</v>
      </c>
      <c r="E886" s="82" t="s">
        <v>6</v>
      </c>
      <c r="F886" s="82" t="s">
        <v>6</v>
      </c>
      <c r="G886" s="83" t="s">
        <v>6</v>
      </c>
    </row>
    <row r="887" ht="22.5" customHeight="1">
      <c r="A887" s="80"/>
      <c r="B887" s="81"/>
      <c r="C887" s="82"/>
      <c r="D887" s="82" t="s">
        <v>6</v>
      </c>
      <c r="E887" s="82" t="s">
        <v>6</v>
      </c>
      <c r="F887" s="82" t="s">
        <v>6</v>
      </c>
      <c r="G887" s="83" t="s">
        <v>6</v>
      </c>
    </row>
    <row r="888" ht="22.5" customHeight="1">
      <c r="A888" s="80"/>
      <c r="B888" s="81"/>
      <c r="C888" s="82"/>
      <c r="D888" s="82" t="s">
        <v>6</v>
      </c>
      <c r="E888" s="82" t="s">
        <v>6</v>
      </c>
      <c r="F888" s="82" t="s">
        <v>6</v>
      </c>
      <c r="G888" s="83" t="s">
        <v>6</v>
      </c>
    </row>
    <row r="889" ht="22.5" customHeight="1">
      <c r="A889" s="80"/>
      <c r="B889" s="81"/>
      <c r="C889" s="82"/>
      <c r="D889" s="82" t="s">
        <v>6</v>
      </c>
      <c r="E889" s="82" t="s">
        <v>6</v>
      </c>
      <c r="F889" s="82" t="s">
        <v>6</v>
      </c>
      <c r="G889" s="83" t="s">
        <v>6</v>
      </c>
    </row>
    <row r="890" ht="22.5" customHeight="1">
      <c r="A890" s="80"/>
      <c r="B890" s="81"/>
      <c r="C890" s="82"/>
      <c r="D890" s="82" t="s">
        <v>6</v>
      </c>
      <c r="E890" s="82" t="s">
        <v>6</v>
      </c>
      <c r="F890" s="82" t="s">
        <v>6</v>
      </c>
      <c r="G890" s="83" t="s">
        <v>6</v>
      </c>
    </row>
    <row r="891" ht="22.5" customHeight="1">
      <c r="A891" s="80"/>
      <c r="B891" s="81"/>
      <c r="C891" s="82"/>
      <c r="D891" s="82" t="s">
        <v>6</v>
      </c>
      <c r="E891" s="82" t="s">
        <v>6</v>
      </c>
      <c r="F891" s="82" t="s">
        <v>6</v>
      </c>
      <c r="G891" s="83" t="s">
        <v>6</v>
      </c>
    </row>
    <row r="892" ht="22.5" customHeight="1">
      <c r="A892" s="80"/>
      <c r="B892" s="81"/>
      <c r="C892" s="82"/>
      <c r="D892" s="82" t="s">
        <v>6</v>
      </c>
      <c r="E892" s="82" t="s">
        <v>6</v>
      </c>
      <c r="F892" s="82" t="s">
        <v>6</v>
      </c>
      <c r="G892" s="83" t="s">
        <v>6</v>
      </c>
    </row>
    <row r="893" ht="22.5" customHeight="1">
      <c r="A893" s="80"/>
      <c r="B893" s="81"/>
      <c r="C893" s="82"/>
      <c r="D893" s="82" t="s">
        <v>6</v>
      </c>
      <c r="E893" s="82" t="s">
        <v>6</v>
      </c>
      <c r="F893" s="82" t="s">
        <v>6</v>
      </c>
      <c r="G893" s="83" t="s">
        <v>6</v>
      </c>
    </row>
    <row r="894" ht="22.5" customHeight="1">
      <c r="A894" s="80"/>
      <c r="B894" s="81"/>
      <c r="C894" s="82"/>
      <c r="D894" s="82" t="s">
        <v>6</v>
      </c>
      <c r="E894" s="82" t="s">
        <v>6</v>
      </c>
      <c r="F894" s="82" t="s">
        <v>6</v>
      </c>
      <c r="G894" s="83" t="s">
        <v>6</v>
      </c>
    </row>
    <row r="895" ht="22.5" customHeight="1">
      <c r="A895" s="80"/>
      <c r="B895" s="81"/>
      <c r="C895" s="82"/>
      <c r="D895" s="82" t="s">
        <v>6</v>
      </c>
      <c r="E895" s="82" t="s">
        <v>6</v>
      </c>
      <c r="F895" s="82" t="s">
        <v>6</v>
      </c>
      <c r="G895" s="83" t="s">
        <v>6</v>
      </c>
    </row>
    <row r="896" ht="22.5" customHeight="1">
      <c r="A896" s="80"/>
      <c r="B896" s="81"/>
      <c r="C896" s="82"/>
      <c r="D896" s="82" t="s">
        <v>6</v>
      </c>
      <c r="E896" s="82" t="s">
        <v>6</v>
      </c>
      <c r="F896" s="82" t="s">
        <v>6</v>
      </c>
      <c r="G896" s="83" t="s">
        <v>6</v>
      </c>
    </row>
    <row r="897" ht="22.5" customHeight="1">
      <c r="A897" s="80"/>
      <c r="B897" s="81"/>
      <c r="C897" s="82"/>
      <c r="D897" s="82" t="s">
        <v>6</v>
      </c>
      <c r="E897" s="82" t="s">
        <v>6</v>
      </c>
      <c r="F897" s="82" t="s">
        <v>6</v>
      </c>
      <c r="G897" s="83" t="s">
        <v>6</v>
      </c>
    </row>
    <row r="898" ht="22.5" customHeight="1">
      <c r="A898" s="80"/>
      <c r="B898" s="81"/>
      <c r="C898" s="82"/>
      <c r="D898" s="82" t="s">
        <v>6</v>
      </c>
      <c r="E898" s="82" t="s">
        <v>6</v>
      </c>
      <c r="F898" s="82" t="s">
        <v>6</v>
      </c>
      <c r="G898" s="83" t="s">
        <v>6</v>
      </c>
    </row>
    <row r="899" ht="22.5" customHeight="1">
      <c r="A899" s="80"/>
      <c r="B899" s="81"/>
      <c r="C899" s="82"/>
      <c r="D899" s="82" t="s">
        <v>6</v>
      </c>
      <c r="E899" s="82" t="s">
        <v>6</v>
      </c>
      <c r="F899" s="82" t="s">
        <v>6</v>
      </c>
      <c r="G899" s="83" t="s">
        <v>6</v>
      </c>
    </row>
    <row r="900" ht="22.5" customHeight="1">
      <c r="A900" s="80"/>
      <c r="B900" s="81"/>
      <c r="C900" s="82"/>
      <c r="D900" s="82" t="s">
        <v>6</v>
      </c>
      <c r="E900" s="82" t="s">
        <v>6</v>
      </c>
      <c r="F900" s="82" t="s">
        <v>6</v>
      </c>
      <c r="G900" s="83" t="s">
        <v>6</v>
      </c>
    </row>
    <row r="901" ht="22.5" customHeight="1">
      <c r="A901" s="80"/>
      <c r="B901" s="81"/>
      <c r="C901" s="82"/>
      <c r="D901" s="82" t="s">
        <v>6</v>
      </c>
      <c r="E901" s="82" t="s">
        <v>6</v>
      </c>
      <c r="F901" s="82" t="s">
        <v>6</v>
      </c>
      <c r="G901" s="83" t="s">
        <v>6</v>
      </c>
    </row>
    <row r="902" ht="22.5" customHeight="1">
      <c r="A902" s="80"/>
      <c r="B902" s="81"/>
      <c r="C902" s="82"/>
      <c r="D902" s="82" t="s">
        <v>6</v>
      </c>
      <c r="E902" s="82" t="s">
        <v>6</v>
      </c>
      <c r="F902" s="82" t="s">
        <v>6</v>
      </c>
      <c r="G902" s="83" t="s">
        <v>6</v>
      </c>
    </row>
    <row r="903" ht="22.5" customHeight="1">
      <c r="A903" s="80"/>
      <c r="B903" s="81"/>
      <c r="C903" s="82"/>
      <c r="D903" s="82" t="s">
        <v>6</v>
      </c>
      <c r="E903" s="82" t="s">
        <v>6</v>
      </c>
      <c r="F903" s="82" t="s">
        <v>6</v>
      </c>
      <c r="G903" s="83" t="s">
        <v>6</v>
      </c>
    </row>
    <row r="904" ht="22.5" customHeight="1">
      <c r="A904" s="80"/>
      <c r="B904" s="81"/>
      <c r="C904" s="82"/>
      <c r="D904" s="82" t="s">
        <v>6</v>
      </c>
      <c r="E904" s="82" t="s">
        <v>6</v>
      </c>
      <c r="F904" s="82" t="s">
        <v>6</v>
      </c>
      <c r="G904" s="83" t="s">
        <v>6</v>
      </c>
    </row>
    <row r="905" ht="22.5" customHeight="1">
      <c r="A905" s="80"/>
      <c r="B905" s="81"/>
      <c r="C905" s="82"/>
      <c r="D905" s="82" t="s">
        <v>6</v>
      </c>
      <c r="E905" s="82" t="s">
        <v>6</v>
      </c>
      <c r="F905" s="82" t="s">
        <v>6</v>
      </c>
      <c r="G905" s="83" t="s">
        <v>6</v>
      </c>
    </row>
    <row r="906" ht="22.5" customHeight="1">
      <c r="A906" s="80"/>
      <c r="B906" s="81"/>
      <c r="C906" s="82"/>
      <c r="D906" s="82" t="s">
        <v>6</v>
      </c>
      <c r="E906" s="82" t="s">
        <v>6</v>
      </c>
      <c r="F906" s="82" t="s">
        <v>6</v>
      </c>
      <c r="G906" s="83" t="s">
        <v>6</v>
      </c>
    </row>
    <row r="907" ht="22.5" customHeight="1">
      <c r="A907" s="80"/>
      <c r="B907" s="81"/>
      <c r="C907" s="82"/>
      <c r="D907" s="82" t="s">
        <v>6</v>
      </c>
      <c r="E907" s="82" t="s">
        <v>6</v>
      </c>
      <c r="F907" s="82" t="s">
        <v>6</v>
      </c>
      <c r="G907" s="83" t="s">
        <v>6</v>
      </c>
    </row>
    <row r="908" ht="22.5" customHeight="1">
      <c r="A908" s="80"/>
      <c r="B908" s="81"/>
      <c r="C908" s="82"/>
      <c r="D908" s="82" t="s">
        <v>6</v>
      </c>
      <c r="E908" s="82" t="s">
        <v>6</v>
      </c>
      <c r="F908" s="82" t="s">
        <v>6</v>
      </c>
      <c r="G908" s="83" t="s">
        <v>6</v>
      </c>
    </row>
    <row r="909" ht="22.5" customHeight="1">
      <c r="A909" s="80"/>
      <c r="B909" s="81"/>
      <c r="C909" s="82"/>
      <c r="D909" s="82" t="s">
        <v>6</v>
      </c>
      <c r="E909" s="82" t="s">
        <v>6</v>
      </c>
      <c r="F909" s="82" t="s">
        <v>6</v>
      </c>
      <c r="G909" s="83" t="s">
        <v>6</v>
      </c>
    </row>
    <row r="910" ht="22.5" customHeight="1">
      <c r="A910" s="80"/>
      <c r="B910" s="81"/>
      <c r="C910" s="82"/>
      <c r="D910" s="82" t="s">
        <v>6</v>
      </c>
      <c r="E910" s="82" t="s">
        <v>6</v>
      </c>
      <c r="F910" s="82" t="s">
        <v>6</v>
      </c>
      <c r="G910" s="83" t="s">
        <v>6</v>
      </c>
    </row>
    <row r="911" ht="22.5" customHeight="1">
      <c r="A911" s="80"/>
      <c r="B911" s="81"/>
      <c r="C911" s="82"/>
      <c r="D911" s="82" t="s">
        <v>6</v>
      </c>
      <c r="E911" s="82" t="s">
        <v>6</v>
      </c>
      <c r="F911" s="82" t="s">
        <v>6</v>
      </c>
      <c r="G911" s="83" t="s">
        <v>6</v>
      </c>
    </row>
    <row r="912" ht="22.5" customHeight="1">
      <c r="A912" s="80"/>
      <c r="B912" s="81"/>
      <c r="C912" s="82"/>
      <c r="D912" s="82" t="s">
        <v>6</v>
      </c>
      <c r="E912" s="82" t="s">
        <v>6</v>
      </c>
      <c r="F912" s="82" t="s">
        <v>6</v>
      </c>
      <c r="G912" s="83" t="s">
        <v>6</v>
      </c>
    </row>
    <row r="913" ht="22.5" customHeight="1">
      <c r="A913" s="80"/>
      <c r="B913" s="81"/>
      <c r="C913" s="82"/>
      <c r="D913" s="82" t="s">
        <v>6</v>
      </c>
      <c r="E913" s="82" t="s">
        <v>6</v>
      </c>
      <c r="F913" s="82" t="s">
        <v>6</v>
      </c>
      <c r="G913" s="83" t="s">
        <v>6</v>
      </c>
    </row>
    <row r="914" ht="22.5" customHeight="1">
      <c r="A914" s="80"/>
      <c r="B914" s="81"/>
      <c r="C914" s="82"/>
      <c r="D914" s="82" t="s">
        <v>6</v>
      </c>
      <c r="E914" s="82" t="s">
        <v>6</v>
      </c>
      <c r="F914" s="82" t="s">
        <v>6</v>
      </c>
      <c r="G914" s="83" t="s">
        <v>6</v>
      </c>
    </row>
    <row r="915" ht="22.5" customHeight="1">
      <c r="A915" s="80"/>
      <c r="B915" s="81"/>
      <c r="C915" s="82"/>
      <c r="D915" s="82" t="s">
        <v>6</v>
      </c>
      <c r="E915" s="82" t="s">
        <v>6</v>
      </c>
      <c r="F915" s="82" t="s">
        <v>6</v>
      </c>
      <c r="G915" s="83" t="s">
        <v>6</v>
      </c>
    </row>
    <row r="916" ht="22.5" customHeight="1">
      <c r="A916" s="80"/>
      <c r="B916" s="81"/>
      <c r="C916" s="82"/>
      <c r="D916" s="82" t="s">
        <v>6</v>
      </c>
      <c r="E916" s="82" t="s">
        <v>6</v>
      </c>
      <c r="F916" s="82" t="s">
        <v>6</v>
      </c>
      <c r="G916" s="83" t="s">
        <v>6</v>
      </c>
    </row>
    <row r="917" ht="22.5" customHeight="1">
      <c r="A917" s="80"/>
      <c r="B917" s="81"/>
      <c r="C917" s="82"/>
      <c r="D917" s="82" t="s">
        <v>6</v>
      </c>
      <c r="E917" s="82" t="s">
        <v>6</v>
      </c>
      <c r="F917" s="82" t="s">
        <v>6</v>
      </c>
      <c r="G917" s="83" t="s">
        <v>6</v>
      </c>
    </row>
    <row r="918" ht="22.5" customHeight="1">
      <c r="A918" s="80"/>
      <c r="B918" s="81"/>
      <c r="C918" s="82"/>
      <c r="D918" s="82" t="s">
        <v>6</v>
      </c>
      <c r="E918" s="82" t="s">
        <v>6</v>
      </c>
      <c r="F918" s="82" t="s">
        <v>6</v>
      </c>
      <c r="G918" s="83" t="s">
        <v>6</v>
      </c>
    </row>
    <row r="919" ht="22.5" customHeight="1">
      <c r="A919" s="80"/>
      <c r="B919" s="81"/>
      <c r="C919" s="82"/>
      <c r="D919" s="82" t="s">
        <v>6</v>
      </c>
      <c r="E919" s="82" t="s">
        <v>6</v>
      </c>
      <c r="F919" s="82" t="s">
        <v>6</v>
      </c>
      <c r="G919" s="83" t="s">
        <v>6</v>
      </c>
    </row>
    <row r="920" ht="22.5" customHeight="1">
      <c r="A920" s="80"/>
      <c r="B920" s="81"/>
      <c r="C920" s="82"/>
      <c r="D920" s="82" t="s">
        <v>6</v>
      </c>
      <c r="E920" s="82" t="s">
        <v>6</v>
      </c>
      <c r="F920" s="82" t="s">
        <v>6</v>
      </c>
      <c r="G920" s="83" t="s">
        <v>6</v>
      </c>
    </row>
    <row r="921" ht="22.5" customHeight="1">
      <c r="A921" s="80"/>
      <c r="B921" s="81"/>
      <c r="C921" s="82"/>
      <c r="D921" s="82" t="s">
        <v>6</v>
      </c>
      <c r="E921" s="82" t="s">
        <v>6</v>
      </c>
      <c r="F921" s="82" t="s">
        <v>6</v>
      </c>
      <c r="G921" s="83" t="s">
        <v>6</v>
      </c>
    </row>
    <row r="922" ht="22.5" customHeight="1">
      <c r="A922" s="80"/>
      <c r="B922" s="81"/>
      <c r="C922" s="82"/>
      <c r="D922" s="82" t="s">
        <v>6</v>
      </c>
      <c r="E922" s="82" t="s">
        <v>6</v>
      </c>
      <c r="F922" s="82" t="s">
        <v>6</v>
      </c>
      <c r="G922" s="83" t="s">
        <v>6</v>
      </c>
    </row>
    <row r="923" ht="22.5" customHeight="1">
      <c r="A923" s="80"/>
      <c r="B923" s="81"/>
      <c r="C923" s="82"/>
      <c r="D923" s="82" t="s">
        <v>6</v>
      </c>
      <c r="E923" s="82" t="s">
        <v>6</v>
      </c>
      <c r="F923" s="82" t="s">
        <v>6</v>
      </c>
      <c r="G923" s="83" t="s">
        <v>6</v>
      </c>
    </row>
    <row r="924" ht="22.5" customHeight="1">
      <c r="A924" s="80"/>
      <c r="B924" s="81"/>
      <c r="C924" s="82"/>
      <c r="D924" s="82" t="s">
        <v>6</v>
      </c>
      <c r="E924" s="82" t="s">
        <v>6</v>
      </c>
      <c r="F924" s="82" t="s">
        <v>6</v>
      </c>
      <c r="G924" s="83" t="s">
        <v>6</v>
      </c>
    </row>
    <row r="925" ht="22.5" customHeight="1">
      <c r="A925" s="80"/>
      <c r="B925" s="81"/>
      <c r="C925" s="82"/>
      <c r="D925" s="82" t="s">
        <v>6</v>
      </c>
      <c r="E925" s="82" t="s">
        <v>6</v>
      </c>
      <c r="F925" s="82" t="s">
        <v>6</v>
      </c>
      <c r="G925" s="83" t="s">
        <v>6</v>
      </c>
    </row>
    <row r="926" ht="22.5" customHeight="1">
      <c r="A926" s="80"/>
      <c r="B926" s="81"/>
      <c r="C926" s="82"/>
      <c r="D926" s="82" t="s">
        <v>6</v>
      </c>
      <c r="E926" s="82" t="s">
        <v>6</v>
      </c>
      <c r="F926" s="82" t="s">
        <v>6</v>
      </c>
      <c r="G926" s="83" t="s">
        <v>6</v>
      </c>
    </row>
    <row r="927" ht="22.5" customHeight="1">
      <c r="A927" s="80"/>
      <c r="B927" s="81"/>
      <c r="C927" s="82"/>
      <c r="D927" s="82" t="s">
        <v>6</v>
      </c>
      <c r="E927" s="82" t="s">
        <v>6</v>
      </c>
      <c r="F927" s="82" t="s">
        <v>6</v>
      </c>
      <c r="G927" s="83" t="s">
        <v>6</v>
      </c>
    </row>
    <row r="928" ht="22.5" customHeight="1">
      <c r="A928" s="80"/>
      <c r="B928" s="81"/>
      <c r="C928" s="82"/>
      <c r="D928" s="82" t="s">
        <v>6</v>
      </c>
      <c r="E928" s="82" t="s">
        <v>6</v>
      </c>
      <c r="F928" s="82" t="s">
        <v>6</v>
      </c>
      <c r="G928" s="83" t="s">
        <v>6</v>
      </c>
    </row>
    <row r="929" ht="22.5" customHeight="1">
      <c r="A929" s="80"/>
      <c r="B929" s="81"/>
      <c r="C929" s="82"/>
      <c r="D929" s="82" t="s">
        <v>6</v>
      </c>
      <c r="E929" s="82" t="s">
        <v>6</v>
      </c>
      <c r="F929" s="82" t="s">
        <v>6</v>
      </c>
      <c r="G929" s="83" t="s">
        <v>6</v>
      </c>
    </row>
    <row r="930" ht="22.5" customHeight="1">
      <c r="A930" s="80"/>
      <c r="B930" s="81"/>
      <c r="C930" s="82"/>
      <c r="D930" s="82" t="s">
        <v>6</v>
      </c>
      <c r="E930" s="82" t="s">
        <v>6</v>
      </c>
      <c r="F930" s="82" t="s">
        <v>6</v>
      </c>
      <c r="G930" s="83" t="s">
        <v>6</v>
      </c>
    </row>
    <row r="931" ht="22.5" customHeight="1">
      <c r="A931" s="80"/>
      <c r="B931" s="81"/>
      <c r="C931" s="82"/>
      <c r="D931" s="82" t="s">
        <v>6</v>
      </c>
      <c r="E931" s="82" t="s">
        <v>6</v>
      </c>
      <c r="F931" s="82" t="s">
        <v>6</v>
      </c>
      <c r="G931" s="83" t="s">
        <v>6</v>
      </c>
    </row>
    <row r="932" ht="22.5" customHeight="1">
      <c r="A932" s="80"/>
      <c r="B932" s="81"/>
      <c r="C932" s="82"/>
      <c r="D932" s="82" t="s">
        <v>6</v>
      </c>
      <c r="E932" s="82" t="s">
        <v>6</v>
      </c>
      <c r="F932" s="82" t="s">
        <v>6</v>
      </c>
      <c r="G932" s="83" t="s">
        <v>6</v>
      </c>
    </row>
    <row r="933" ht="22.5" customHeight="1">
      <c r="A933" s="80"/>
      <c r="B933" s="81"/>
      <c r="C933" s="82"/>
      <c r="D933" s="82" t="s">
        <v>6</v>
      </c>
      <c r="E933" s="82" t="s">
        <v>6</v>
      </c>
      <c r="F933" s="82" t="s">
        <v>6</v>
      </c>
      <c r="G933" s="83" t="s">
        <v>6</v>
      </c>
    </row>
    <row r="934" ht="22.5" customHeight="1">
      <c r="A934" s="80"/>
      <c r="B934" s="81"/>
      <c r="C934" s="82"/>
      <c r="D934" s="82" t="s">
        <v>6</v>
      </c>
      <c r="E934" s="82" t="s">
        <v>6</v>
      </c>
      <c r="F934" s="82" t="s">
        <v>6</v>
      </c>
      <c r="G934" s="83" t="s">
        <v>6</v>
      </c>
    </row>
    <row r="935" ht="22.5" customHeight="1">
      <c r="A935" s="80"/>
      <c r="B935" s="81"/>
      <c r="C935" s="82"/>
      <c r="D935" s="82" t="s">
        <v>6</v>
      </c>
      <c r="E935" s="82" t="s">
        <v>6</v>
      </c>
      <c r="F935" s="82" t="s">
        <v>6</v>
      </c>
      <c r="G935" s="83" t="s">
        <v>6</v>
      </c>
    </row>
    <row r="936" ht="22.5" customHeight="1">
      <c r="A936" s="80"/>
      <c r="B936" s="81"/>
      <c r="C936" s="82"/>
      <c r="D936" s="82" t="s">
        <v>6</v>
      </c>
      <c r="E936" s="82" t="s">
        <v>6</v>
      </c>
      <c r="F936" s="82" t="s">
        <v>6</v>
      </c>
      <c r="G936" s="83" t="s">
        <v>6</v>
      </c>
    </row>
    <row r="937" ht="22.5" customHeight="1">
      <c r="A937" s="80"/>
      <c r="B937" s="81"/>
      <c r="C937" s="82"/>
      <c r="D937" s="82" t="s">
        <v>6</v>
      </c>
      <c r="E937" s="82" t="s">
        <v>6</v>
      </c>
      <c r="F937" s="82" t="s">
        <v>6</v>
      </c>
      <c r="G937" s="83" t="s">
        <v>6</v>
      </c>
    </row>
    <row r="938" ht="22.5" customHeight="1">
      <c r="A938" s="80"/>
      <c r="B938" s="81"/>
      <c r="C938" s="82"/>
      <c r="D938" s="82" t="s">
        <v>6</v>
      </c>
      <c r="E938" s="82" t="s">
        <v>6</v>
      </c>
      <c r="F938" s="82" t="s">
        <v>6</v>
      </c>
      <c r="G938" s="83" t="s">
        <v>6</v>
      </c>
    </row>
    <row r="939" ht="22.5" customHeight="1">
      <c r="A939" s="80"/>
      <c r="B939" s="81"/>
      <c r="C939" s="82"/>
      <c r="D939" s="82" t="s">
        <v>6</v>
      </c>
      <c r="E939" s="82" t="s">
        <v>6</v>
      </c>
      <c r="F939" s="82" t="s">
        <v>6</v>
      </c>
      <c r="G939" s="83" t="s">
        <v>6</v>
      </c>
    </row>
    <row r="940" ht="22.5" customHeight="1">
      <c r="A940" s="80"/>
      <c r="B940" s="81"/>
      <c r="C940" s="82"/>
      <c r="D940" s="82" t="s">
        <v>6</v>
      </c>
      <c r="E940" s="82" t="s">
        <v>6</v>
      </c>
      <c r="F940" s="82" t="s">
        <v>6</v>
      </c>
      <c r="G940" s="83" t="s">
        <v>6</v>
      </c>
    </row>
    <row r="941" ht="22.5" customHeight="1">
      <c r="A941" s="80"/>
      <c r="B941" s="81"/>
      <c r="C941" s="82"/>
      <c r="D941" s="82" t="s">
        <v>6</v>
      </c>
      <c r="E941" s="82" t="s">
        <v>6</v>
      </c>
      <c r="F941" s="82" t="s">
        <v>6</v>
      </c>
      <c r="G941" s="83" t="s">
        <v>6</v>
      </c>
    </row>
    <row r="942" ht="22.5" customHeight="1">
      <c r="A942" s="80"/>
      <c r="B942" s="81"/>
      <c r="C942" s="82"/>
      <c r="D942" s="82" t="s">
        <v>6</v>
      </c>
      <c r="E942" s="82" t="s">
        <v>6</v>
      </c>
      <c r="F942" s="82" t="s">
        <v>6</v>
      </c>
      <c r="G942" s="83" t="s">
        <v>6</v>
      </c>
    </row>
    <row r="943" ht="22.5" customHeight="1">
      <c r="A943" s="80"/>
      <c r="B943" s="81"/>
      <c r="C943" s="82"/>
      <c r="D943" s="82" t="s">
        <v>6</v>
      </c>
      <c r="E943" s="82" t="s">
        <v>6</v>
      </c>
      <c r="F943" s="82" t="s">
        <v>6</v>
      </c>
      <c r="G943" s="83" t="s">
        <v>6</v>
      </c>
    </row>
    <row r="944" ht="22.5" customHeight="1">
      <c r="A944" s="80"/>
      <c r="B944" s="81"/>
      <c r="C944" s="82"/>
      <c r="D944" s="82" t="s">
        <v>6</v>
      </c>
      <c r="E944" s="82" t="s">
        <v>6</v>
      </c>
      <c r="F944" s="82" t="s">
        <v>6</v>
      </c>
      <c r="G944" s="83" t="s">
        <v>6</v>
      </c>
    </row>
    <row r="945" ht="22.5" customHeight="1">
      <c r="A945" s="80"/>
      <c r="B945" s="81"/>
      <c r="C945" s="82"/>
      <c r="D945" s="82" t="s">
        <v>6</v>
      </c>
      <c r="E945" s="82" t="s">
        <v>6</v>
      </c>
      <c r="F945" s="82" t="s">
        <v>6</v>
      </c>
      <c r="G945" s="83" t="s">
        <v>6</v>
      </c>
    </row>
    <row r="946" ht="22.5" customHeight="1">
      <c r="A946" s="80"/>
      <c r="B946" s="81"/>
      <c r="C946" s="82"/>
      <c r="D946" s="82" t="s">
        <v>6</v>
      </c>
      <c r="E946" s="82" t="s">
        <v>6</v>
      </c>
      <c r="F946" s="82" t="s">
        <v>6</v>
      </c>
      <c r="G946" s="83" t="s">
        <v>6</v>
      </c>
    </row>
    <row r="947" ht="22.5" customHeight="1">
      <c r="A947" s="80"/>
      <c r="B947" s="81"/>
      <c r="C947" s="82"/>
      <c r="D947" s="82" t="s">
        <v>6</v>
      </c>
      <c r="E947" s="82" t="s">
        <v>6</v>
      </c>
      <c r="F947" s="82" t="s">
        <v>6</v>
      </c>
      <c r="G947" s="83" t="s">
        <v>6</v>
      </c>
    </row>
    <row r="948" ht="22.5" customHeight="1">
      <c r="A948" s="80"/>
      <c r="B948" s="81"/>
      <c r="C948" s="82"/>
      <c r="D948" s="82" t="s">
        <v>6</v>
      </c>
      <c r="E948" s="82" t="s">
        <v>6</v>
      </c>
      <c r="F948" s="82" t="s">
        <v>6</v>
      </c>
      <c r="G948" s="83" t="s">
        <v>6</v>
      </c>
    </row>
    <row r="949" ht="22.5" customHeight="1">
      <c r="A949" s="80"/>
      <c r="B949" s="81"/>
      <c r="C949" s="82"/>
      <c r="D949" s="82" t="s">
        <v>6</v>
      </c>
      <c r="E949" s="82" t="s">
        <v>6</v>
      </c>
      <c r="F949" s="82" t="s">
        <v>6</v>
      </c>
      <c r="G949" s="83" t="s">
        <v>6</v>
      </c>
    </row>
    <row r="950" ht="22.5" customHeight="1">
      <c r="A950" s="80"/>
      <c r="B950" s="81"/>
      <c r="C950" s="82"/>
      <c r="D950" s="82" t="s">
        <v>6</v>
      </c>
      <c r="E950" s="82" t="s">
        <v>6</v>
      </c>
      <c r="F950" s="82" t="s">
        <v>6</v>
      </c>
      <c r="G950" s="83" t="s">
        <v>6</v>
      </c>
    </row>
    <row r="951" ht="22.5" customHeight="1">
      <c r="A951" s="80"/>
      <c r="B951" s="81"/>
      <c r="C951" s="82"/>
      <c r="D951" s="82" t="s">
        <v>6</v>
      </c>
      <c r="E951" s="82" t="s">
        <v>6</v>
      </c>
      <c r="F951" s="82" t="s">
        <v>6</v>
      </c>
      <c r="G951" s="83" t="s">
        <v>6</v>
      </c>
    </row>
    <row r="952" ht="22.5" customHeight="1">
      <c r="A952" s="80"/>
      <c r="B952" s="81"/>
      <c r="C952" s="82"/>
      <c r="D952" s="82" t="s">
        <v>6</v>
      </c>
      <c r="E952" s="82" t="s">
        <v>6</v>
      </c>
      <c r="F952" s="82" t="s">
        <v>6</v>
      </c>
      <c r="G952" s="83" t="s">
        <v>6</v>
      </c>
    </row>
    <row r="953" ht="22.5" customHeight="1">
      <c r="A953" s="80"/>
      <c r="B953" s="81"/>
      <c r="C953" s="82"/>
      <c r="D953" s="82" t="s">
        <v>6</v>
      </c>
      <c r="E953" s="82" t="s">
        <v>6</v>
      </c>
      <c r="F953" s="82" t="s">
        <v>6</v>
      </c>
      <c r="G953" s="83" t="s">
        <v>6</v>
      </c>
    </row>
    <row r="954" ht="22.5" customHeight="1">
      <c r="A954" s="80"/>
      <c r="B954" s="81"/>
      <c r="C954" s="82"/>
      <c r="D954" s="82" t="s">
        <v>6</v>
      </c>
      <c r="E954" s="82" t="s">
        <v>6</v>
      </c>
      <c r="F954" s="82" t="s">
        <v>6</v>
      </c>
      <c r="G954" s="83" t="s">
        <v>6</v>
      </c>
    </row>
    <row r="955" ht="22.5" customHeight="1">
      <c r="A955" s="80"/>
      <c r="B955" s="81"/>
      <c r="C955" s="82"/>
      <c r="D955" s="82" t="s">
        <v>6</v>
      </c>
      <c r="E955" s="82" t="s">
        <v>6</v>
      </c>
      <c r="F955" s="82" t="s">
        <v>6</v>
      </c>
      <c r="G955" s="83" t="s">
        <v>6</v>
      </c>
    </row>
    <row r="956" ht="22.5" customHeight="1">
      <c r="A956" s="80"/>
      <c r="B956" s="81"/>
      <c r="C956" s="82"/>
      <c r="D956" s="82" t="s">
        <v>6</v>
      </c>
      <c r="E956" s="82" t="s">
        <v>6</v>
      </c>
      <c r="F956" s="82" t="s">
        <v>6</v>
      </c>
      <c r="G956" s="83" t="s">
        <v>6</v>
      </c>
    </row>
    <row r="957" ht="22.5" customHeight="1">
      <c r="A957" s="80"/>
      <c r="B957" s="81"/>
      <c r="C957" s="82"/>
      <c r="D957" s="82" t="s">
        <v>6</v>
      </c>
      <c r="E957" s="82" t="s">
        <v>6</v>
      </c>
      <c r="F957" s="82" t="s">
        <v>6</v>
      </c>
      <c r="G957" s="83" t="s">
        <v>6</v>
      </c>
    </row>
    <row r="958" ht="22.5" customHeight="1">
      <c r="A958" s="80"/>
      <c r="B958" s="81"/>
      <c r="C958" s="82"/>
      <c r="D958" s="82" t="s">
        <v>6</v>
      </c>
      <c r="E958" s="82" t="s">
        <v>6</v>
      </c>
      <c r="F958" s="82" t="s">
        <v>6</v>
      </c>
      <c r="G958" s="83" t="s">
        <v>6</v>
      </c>
    </row>
    <row r="959" ht="22.5" customHeight="1">
      <c r="A959" s="80"/>
      <c r="B959" s="81"/>
      <c r="C959" s="82"/>
      <c r="D959" s="82" t="s">
        <v>6</v>
      </c>
      <c r="E959" s="82" t="s">
        <v>6</v>
      </c>
      <c r="F959" s="82" t="s">
        <v>6</v>
      </c>
      <c r="G959" s="83" t="s">
        <v>6</v>
      </c>
    </row>
    <row r="960" ht="22.5" customHeight="1">
      <c r="A960" s="80"/>
      <c r="B960" s="81"/>
      <c r="C960" s="82"/>
      <c r="D960" s="82" t="s">
        <v>6</v>
      </c>
      <c r="E960" s="82" t="s">
        <v>6</v>
      </c>
      <c r="F960" s="82" t="s">
        <v>6</v>
      </c>
      <c r="G960" s="83" t="s">
        <v>6</v>
      </c>
    </row>
    <row r="961" ht="22.5" customHeight="1">
      <c r="A961" s="80"/>
      <c r="B961" s="81"/>
      <c r="C961" s="82"/>
      <c r="D961" s="82" t="s">
        <v>6</v>
      </c>
      <c r="E961" s="82" t="s">
        <v>6</v>
      </c>
      <c r="F961" s="82" t="s">
        <v>6</v>
      </c>
      <c r="G961" s="83" t="s">
        <v>6</v>
      </c>
    </row>
    <row r="962" ht="22.5" customHeight="1">
      <c r="A962" s="80"/>
      <c r="B962" s="81"/>
      <c r="C962" s="82"/>
      <c r="D962" s="82" t="s">
        <v>6</v>
      </c>
      <c r="E962" s="82" t="s">
        <v>6</v>
      </c>
      <c r="F962" s="82" t="s">
        <v>6</v>
      </c>
      <c r="G962" s="83" t="s">
        <v>6</v>
      </c>
    </row>
    <row r="963" ht="22.5" customHeight="1">
      <c r="A963" s="80"/>
      <c r="B963" s="81"/>
      <c r="C963" s="82"/>
      <c r="D963" s="82" t="s">
        <v>6</v>
      </c>
      <c r="E963" s="82" t="s">
        <v>6</v>
      </c>
      <c r="F963" s="82" t="s">
        <v>6</v>
      </c>
      <c r="G963" s="83" t="s">
        <v>6</v>
      </c>
    </row>
    <row r="964" ht="22.5" customHeight="1">
      <c r="A964" s="80"/>
      <c r="B964" s="81"/>
      <c r="C964" s="82"/>
      <c r="D964" s="82" t="s">
        <v>6</v>
      </c>
      <c r="E964" s="82" t="s">
        <v>6</v>
      </c>
      <c r="F964" s="82" t="s">
        <v>6</v>
      </c>
      <c r="G964" s="83" t="s">
        <v>6</v>
      </c>
    </row>
    <row r="965" ht="22.5" customHeight="1">
      <c r="A965" s="80"/>
      <c r="B965" s="81"/>
      <c r="C965" s="82"/>
      <c r="D965" s="82" t="s">
        <v>6</v>
      </c>
      <c r="E965" s="82" t="s">
        <v>6</v>
      </c>
      <c r="F965" s="82" t="s">
        <v>6</v>
      </c>
      <c r="G965" s="83" t="s">
        <v>6</v>
      </c>
    </row>
    <row r="966" ht="22.5" customHeight="1">
      <c r="A966" s="80"/>
      <c r="B966" s="81"/>
      <c r="C966" s="82"/>
      <c r="D966" s="82" t="s">
        <v>6</v>
      </c>
      <c r="E966" s="82" t="s">
        <v>6</v>
      </c>
      <c r="F966" s="82" t="s">
        <v>6</v>
      </c>
      <c r="G966" s="83" t="s">
        <v>6</v>
      </c>
    </row>
    <row r="967" ht="22.5" customHeight="1">
      <c r="A967" s="80"/>
      <c r="B967" s="81"/>
      <c r="C967" s="82"/>
      <c r="D967" s="82" t="s">
        <v>6</v>
      </c>
      <c r="E967" s="82" t="s">
        <v>6</v>
      </c>
      <c r="F967" s="82" t="s">
        <v>6</v>
      </c>
      <c r="G967" s="83" t="s">
        <v>6</v>
      </c>
    </row>
    <row r="968" ht="22.5" customHeight="1">
      <c r="A968" s="80"/>
      <c r="B968" s="81"/>
      <c r="C968" s="82"/>
      <c r="D968" s="82" t="s">
        <v>6</v>
      </c>
      <c r="E968" s="82" t="s">
        <v>6</v>
      </c>
      <c r="F968" s="82" t="s">
        <v>6</v>
      </c>
      <c r="G968" s="83" t="s">
        <v>6</v>
      </c>
    </row>
    <row r="969" ht="22.5" customHeight="1">
      <c r="A969" s="80"/>
      <c r="B969" s="81"/>
      <c r="C969" s="82"/>
      <c r="D969" s="82" t="s">
        <v>6</v>
      </c>
      <c r="E969" s="82" t="s">
        <v>6</v>
      </c>
      <c r="F969" s="82" t="s">
        <v>6</v>
      </c>
      <c r="G969" s="83" t="s">
        <v>6</v>
      </c>
    </row>
    <row r="970" ht="22.5" customHeight="1">
      <c r="A970" s="80"/>
      <c r="B970" s="81"/>
      <c r="C970" s="82"/>
      <c r="D970" s="82" t="s">
        <v>6</v>
      </c>
      <c r="E970" s="82" t="s">
        <v>6</v>
      </c>
      <c r="F970" s="82" t="s">
        <v>6</v>
      </c>
      <c r="G970" s="83" t="s">
        <v>6</v>
      </c>
    </row>
    <row r="971" ht="22.5" customHeight="1">
      <c r="A971" s="80"/>
      <c r="B971" s="81"/>
      <c r="C971" s="82"/>
      <c r="D971" s="82" t="s">
        <v>6</v>
      </c>
      <c r="E971" s="82" t="s">
        <v>6</v>
      </c>
      <c r="F971" s="82" t="s">
        <v>6</v>
      </c>
      <c r="G971" s="83" t="s">
        <v>6</v>
      </c>
    </row>
    <row r="972" ht="22.5" customHeight="1">
      <c r="A972" s="80"/>
      <c r="B972" s="81"/>
      <c r="C972" s="82"/>
      <c r="D972" s="82" t="s">
        <v>6</v>
      </c>
      <c r="E972" s="82" t="s">
        <v>6</v>
      </c>
      <c r="F972" s="82" t="s">
        <v>6</v>
      </c>
      <c r="G972" s="83" t="s">
        <v>6</v>
      </c>
    </row>
    <row r="973" ht="22.5" customHeight="1">
      <c r="A973" s="80"/>
      <c r="B973" s="81"/>
      <c r="C973" s="82"/>
      <c r="D973" s="82" t="s">
        <v>6</v>
      </c>
      <c r="E973" s="82" t="s">
        <v>6</v>
      </c>
      <c r="F973" s="82" t="s">
        <v>6</v>
      </c>
      <c r="G973" s="83" t="s">
        <v>6</v>
      </c>
    </row>
    <row r="974" ht="22.5" customHeight="1">
      <c r="A974" s="80"/>
      <c r="B974" s="81"/>
      <c r="C974" s="82"/>
      <c r="D974" s="82" t="s">
        <v>6</v>
      </c>
      <c r="E974" s="82" t="s">
        <v>6</v>
      </c>
      <c r="F974" s="82" t="s">
        <v>6</v>
      </c>
      <c r="G974" s="83" t="s">
        <v>6</v>
      </c>
    </row>
    <row r="975" ht="22.5" customHeight="1">
      <c r="A975" s="80"/>
      <c r="B975" s="81"/>
      <c r="C975" s="82"/>
      <c r="D975" s="82" t="s">
        <v>6</v>
      </c>
      <c r="E975" s="82" t="s">
        <v>6</v>
      </c>
      <c r="F975" s="82" t="s">
        <v>6</v>
      </c>
      <c r="G975" s="83" t="s">
        <v>6</v>
      </c>
    </row>
    <row r="976" ht="22.5" customHeight="1">
      <c r="A976" s="80"/>
      <c r="B976" s="81"/>
      <c r="C976" s="82"/>
      <c r="D976" s="82" t="s">
        <v>6</v>
      </c>
      <c r="E976" s="82" t="s">
        <v>6</v>
      </c>
      <c r="F976" s="82" t="s">
        <v>6</v>
      </c>
      <c r="G976" s="83" t="s">
        <v>6</v>
      </c>
    </row>
    <row r="977" ht="22.5" customHeight="1">
      <c r="A977" s="80"/>
      <c r="B977" s="81"/>
      <c r="C977" s="82"/>
      <c r="D977" s="82" t="s">
        <v>6</v>
      </c>
      <c r="E977" s="82" t="s">
        <v>6</v>
      </c>
      <c r="F977" s="82" t="s">
        <v>6</v>
      </c>
      <c r="G977" s="83" t="s">
        <v>6</v>
      </c>
    </row>
    <row r="978" ht="22.5" customHeight="1">
      <c r="A978" s="80"/>
      <c r="B978" s="81"/>
      <c r="C978" s="82"/>
      <c r="D978" s="82" t="s">
        <v>6</v>
      </c>
      <c r="E978" s="82" t="s">
        <v>6</v>
      </c>
      <c r="F978" s="82" t="s">
        <v>6</v>
      </c>
      <c r="G978" s="83" t="s">
        <v>6</v>
      </c>
    </row>
    <row r="979" ht="22.5" customHeight="1">
      <c r="A979" s="80"/>
      <c r="B979" s="81"/>
      <c r="C979" s="82"/>
      <c r="D979" s="82" t="s">
        <v>6</v>
      </c>
      <c r="E979" s="82" t="s">
        <v>6</v>
      </c>
      <c r="F979" s="82" t="s">
        <v>6</v>
      </c>
      <c r="G979" s="83" t="s">
        <v>6</v>
      </c>
    </row>
    <row r="980" ht="22.5" customHeight="1">
      <c r="A980" s="80"/>
      <c r="B980" s="81"/>
      <c r="C980" s="82"/>
      <c r="D980" s="82" t="s">
        <v>6</v>
      </c>
      <c r="E980" s="82" t="s">
        <v>6</v>
      </c>
      <c r="F980" s="82" t="s">
        <v>6</v>
      </c>
      <c r="G980" s="83" t="s">
        <v>6</v>
      </c>
    </row>
    <row r="981" ht="22.5" customHeight="1">
      <c r="A981" s="80"/>
      <c r="B981" s="81"/>
      <c r="C981" s="82"/>
      <c r="D981" s="82" t="s">
        <v>6</v>
      </c>
      <c r="E981" s="82" t="s">
        <v>6</v>
      </c>
      <c r="F981" s="82" t="s">
        <v>6</v>
      </c>
      <c r="G981" s="83" t="s">
        <v>6</v>
      </c>
    </row>
    <row r="982" ht="22.5" customHeight="1">
      <c r="A982" s="80"/>
      <c r="B982" s="81"/>
      <c r="C982" s="82"/>
      <c r="D982" s="82" t="s">
        <v>6</v>
      </c>
      <c r="E982" s="82" t="s">
        <v>6</v>
      </c>
      <c r="F982" s="82" t="s">
        <v>6</v>
      </c>
      <c r="G982" s="83" t="s">
        <v>6</v>
      </c>
    </row>
    <row r="983" ht="22.5" customHeight="1">
      <c r="A983" s="80"/>
      <c r="B983" s="81"/>
      <c r="C983" s="82"/>
      <c r="D983" s="82" t="s">
        <v>6</v>
      </c>
      <c r="E983" s="82" t="s">
        <v>6</v>
      </c>
      <c r="F983" s="82" t="s">
        <v>6</v>
      </c>
      <c r="G983" s="83" t="s">
        <v>6</v>
      </c>
    </row>
    <row r="984" ht="22.5" customHeight="1">
      <c r="A984" s="80"/>
      <c r="B984" s="81"/>
      <c r="C984" s="82"/>
      <c r="D984" s="82" t="s">
        <v>6</v>
      </c>
      <c r="E984" s="82" t="s">
        <v>6</v>
      </c>
      <c r="F984" s="82" t="s">
        <v>6</v>
      </c>
      <c r="G984" s="83" t="s">
        <v>6</v>
      </c>
    </row>
    <row r="985" ht="22.5" customHeight="1">
      <c r="A985" s="80"/>
      <c r="B985" s="81"/>
      <c r="C985" s="82"/>
      <c r="D985" s="82" t="s">
        <v>6</v>
      </c>
      <c r="E985" s="82" t="s">
        <v>6</v>
      </c>
      <c r="F985" s="82" t="s">
        <v>6</v>
      </c>
      <c r="G985" s="83" t="s">
        <v>6</v>
      </c>
    </row>
    <row r="986" ht="22.5" customHeight="1">
      <c r="A986" s="80"/>
      <c r="B986" s="81"/>
      <c r="C986" s="82"/>
      <c r="D986" s="82" t="s">
        <v>6</v>
      </c>
      <c r="E986" s="82" t="s">
        <v>6</v>
      </c>
      <c r="F986" s="82" t="s">
        <v>6</v>
      </c>
      <c r="G986" s="83" t="s">
        <v>6</v>
      </c>
    </row>
    <row r="987" ht="22.5" customHeight="1">
      <c r="A987" s="80"/>
      <c r="B987" s="81"/>
      <c r="C987" s="82"/>
      <c r="D987" s="82" t="s">
        <v>6</v>
      </c>
      <c r="E987" s="82" t="s">
        <v>6</v>
      </c>
      <c r="F987" s="82" t="s">
        <v>6</v>
      </c>
      <c r="G987" s="83" t="s">
        <v>6</v>
      </c>
    </row>
    <row r="988" ht="22.5" customHeight="1">
      <c r="A988" s="80"/>
      <c r="B988" s="81"/>
      <c r="C988" s="82"/>
      <c r="D988" s="82" t="s">
        <v>6</v>
      </c>
      <c r="E988" s="82" t="s">
        <v>6</v>
      </c>
      <c r="F988" s="82" t="s">
        <v>6</v>
      </c>
      <c r="G988" s="83" t="s">
        <v>6</v>
      </c>
    </row>
    <row r="989" ht="22.5" customHeight="1">
      <c r="A989" s="80"/>
      <c r="B989" s="81"/>
      <c r="C989" s="82"/>
      <c r="D989" s="82" t="s">
        <v>6</v>
      </c>
      <c r="E989" s="82" t="s">
        <v>6</v>
      </c>
      <c r="F989" s="82" t="s">
        <v>6</v>
      </c>
      <c r="G989" s="83" t="s">
        <v>6</v>
      </c>
    </row>
    <row r="990" ht="22.5" customHeight="1">
      <c r="A990" s="80"/>
      <c r="B990" s="81"/>
      <c r="C990" s="82"/>
      <c r="D990" s="82" t="s">
        <v>6</v>
      </c>
      <c r="E990" s="82" t="s">
        <v>6</v>
      </c>
      <c r="F990" s="82" t="s">
        <v>6</v>
      </c>
      <c r="G990" s="83" t="s">
        <v>6</v>
      </c>
    </row>
    <row r="991" ht="22.5" customHeight="1">
      <c r="A991" s="80"/>
      <c r="B991" s="81"/>
      <c r="C991" s="82"/>
      <c r="D991" s="82" t="s">
        <v>6</v>
      </c>
      <c r="E991" s="82" t="s">
        <v>6</v>
      </c>
      <c r="F991" s="82" t="s">
        <v>6</v>
      </c>
      <c r="G991" s="83" t="s">
        <v>6</v>
      </c>
    </row>
    <row r="992" ht="22.5" customHeight="1">
      <c r="A992" s="80"/>
      <c r="B992" s="81"/>
      <c r="C992" s="82"/>
      <c r="D992" s="82" t="s">
        <v>6</v>
      </c>
      <c r="E992" s="82" t="s">
        <v>6</v>
      </c>
      <c r="F992" s="82" t="s">
        <v>6</v>
      </c>
      <c r="G992" s="83" t="s">
        <v>6</v>
      </c>
    </row>
    <row r="993" ht="22.5" customHeight="1">
      <c r="A993" s="80"/>
      <c r="B993" s="81"/>
      <c r="C993" s="82"/>
      <c r="D993" s="82" t="s">
        <v>6</v>
      </c>
      <c r="E993" s="82" t="s">
        <v>6</v>
      </c>
      <c r="F993" s="82" t="s">
        <v>6</v>
      </c>
      <c r="G993" s="83" t="s">
        <v>6</v>
      </c>
    </row>
    <row r="994" ht="22.5" customHeight="1">
      <c r="A994" s="80"/>
      <c r="B994" s="81"/>
      <c r="C994" s="82"/>
      <c r="D994" s="82" t="s">
        <v>6</v>
      </c>
      <c r="E994" s="82" t="s">
        <v>6</v>
      </c>
      <c r="F994" s="82" t="s">
        <v>6</v>
      </c>
      <c r="G994" s="83" t="s">
        <v>6</v>
      </c>
    </row>
    <row r="995" ht="22.5" customHeight="1">
      <c r="A995" s="80"/>
      <c r="B995" s="81"/>
      <c r="C995" s="82"/>
      <c r="D995" s="82" t="s">
        <v>6</v>
      </c>
      <c r="E995" s="82" t="s">
        <v>6</v>
      </c>
      <c r="F995" s="82" t="s">
        <v>6</v>
      </c>
      <c r="G995" s="83" t="s">
        <v>6</v>
      </c>
    </row>
    <row r="996" ht="22.5" customHeight="1">
      <c r="A996" s="80"/>
      <c r="B996" s="81"/>
      <c r="C996" s="82"/>
      <c r="D996" s="82" t="s">
        <v>6</v>
      </c>
      <c r="E996" s="82" t="s">
        <v>6</v>
      </c>
      <c r="F996" s="82" t="s">
        <v>6</v>
      </c>
      <c r="G996" s="83" t="s">
        <v>6</v>
      </c>
    </row>
    <row r="997" ht="22.5" customHeight="1">
      <c r="A997" s="80"/>
      <c r="B997" s="81"/>
      <c r="C997" s="82"/>
      <c r="D997" s="82" t="s">
        <v>6</v>
      </c>
      <c r="E997" s="82" t="s">
        <v>6</v>
      </c>
      <c r="F997" s="82" t="s">
        <v>6</v>
      </c>
      <c r="G997" s="83" t="s">
        <v>6</v>
      </c>
    </row>
    <row r="998" ht="22.5" customHeight="1">
      <c r="A998" s="80"/>
      <c r="B998" s="81"/>
      <c r="C998" s="82"/>
      <c r="D998" s="82" t="s">
        <v>6</v>
      </c>
      <c r="E998" s="82" t="s">
        <v>6</v>
      </c>
      <c r="F998" s="82" t="s">
        <v>6</v>
      </c>
      <c r="G998" s="83" t="s">
        <v>6</v>
      </c>
    </row>
    <row r="999" ht="22.5" customHeight="1">
      <c r="A999" s="80"/>
      <c r="B999" s="81"/>
      <c r="C999" s="82"/>
      <c r="D999" s="82" t="s">
        <v>6</v>
      </c>
      <c r="E999" s="82" t="s">
        <v>6</v>
      </c>
      <c r="F999" s="82" t="s">
        <v>6</v>
      </c>
      <c r="G999" s="83" t="s">
        <v>6</v>
      </c>
    </row>
    <row r="1000" ht="22.5" customHeight="1">
      <c r="A1000" s="80"/>
      <c r="B1000" s="81"/>
      <c r="C1000" s="82"/>
      <c r="D1000" s="82" t="s">
        <v>6</v>
      </c>
      <c r="E1000" s="82" t="s">
        <v>6</v>
      </c>
      <c r="F1000" s="82" t="s">
        <v>6</v>
      </c>
      <c r="G1000" s="83" t="s">
        <v>6</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sheetViews>
  <sheetFormatPr customHeight="1" defaultColWidth="12.63" defaultRowHeight="15.0"/>
  <cols>
    <col customWidth="1" min="1" max="1" width="11.0"/>
    <col customWidth="1" min="2" max="2" width="27.0"/>
    <col customWidth="1" min="3" max="3" width="24.13"/>
    <col customWidth="1" min="4" max="4" width="17.88"/>
    <col customWidth="1" min="5" max="5" width="12.75"/>
    <col customWidth="1" min="6" max="6" width="97.63"/>
    <col customWidth="1" min="7" max="7" width="18.38"/>
    <col customWidth="1" min="8" max="8" width="14.38"/>
  </cols>
  <sheetData>
    <row r="1" ht="35.25" customHeight="1">
      <c r="A1" s="84" t="s">
        <v>7</v>
      </c>
      <c r="B1" s="84" t="s">
        <v>497</v>
      </c>
      <c r="C1" s="84" t="s">
        <v>498</v>
      </c>
      <c r="D1" s="84" t="s">
        <v>499</v>
      </c>
      <c r="E1" s="85" t="s">
        <v>500</v>
      </c>
      <c r="F1" s="86" t="s">
        <v>501</v>
      </c>
      <c r="G1" s="87" t="s">
        <v>502</v>
      </c>
      <c r="H1" s="84" t="s">
        <v>503</v>
      </c>
    </row>
    <row r="2">
      <c r="A2" s="88">
        <v>45804.0</v>
      </c>
      <c r="B2" s="89" t="s">
        <v>504</v>
      </c>
      <c r="C2" s="89" t="s">
        <v>505</v>
      </c>
      <c r="D2" s="89" t="s">
        <v>506</v>
      </c>
      <c r="E2" s="89">
        <v>2027.0</v>
      </c>
      <c r="F2" s="90" t="s">
        <v>507</v>
      </c>
      <c r="G2" s="91">
        <v>7.0</v>
      </c>
      <c r="H2" s="92"/>
    </row>
    <row r="3">
      <c r="A3" s="93">
        <v>45804.0</v>
      </c>
      <c r="B3" s="89" t="s">
        <v>508</v>
      </c>
      <c r="C3" s="89" t="s">
        <v>509</v>
      </c>
      <c r="D3" s="89" t="s">
        <v>506</v>
      </c>
      <c r="E3" s="89">
        <v>2027.0</v>
      </c>
      <c r="F3" s="90" t="s">
        <v>510</v>
      </c>
      <c r="G3" s="91">
        <v>9.0</v>
      </c>
      <c r="H3" s="92"/>
    </row>
    <row r="4">
      <c r="A4" s="93">
        <v>45804.0</v>
      </c>
      <c r="B4" s="89" t="s">
        <v>511</v>
      </c>
      <c r="C4" s="89" t="s">
        <v>512</v>
      </c>
      <c r="D4" s="89" t="s">
        <v>506</v>
      </c>
      <c r="E4" s="89">
        <v>2026.0</v>
      </c>
      <c r="F4" s="90" t="s">
        <v>513</v>
      </c>
      <c r="G4" s="91">
        <v>16.0</v>
      </c>
      <c r="H4" s="92"/>
    </row>
    <row r="5">
      <c r="A5" s="88">
        <v>45804.0</v>
      </c>
      <c r="B5" s="89" t="s">
        <v>514</v>
      </c>
      <c r="C5" s="89" t="s">
        <v>515</v>
      </c>
      <c r="D5" s="89" t="s">
        <v>506</v>
      </c>
      <c r="E5" s="89">
        <v>2025.0</v>
      </c>
      <c r="F5" s="90" t="s">
        <v>516</v>
      </c>
      <c r="G5" s="91">
        <v>54.0</v>
      </c>
      <c r="H5" s="92"/>
    </row>
    <row r="6">
      <c r="A6" s="88">
        <v>45804.0</v>
      </c>
      <c r="B6" s="89" t="s">
        <v>517</v>
      </c>
      <c r="C6" s="89" t="s">
        <v>518</v>
      </c>
      <c r="D6" s="89" t="s">
        <v>506</v>
      </c>
      <c r="E6" s="89">
        <v>2026.0</v>
      </c>
      <c r="F6" s="90" t="s">
        <v>519</v>
      </c>
      <c r="G6" s="91">
        <v>29.0</v>
      </c>
      <c r="H6" s="92"/>
    </row>
    <row r="7">
      <c r="A7" s="88">
        <v>45804.0</v>
      </c>
      <c r="B7" s="89" t="s">
        <v>520</v>
      </c>
      <c r="C7" s="89" t="s">
        <v>521</v>
      </c>
      <c r="D7" s="89" t="s">
        <v>506</v>
      </c>
      <c r="E7" s="89">
        <v>2027.0</v>
      </c>
      <c r="F7" s="90" t="s">
        <v>522</v>
      </c>
      <c r="G7" s="91">
        <v>30.0</v>
      </c>
      <c r="H7" s="92"/>
    </row>
    <row r="8">
      <c r="A8" s="88">
        <v>45804.0</v>
      </c>
      <c r="B8" s="89" t="s">
        <v>523</v>
      </c>
      <c r="C8" s="89" t="s">
        <v>524</v>
      </c>
      <c r="D8" s="89" t="s">
        <v>506</v>
      </c>
      <c r="E8" s="89">
        <v>2026.0</v>
      </c>
      <c r="F8" s="90" t="s">
        <v>525</v>
      </c>
      <c r="G8" s="91">
        <v>13.0</v>
      </c>
      <c r="H8" s="92"/>
    </row>
    <row r="9">
      <c r="A9" s="88">
        <v>45804.0</v>
      </c>
      <c r="B9" s="89" t="s">
        <v>526</v>
      </c>
      <c r="C9" s="89" t="s">
        <v>527</v>
      </c>
      <c r="D9" s="89" t="s">
        <v>506</v>
      </c>
      <c r="E9" s="89">
        <v>2028.0</v>
      </c>
      <c r="F9" s="90" t="s">
        <v>528</v>
      </c>
      <c r="G9" s="91">
        <v>8.0</v>
      </c>
      <c r="H9" s="92"/>
    </row>
    <row r="10">
      <c r="A10" s="88">
        <v>45804.0</v>
      </c>
      <c r="B10" s="89" t="s">
        <v>529</v>
      </c>
      <c r="C10" s="89" t="s">
        <v>530</v>
      </c>
      <c r="D10" s="89" t="s">
        <v>506</v>
      </c>
      <c r="E10" s="89">
        <v>2027.0</v>
      </c>
      <c r="F10" s="90" t="s">
        <v>531</v>
      </c>
      <c r="G10" s="91">
        <v>11.0</v>
      </c>
      <c r="H10" s="92"/>
    </row>
    <row r="11">
      <c r="A11" s="88">
        <v>45804.0</v>
      </c>
      <c r="B11" s="89" t="s">
        <v>532</v>
      </c>
      <c r="C11" s="89" t="s">
        <v>533</v>
      </c>
      <c r="D11" s="89" t="s">
        <v>506</v>
      </c>
      <c r="E11" s="89">
        <v>2027.0</v>
      </c>
      <c r="F11" s="94" t="s">
        <v>534</v>
      </c>
      <c r="G11" s="91">
        <v>4.0</v>
      </c>
      <c r="H11" s="92"/>
    </row>
    <row r="12">
      <c r="A12" s="88">
        <v>45804.0</v>
      </c>
      <c r="B12" s="89" t="s">
        <v>535</v>
      </c>
      <c r="C12" s="89" t="s">
        <v>536</v>
      </c>
      <c r="D12" s="89" t="s">
        <v>506</v>
      </c>
      <c r="E12" s="89">
        <v>2027.0</v>
      </c>
      <c r="F12" s="90" t="s">
        <v>537</v>
      </c>
      <c r="G12" s="91">
        <v>1.0</v>
      </c>
      <c r="H12" s="92"/>
    </row>
    <row r="13">
      <c r="A13" s="88">
        <v>45804.0</v>
      </c>
      <c r="B13" s="89" t="s">
        <v>514</v>
      </c>
      <c r="C13" s="89" t="s">
        <v>515</v>
      </c>
      <c r="D13" s="89" t="s">
        <v>506</v>
      </c>
      <c r="E13" s="89">
        <v>2025.0</v>
      </c>
      <c r="F13" s="90" t="s">
        <v>538</v>
      </c>
      <c r="G13" s="91">
        <v>2.0</v>
      </c>
      <c r="H13" s="92"/>
    </row>
    <row r="14">
      <c r="A14" s="88">
        <v>45804.0</v>
      </c>
      <c r="B14" s="89" t="s">
        <v>539</v>
      </c>
      <c r="C14" s="89" t="s">
        <v>540</v>
      </c>
      <c r="D14" s="89" t="s">
        <v>506</v>
      </c>
      <c r="E14" s="89">
        <v>2026.0</v>
      </c>
      <c r="F14" s="90" t="s">
        <v>541</v>
      </c>
      <c r="G14" s="91">
        <v>1.0</v>
      </c>
      <c r="H14" s="92"/>
    </row>
    <row r="15">
      <c r="A15" s="88">
        <v>45804.0</v>
      </c>
      <c r="B15" s="89" t="s">
        <v>542</v>
      </c>
      <c r="C15" s="89" t="s">
        <v>543</v>
      </c>
      <c r="D15" s="89" t="s">
        <v>506</v>
      </c>
      <c r="E15" s="89">
        <v>2026.0</v>
      </c>
      <c r="F15" s="90" t="s">
        <v>544</v>
      </c>
      <c r="G15" s="91">
        <v>7.0</v>
      </c>
      <c r="H15" s="92"/>
    </row>
    <row r="16">
      <c r="A16" s="88">
        <v>45804.0</v>
      </c>
      <c r="B16" s="89" t="s">
        <v>545</v>
      </c>
      <c r="C16" s="89" t="s">
        <v>546</v>
      </c>
      <c r="D16" s="89" t="s">
        <v>506</v>
      </c>
      <c r="E16" s="89">
        <v>2027.0</v>
      </c>
      <c r="F16" s="90" t="s">
        <v>547</v>
      </c>
      <c r="G16" s="91">
        <v>8.0</v>
      </c>
      <c r="H16" s="92"/>
    </row>
    <row r="17">
      <c r="A17" s="88">
        <v>45804.0</v>
      </c>
      <c r="B17" s="89" t="s">
        <v>548</v>
      </c>
      <c r="C17" s="89" t="s">
        <v>549</v>
      </c>
      <c r="D17" s="89" t="s">
        <v>506</v>
      </c>
      <c r="E17" s="89">
        <v>2028.0</v>
      </c>
      <c r="F17" s="90" t="s">
        <v>550</v>
      </c>
      <c r="G17" s="91">
        <v>3.0</v>
      </c>
      <c r="H17" s="92"/>
    </row>
    <row r="18">
      <c r="A18" s="88">
        <v>45804.0</v>
      </c>
      <c r="B18" s="89" t="s">
        <v>551</v>
      </c>
      <c r="C18" s="89" t="s">
        <v>552</v>
      </c>
      <c r="D18" s="89" t="s">
        <v>506</v>
      </c>
      <c r="E18" s="89">
        <v>2028.0</v>
      </c>
      <c r="F18" s="90" t="s">
        <v>553</v>
      </c>
      <c r="G18" s="91">
        <v>3.0</v>
      </c>
      <c r="H18" s="92"/>
    </row>
    <row r="19">
      <c r="A19" s="88">
        <v>45804.0</v>
      </c>
      <c r="B19" s="89" t="s">
        <v>554</v>
      </c>
      <c r="C19" s="89" t="s">
        <v>555</v>
      </c>
      <c r="D19" s="89" t="s">
        <v>506</v>
      </c>
      <c r="E19" s="89">
        <v>2028.0</v>
      </c>
      <c r="F19" s="90" t="s">
        <v>556</v>
      </c>
      <c r="G19" s="91">
        <v>2.0</v>
      </c>
      <c r="H19" s="92"/>
    </row>
    <row r="20">
      <c r="A20" s="88">
        <v>45804.0</v>
      </c>
      <c r="B20" s="89" t="s">
        <v>557</v>
      </c>
      <c r="C20" s="89" t="s">
        <v>558</v>
      </c>
      <c r="D20" s="89" t="s">
        <v>506</v>
      </c>
      <c r="E20" s="89">
        <v>2028.0</v>
      </c>
      <c r="F20" s="90" t="s">
        <v>559</v>
      </c>
      <c r="G20" s="91">
        <v>9.0</v>
      </c>
      <c r="H20" s="92"/>
    </row>
    <row r="21">
      <c r="A21" s="88">
        <v>45804.0</v>
      </c>
      <c r="B21" s="89" t="s">
        <v>560</v>
      </c>
      <c r="C21" s="89" t="s">
        <v>561</v>
      </c>
      <c r="D21" s="89" t="s">
        <v>506</v>
      </c>
      <c r="E21" s="89">
        <v>2028.0</v>
      </c>
      <c r="F21" s="90" t="s">
        <v>562</v>
      </c>
      <c r="G21" s="91">
        <v>4.0</v>
      </c>
      <c r="H21" s="92"/>
    </row>
    <row r="22">
      <c r="A22" s="88">
        <v>45804.0</v>
      </c>
      <c r="B22" s="89" t="s">
        <v>563</v>
      </c>
      <c r="C22" s="89" t="s">
        <v>564</v>
      </c>
      <c r="D22" s="89" t="s">
        <v>506</v>
      </c>
      <c r="E22" s="89">
        <v>2027.0</v>
      </c>
      <c r="F22" s="90" t="s">
        <v>565</v>
      </c>
      <c r="G22" s="91">
        <v>2.0</v>
      </c>
      <c r="H22" s="92"/>
    </row>
    <row r="23">
      <c r="A23" s="88">
        <v>45804.0</v>
      </c>
      <c r="B23" s="89" t="s">
        <v>566</v>
      </c>
      <c r="C23" s="89" t="s">
        <v>567</v>
      </c>
      <c r="D23" s="89" t="s">
        <v>506</v>
      </c>
      <c r="E23" s="89">
        <v>2027.0</v>
      </c>
      <c r="F23" s="90" t="s">
        <v>568</v>
      </c>
      <c r="G23" s="91">
        <v>18.0</v>
      </c>
      <c r="H23" s="92"/>
    </row>
    <row r="24">
      <c r="A24" s="88">
        <v>45804.0</v>
      </c>
      <c r="B24" s="95" t="s">
        <v>569</v>
      </c>
      <c r="C24" s="89" t="s">
        <v>570</v>
      </c>
      <c r="D24" s="89" t="s">
        <v>506</v>
      </c>
      <c r="E24" s="89">
        <v>2028.0</v>
      </c>
      <c r="F24" s="90" t="s">
        <v>571</v>
      </c>
      <c r="G24" s="91">
        <v>3.0</v>
      </c>
      <c r="H24" s="92"/>
    </row>
    <row r="25">
      <c r="A25" s="88">
        <v>45804.0</v>
      </c>
      <c r="B25" s="95" t="s">
        <v>572</v>
      </c>
      <c r="C25" s="89" t="s">
        <v>573</v>
      </c>
      <c r="D25" s="89" t="s">
        <v>506</v>
      </c>
      <c r="E25" s="89">
        <v>2027.0</v>
      </c>
      <c r="F25" s="90" t="s">
        <v>574</v>
      </c>
      <c r="G25" s="91">
        <v>3.0</v>
      </c>
      <c r="H25" s="92"/>
    </row>
    <row r="26">
      <c r="A26" s="88">
        <v>45804.0</v>
      </c>
      <c r="B26" s="89" t="s">
        <v>575</v>
      </c>
      <c r="C26" s="89" t="s">
        <v>576</v>
      </c>
      <c r="D26" s="89" t="s">
        <v>506</v>
      </c>
      <c r="E26" s="89">
        <v>2027.0</v>
      </c>
      <c r="F26" s="96" t="s">
        <v>577</v>
      </c>
      <c r="G26" s="91">
        <v>4.0</v>
      </c>
      <c r="H26" s="92"/>
    </row>
    <row r="27">
      <c r="A27" s="88">
        <v>45804.0</v>
      </c>
      <c r="B27" s="89" t="s">
        <v>578</v>
      </c>
      <c r="C27" s="89" t="s">
        <v>579</v>
      </c>
      <c r="D27" s="89" t="s">
        <v>506</v>
      </c>
      <c r="E27" s="89">
        <v>2026.0</v>
      </c>
      <c r="F27" s="90" t="s">
        <v>580</v>
      </c>
      <c r="G27" s="91">
        <v>27.0</v>
      </c>
      <c r="H27" s="92"/>
    </row>
    <row r="28">
      <c r="A28" s="88">
        <v>45804.0</v>
      </c>
      <c r="B28" s="89" t="s">
        <v>581</v>
      </c>
      <c r="C28" s="89" t="s">
        <v>582</v>
      </c>
      <c r="D28" s="89" t="s">
        <v>506</v>
      </c>
      <c r="E28" s="89">
        <v>2027.0</v>
      </c>
      <c r="F28" s="90" t="s">
        <v>583</v>
      </c>
      <c r="G28" s="91">
        <v>5.0</v>
      </c>
      <c r="H28" s="92"/>
    </row>
    <row r="29">
      <c r="A29" s="88">
        <v>45804.0</v>
      </c>
      <c r="B29" s="89" t="s">
        <v>584</v>
      </c>
      <c r="C29" s="89" t="s">
        <v>585</v>
      </c>
      <c r="D29" s="89" t="s">
        <v>506</v>
      </c>
      <c r="E29" s="89">
        <v>2027.0</v>
      </c>
      <c r="F29" s="90" t="s">
        <v>586</v>
      </c>
      <c r="G29" s="91">
        <v>10.0</v>
      </c>
      <c r="H29" s="92"/>
    </row>
    <row r="30">
      <c r="A30" s="88">
        <v>45804.0</v>
      </c>
      <c r="B30" s="89" t="s">
        <v>587</v>
      </c>
      <c r="C30" s="89" t="s">
        <v>588</v>
      </c>
      <c r="D30" s="89" t="s">
        <v>506</v>
      </c>
      <c r="E30" s="89">
        <v>2027.0</v>
      </c>
      <c r="F30" s="90" t="s">
        <v>589</v>
      </c>
      <c r="G30" s="91">
        <v>2.0</v>
      </c>
      <c r="H30" s="92"/>
    </row>
    <row r="31">
      <c r="A31" s="88">
        <v>45804.0</v>
      </c>
      <c r="B31" s="89" t="s">
        <v>590</v>
      </c>
      <c r="C31" s="89" t="s">
        <v>591</v>
      </c>
      <c r="D31" s="89" t="s">
        <v>506</v>
      </c>
      <c r="E31" s="89">
        <v>2027.0</v>
      </c>
      <c r="F31" s="90" t="s">
        <v>592</v>
      </c>
      <c r="G31" s="91">
        <v>6.0</v>
      </c>
      <c r="H31" s="92"/>
    </row>
    <row r="32">
      <c r="A32" s="88">
        <v>45804.0</v>
      </c>
      <c r="B32" s="89" t="s">
        <v>593</v>
      </c>
      <c r="C32" s="89" t="s">
        <v>594</v>
      </c>
      <c r="D32" s="89" t="s">
        <v>506</v>
      </c>
      <c r="E32" s="89">
        <v>2027.0</v>
      </c>
      <c r="F32" s="90" t="s">
        <v>595</v>
      </c>
      <c r="G32" s="91">
        <v>5.0</v>
      </c>
      <c r="H32" s="92"/>
    </row>
    <row r="33">
      <c r="A33" s="88">
        <v>45804.0</v>
      </c>
      <c r="B33" s="89" t="s">
        <v>596</v>
      </c>
      <c r="C33" s="89" t="s">
        <v>597</v>
      </c>
      <c r="D33" s="89" t="s">
        <v>506</v>
      </c>
      <c r="E33" s="89">
        <v>2027.0</v>
      </c>
      <c r="F33" s="90" t="s">
        <v>598</v>
      </c>
      <c r="G33" s="91">
        <v>2.0</v>
      </c>
      <c r="H33" s="92"/>
    </row>
    <row r="34">
      <c r="A34" s="88">
        <v>45804.0</v>
      </c>
      <c r="B34" s="89" t="s">
        <v>599</v>
      </c>
      <c r="C34" s="89" t="s">
        <v>600</v>
      </c>
      <c r="D34" s="89" t="s">
        <v>506</v>
      </c>
      <c r="E34" s="89">
        <v>2027.0</v>
      </c>
      <c r="F34" s="90" t="s">
        <v>601</v>
      </c>
      <c r="G34" s="91">
        <v>3.0</v>
      </c>
      <c r="H34" s="92"/>
    </row>
    <row r="35">
      <c r="A35" s="88">
        <v>45804.0</v>
      </c>
      <c r="B35" s="89" t="s">
        <v>602</v>
      </c>
      <c r="C35" s="89" t="s">
        <v>603</v>
      </c>
      <c r="D35" s="89" t="s">
        <v>506</v>
      </c>
      <c r="E35" s="89">
        <v>2026.0</v>
      </c>
      <c r="F35" s="90" t="s">
        <v>604</v>
      </c>
      <c r="G35" s="91">
        <v>1.0</v>
      </c>
      <c r="H35" s="92"/>
    </row>
    <row r="36">
      <c r="A36" s="88">
        <v>45804.0</v>
      </c>
      <c r="B36" s="89" t="s">
        <v>605</v>
      </c>
      <c r="C36" s="89" t="s">
        <v>606</v>
      </c>
      <c r="D36" s="89" t="s">
        <v>506</v>
      </c>
      <c r="E36" s="89">
        <v>2028.0</v>
      </c>
      <c r="F36" s="90" t="s">
        <v>607</v>
      </c>
      <c r="G36" s="91">
        <v>2.0</v>
      </c>
      <c r="H36" s="92"/>
    </row>
    <row r="37">
      <c r="A37" s="88">
        <v>45804.0</v>
      </c>
      <c r="B37" s="89" t="s">
        <v>608</v>
      </c>
      <c r="C37" s="89" t="s">
        <v>609</v>
      </c>
      <c r="D37" s="89" t="s">
        <v>506</v>
      </c>
      <c r="E37" s="89">
        <v>2027.0</v>
      </c>
      <c r="F37" s="90" t="s">
        <v>610</v>
      </c>
      <c r="G37" s="91">
        <v>2.0</v>
      </c>
      <c r="H37" s="92"/>
    </row>
    <row r="38">
      <c r="A38" s="97">
        <v>45804.0</v>
      </c>
      <c r="B38" s="89" t="s">
        <v>578</v>
      </c>
      <c r="C38" s="89" t="s">
        <v>579</v>
      </c>
      <c r="D38" s="89" t="s">
        <v>506</v>
      </c>
      <c r="E38" s="89">
        <v>2026.0</v>
      </c>
      <c r="F38" s="90" t="s">
        <v>611</v>
      </c>
      <c r="G38" s="91">
        <v>14.0</v>
      </c>
      <c r="H38" s="92"/>
    </row>
    <row r="39">
      <c r="A39" s="97">
        <v>45804.0</v>
      </c>
      <c r="B39" s="89" t="s">
        <v>612</v>
      </c>
      <c r="C39" s="89" t="s">
        <v>613</v>
      </c>
      <c r="D39" s="89" t="s">
        <v>506</v>
      </c>
      <c r="E39" s="89">
        <v>2026.0</v>
      </c>
      <c r="F39" s="90" t="s">
        <v>614</v>
      </c>
      <c r="G39" s="91">
        <v>26.0</v>
      </c>
      <c r="H39" s="92"/>
    </row>
    <row r="40">
      <c r="A40" s="97">
        <v>45804.0</v>
      </c>
      <c r="B40" s="89" t="s">
        <v>615</v>
      </c>
      <c r="C40" s="89" t="s">
        <v>616</v>
      </c>
      <c r="D40" s="89" t="s">
        <v>506</v>
      </c>
      <c r="E40" s="89">
        <v>2026.0</v>
      </c>
      <c r="F40" s="90" t="s">
        <v>617</v>
      </c>
      <c r="G40" s="91">
        <v>5.0</v>
      </c>
      <c r="H40" s="92"/>
    </row>
    <row r="41">
      <c r="A41" s="97">
        <v>45804.0</v>
      </c>
      <c r="B41" s="89" t="s">
        <v>618</v>
      </c>
      <c r="C41" s="89" t="s">
        <v>619</v>
      </c>
      <c r="D41" s="89" t="s">
        <v>506</v>
      </c>
      <c r="E41" s="89">
        <v>2027.0</v>
      </c>
      <c r="F41" s="90" t="s">
        <v>620</v>
      </c>
      <c r="G41" s="91">
        <v>7.0</v>
      </c>
      <c r="H41" s="92"/>
    </row>
    <row r="42">
      <c r="A42" s="97">
        <v>45804.0</v>
      </c>
      <c r="B42" s="89" t="s">
        <v>621</v>
      </c>
      <c r="C42" s="89" t="s">
        <v>622</v>
      </c>
      <c r="D42" s="89" t="s">
        <v>506</v>
      </c>
      <c r="E42" s="89">
        <v>2026.0</v>
      </c>
      <c r="F42" s="90" t="s">
        <v>623</v>
      </c>
      <c r="G42" s="91">
        <v>5.0</v>
      </c>
      <c r="H42" s="92"/>
    </row>
    <row r="43">
      <c r="A43" s="97">
        <v>45804.0</v>
      </c>
      <c r="B43" s="89" t="s">
        <v>624</v>
      </c>
      <c r="C43" s="89" t="s">
        <v>625</v>
      </c>
      <c r="D43" s="89" t="s">
        <v>506</v>
      </c>
      <c r="E43" s="89">
        <v>2027.0</v>
      </c>
      <c r="F43" s="90" t="s">
        <v>626</v>
      </c>
      <c r="G43" s="91">
        <v>6.0</v>
      </c>
      <c r="H43" s="92"/>
    </row>
    <row r="44">
      <c r="A44" s="97">
        <v>45804.0</v>
      </c>
      <c r="B44" s="89" t="s">
        <v>627</v>
      </c>
      <c r="C44" s="89" t="s">
        <v>628</v>
      </c>
      <c r="D44" s="89" t="s">
        <v>506</v>
      </c>
      <c r="E44" s="89">
        <v>2025.0</v>
      </c>
      <c r="F44" s="90" t="s">
        <v>604</v>
      </c>
      <c r="G44" s="91">
        <v>1.0</v>
      </c>
      <c r="H44" s="92"/>
    </row>
    <row r="45">
      <c r="A45" s="97">
        <v>45804.0</v>
      </c>
      <c r="B45" s="89" t="s">
        <v>629</v>
      </c>
      <c r="C45" s="89" t="s">
        <v>630</v>
      </c>
      <c r="D45" s="89" t="s">
        <v>506</v>
      </c>
      <c r="E45" s="89">
        <v>2025.0</v>
      </c>
      <c r="F45" s="90" t="s">
        <v>631</v>
      </c>
      <c r="G45" s="91">
        <v>1.0</v>
      </c>
      <c r="H45" s="92"/>
    </row>
    <row r="46">
      <c r="A46" s="97">
        <v>45804.0</v>
      </c>
      <c r="B46" s="89" t="s">
        <v>632</v>
      </c>
      <c r="C46" s="89" t="s">
        <v>633</v>
      </c>
      <c r="D46" s="89" t="s">
        <v>506</v>
      </c>
      <c r="E46" s="89">
        <v>2026.0</v>
      </c>
      <c r="F46" s="90" t="s">
        <v>634</v>
      </c>
      <c r="G46" s="91">
        <v>4.0</v>
      </c>
      <c r="H46" s="92"/>
    </row>
    <row r="47">
      <c r="A47" s="97">
        <v>45804.0</v>
      </c>
      <c r="B47" s="89" t="s">
        <v>635</v>
      </c>
      <c r="C47" s="89" t="s">
        <v>636</v>
      </c>
      <c r="D47" s="89" t="s">
        <v>506</v>
      </c>
      <c r="E47" s="89">
        <v>2026.0</v>
      </c>
      <c r="F47" s="90" t="s">
        <v>637</v>
      </c>
      <c r="G47" s="91">
        <v>14.0</v>
      </c>
      <c r="H47" s="92"/>
    </row>
    <row r="48">
      <c r="A48" s="97">
        <v>45804.0</v>
      </c>
      <c r="B48" s="89" t="s">
        <v>638</v>
      </c>
      <c r="C48" s="89" t="s">
        <v>639</v>
      </c>
      <c r="D48" s="89" t="s">
        <v>506</v>
      </c>
      <c r="E48" s="89">
        <v>2028.0</v>
      </c>
      <c r="F48" s="90" t="s">
        <v>640</v>
      </c>
      <c r="G48" s="91">
        <v>14.0</v>
      </c>
      <c r="H48" s="92"/>
    </row>
    <row r="49">
      <c r="A49" s="97">
        <v>45804.0</v>
      </c>
      <c r="B49" s="89" t="s">
        <v>641</v>
      </c>
      <c r="C49" s="89" t="s">
        <v>642</v>
      </c>
      <c r="D49" s="89" t="s">
        <v>506</v>
      </c>
      <c r="E49" s="89">
        <v>2026.0</v>
      </c>
      <c r="F49" s="90" t="s">
        <v>643</v>
      </c>
      <c r="G49" s="91">
        <v>8.0</v>
      </c>
      <c r="H49" s="92"/>
    </row>
    <row r="50">
      <c r="A50" s="97">
        <v>45804.0</v>
      </c>
      <c r="B50" s="89" t="s">
        <v>644</v>
      </c>
      <c r="C50" s="89" t="s">
        <v>645</v>
      </c>
      <c r="D50" s="89" t="s">
        <v>506</v>
      </c>
      <c r="E50" s="89">
        <v>2028.0</v>
      </c>
      <c r="F50" s="90" t="s">
        <v>646</v>
      </c>
      <c r="G50" s="91">
        <v>7.0</v>
      </c>
      <c r="H50" s="92"/>
    </row>
    <row r="51">
      <c r="A51" s="97">
        <v>45804.0</v>
      </c>
      <c r="B51" s="89" t="s">
        <v>647</v>
      </c>
      <c r="C51" s="89" t="s">
        <v>648</v>
      </c>
      <c r="D51" s="89" t="s">
        <v>506</v>
      </c>
      <c r="E51" s="89">
        <v>2026.0</v>
      </c>
      <c r="F51" s="90" t="s">
        <v>649</v>
      </c>
      <c r="G51" s="91">
        <v>8.0</v>
      </c>
      <c r="H51" s="92"/>
    </row>
    <row r="52">
      <c r="A52" s="97">
        <v>45804.0</v>
      </c>
      <c r="B52" s="89" t="s">
        <v>650</v>
      </c>
      <c r="C52" s="89" t="s">
        <v>651</v>
      </c>
      <c r="D52" s="89" t="s">
        <v>506</v>
      </c>
      <c r="E52" s="89">
        <v>2027.0</v>
      </c>
      <c r="F52" s="90" t="s">
        <v>652</v>
      </c>
      <c r="G52" s="91">
        <v>13.0</v>
      </c>
      <c r="H52" s="92"/>
    </row>
    <row r="53">
      <c r="A53" s="97">
        <v>45804.0</v>
      </c>
      <c r="B53" s="89" t="s">
        <v>653</v>
      </c>
      <c r="C53" s="89" t="s">
        <v>654</v>
      </c>
      <c r="D53" s="89" t="s">
        <v>506</v>
      </c>
      <c r="E53" s="89">
        <v>2026.0</v>
      </c>
      <c r="F53" s="90" t="s">
        <v>655</v>
      </c>
      <c r="G53" s="91">
        <v>8.0</v>
      </c>
      <c r="H53" s="92"/>
    </row>
    <row r="54">
      <c r="A54" s="97">
        <v>45804.0</v>
      </c>
      <c r="B54" s="89" t="s">
        <v>656</v>
      </c>
      <c r="C54" s="89" t="s">
        <v>657</v>
      </c>
      <c r="D54" s="89" t="s">
        <v>506</v>
      </c>
      <c r="E54" s="89">
        <v>2027.0</v>
      </c>
      <c r="F54" s="90" t="s">
        <v>658</v>
      </c>
      <c r="G54" s="91">
        <v>5.0</v>
      </c>
      <c r="H54" s="92"/>
    </row>
    <row r="55">
      <c r="A55" s="97">
        <v>45804.0</v>
      </c>
      <c r="B55" s="89" t="s">
        <v>659</v>
      </c>
      <c r="C55" s="89" t="s">
        <v>660</v>
      </c>
      <c r="D55" s="89" t="s">
        <v>506</v>
      </c>
      <c r="E55" s="89">
        <v>2026.0</v>
      </c>
      <c r="F55" s="90" t="s">
        <v>661</v>
      </c>
      <c r="G55" s="91">
        <v>8.0</v>
      </c>
      <c r="H55" s="92"/>
    </row>
    <row r="56">
      <c r="A56" s="97">
        <v>45804.0</v>
      </c>
      <c r="B56" s="89" t="s">
        <v>662</v>
      </c>
      <c r="C56" s="89" t="s">
        <v>663</v>
      </c>
      <c r="D56" s="89" t="s">
        <v>506</v>
      </c>
      <c r="E56" s="89">
        <v>2028.0</v>
      </c>
      <c r="F56" s="90" t="s">
        <v>664</v>
      </c>
      <c r="G56" s="91">
        <v>7.0</v>
      </c>
      <c r="H56" s="92"/>
    </row>
    <row r="57">
      <c r="A57" s="97">
        <v>45804.0</v>
      </c>
      <c r="B57" s="89" t="s">
        <v>665</v>
      </c>
      <c r="C57" s="89" t="s">
        <v>666</v>
      </c>
      <c r="D57" s="89" t="s">
        <v>506</v>
      </c>
      <c r="E57" s="89">
        <v>2026.0</v>
      </c>
      <c r="F57" s="90" t="s">
        <v>667</v>
      </c>
      <c r="G57" s="91">
        <v>23.0</v>
      </c>
      <c r="H57" s="92"/>
    </row>
    <row r="58">
      <c r="A58" s="97">
        <v>45804.0</v>
      </c>
      <c r="B58" s="89" t="s">
        <v>668</v>
      </c>
      <c r="C58" s="89" t="s">
        <v>527</v>
      </c>
      <c r="D58" s="89" t="s">
        <v>506</v>
      </c>
      <c r="E58" s="89">
        <v>2027.0</v>
      </c>
      <c r="F58" s="90" t="s">
        <v>669</v>
      </c>
      <c r="G58" s="91">
        <v>6.0</v>
      </c>
      <c r="H58" s="92"/>
    </row>
    <row r="59">
      <c r="A59" s="97">
        <v>45804.0</v>
      </c>
      <c r="B59" s="89" t="s">
        <v>670</v>
      </c>
      <c r="C59" s="89" t="s">
        <v>671</v>
      </c>
      <c r="D59" s="89" t="s">
        <v>506</v>
      </c>
      <c r="E59" s="89">
        <v>2026.0</v>
      </c>
      <c r="F59" s="90" t="s">
        <v>672</v>
      </c>
      <c r="G59" s="91">
        <v>2.0</v>
      </c>
      <c r="H59" s="92"/>
    </row>
    <row r="60">
      <c r="A60" s="97">
        <v>45804.0</v>
      </c>
      <c r="B60" s="89" t="s">
        <v>673</v>
      </c>
      <c r="C60" s="89" t="s">
        <v>558</v>
      </c>
      <c r="D60" s="89" t="s">
        <v>506</v>
      </c>
      <c r="E60" s="89">
        <v>2028.0</v>
      </c>
      <c r="F60" s="90" t="s">
        <v>674</v>
      </c>
      <c r="G60" s="91">
        <v>10.0</v>
      </c>
      <c r="H60" s="92"/>
    </row>
    <row r="61">
      <c r="A61" s="97">
        <v>45804.0</v>
      </c>
      <c r="B61" s="89" t="s">
        <v>675</v>
      </c>
      <c r="C61" s="89" t="s">
        <v>676</v>
      </c>
      <c r="D61" s="89" t="s">
        <v>506</v>
      </c>
      <c r="E61" s="89">
        <v>2025.0</v>
      </c>
      <c r="F61" s="90" t="s">
        <v>677</v>
      </c>
      <c r="G61" s="91">
        <v>11.0</v>
      </c>
      <c r="H61" s="92"/>
    </row>
    <row r="62">
      <c r="A62" s="97">
        <v>45804.0</v>
      </c>
      <c r="B62" s="89" t="s">
        <v>678</v>
      </c>
      <c r="C62" s="89" t="s">
        <v>679</v>
      </c>
      <c r="D62" s="89" t="s">
        <v>506</v>
      </c>
      <c r="E62" s="89">
        <v>2027.0</v>
      </c>
      <c r="F62" s="90" t="s">
        <v>680</v>
      </c>
      <c r="G62" s="91">
        <v>18.0</v>
      </c>
      <c r="H62" s="92"/>
    </row>
    <row r="63">
      <c r="A63" s="97">
        <v>45804.0</v>
      </c>
      <c r="B63" s="89" t="s">
        <v>681</v>
      </c>
      <c r="C63" s="89" t="s">
        <v>682</v>
      </c>
      <c r="D63" s="89" t="s">
        <v>506</v>
      </c>
      <c r="E63" s="89">
        <v>2027.0</v>
      </c>
      <c r="F63" s="90" t="s">
        <v>683</v>
      </c>
      <c r="G63" s="91">
        <v>1.0</v>
      </c>
      <c r="H63" s="92"/>
    </row>
    <row r="64">
      <c r="A64" s="97">
        <v>45804.0</v>
      </c>
      <c r="B64" s="89" t="s">
        <v>684</v>
      </c>
      <c r="C64" s="89" t="s">
        <v>685</v>
      </c>
      <c r="D64" s="89" t="s">
        <v>506</v>
      </c>
      <c r="E64" s="89">
        <v>2026.0</v>
      </c>
      <c r="F64" s="90" t="s">
        <v>686</v>
      </c>
      <c r="G64" s="91">
        <v>3.0</v>
      </c>
      <c r="H64" s="92"/>
    </row>
    <row r="65">
      <c r="A65" s="97">
        <v>45804.0</v>
      </c>
      <c r="B65" s="89" t="s">
        <v>687</v>
      </c>
      <c r="C65" s="98" t="s">
        <v>688</v>
      </c>
      <c r="D65" s="89" t="s">
        <v>506</v>
      </c>
      <c r="E65" s="89">
        <v>2028.0</v>
      </c>
      <c r="F65" s="90" t="s">
        <v>689</v>
      </c>
      <c r="G65" s="91">
        <v>5.0</v>
      </c>
      <c r="H65" s="92"/>
    </row>
    <row r="66">
      <c r="A66" s="97">
        <v>45804.0</v>
      </c>
      <c r="B66" s="89" t="s">
        <v>690</v>
      </c>
      <c r="C66" s="99" t="s">
        <v>691</v>
      </c>
      <c r="D66" s="89" t="s">
        <v>506</v>
      </c>
      <c r="E66" s="89">
        <v>2025.0</v>
      </c>
      <c r="F66" s="90" t="s">
        <v>692</v>
      </c>
      <c r="G66" s="91">
        <v>32.0</v>
      </c>
      <c r="H66" s="92"/>
    </row>
    <row r="67">
      <c r="A67" s="97">
        <v>45812.0</v>
      </c>
      <c r="B67" s="89" t="s">
        <v>693</v>
      </c>
      <c r="C67" s="89" t="s">
        <v>694</v>
      </c>
      <c r="D67" s="89" t="s">
        <v>695</v>
      </c>
      <c r="E67" s="89" t="s">
        <v>696</v>
      </c>
      <c r="F67" s="90" t="s">
        <v>697</v>
      </c>
      <c r="G67" s="91">
        <v>32.0</v>
      </c>
      <c r="H67" s="92"/>
    </row>
    <row r="68">
      <c r="A68" s="97">
        <v>45891.0</v>
      </c>
      <c r="B68" s="89" t="s">
        <v>698</v>
      </c>
      <c r="C68" s="89" t="s">
        <v>699</v>
      </c>
      <c r="D68" s="89" t="s">
        <v>700</v>
      </c>
      <c r="E68" s="89">
        <v>2028.0</v>
      </c>
      <c r="F68" s="90" t="s">
        <v>701</v>
      </c>
      <c r="G68" s="91">
        <v>27.0</v>
      </c>
      <c r="H68" s="92"/>
    </row>
    <row r="69">
      <c r="A69" s="97">
        <v>45891.0</v>
      </c>
      <c r="B69" s="100" t="s">
        <v>702</v>
      </c>
      <c r="C69" s="100" t="s">
        <v>703</v>
      </c>
      <c r="D69" s="101" t="s">
        <v>704</v>
      </c>
      <c r="E69" s="89">
        <v>2029.0</v>
      </c>
      <c r="F69" s="90" t="s">
        <v>705</v>
      </c>
      <c r="G69" s="91">
        <v>8.0</v>
      </c>
      <c r="H69" s="92"/>
    </row>
    <row r="70">
      <c r="A70" s="97">
        <v>45891.0</v>
      </c>
      <c r="B70" s="101" t="s">
        <v>706</v>
      </c>
      <c r="C70" s="101" t="s">
        <v>707</v>
      </c>
      <c r="D70" s="101" t="s">
        <v>704</v>
      </c>
      <c r="E70" s="89">
        <v>2029.0</v>
      </c>
      <c r="F70" s="90" t="s">
        <v>708</v>
      </c>
      <c r="G70" s="91">
        <v>28.0</v>
      </c>
      <c r="H70" s="92"/>
    </row>
    <row r="71">
      <c r="A71" s="97">
        <v>45891.0</v>
      </c>
      <c r="B71" s="101" t="s">
        <v>709</v>
      </c>
      <c r="C71" s="101" t="s">
        <v>710</v>
      </c>
      <c r="D71" s="101" t="s">
        <v>711</v>
      </c>
      <c r="E71" s="89">
        <v>2028.0</v>
      </c>
      <c r="F71" s="90" t="s">
        <v>712</v>
      </c>
      <c r="G71" s="91">
        <v>6.0</v>
      </c>
      <c r="H71" s="92"/>
    </row>
    <row r="72">
      <c r="A72" s="97">
        <v>45891.0</v>
      </c>
      <c r="B72" s="101" t="s">
        <v>713</v>
      </c>
      <c r="C72" s="101" t="s">
        <v>714</v>
      </c>
      <c r="D72" s="101" t="s">
        <v>715</v>
      </c>
      <c r="E72" s="89">
        <v>2028.0</v>
      </c>
      <c r="F72" s="90" t="s">
        <v>716</v>
      </c>
      <c r="G72" s="91">
        <v>2.0</v>
      </c>
      <c r="H72" s="92"/>
    </row>
    <row r="73">
      <c r="A73" s="97">
        <v>45891.0</v>
      </c>
      <c r="B73" s="101" t="s">
        <v>717</v>
      </c>
      <c r="C73" s="101" t="s">
        <v>718</v>
      </c>
      <c r="D73" s="101" t="s">
        <v>700</v>
      </c>
      <c r="E73" s="89">
        <v>2029.0</v>
      </c>
      <c r="F73" s="90" t="s">
        <v>719</v>
      </c>
      <c r="G73" s="91">
        <v>16.0</v>
      </c>
      <c r="H73" s="92"/>
    </row>
    <row r="74">
      <c r="A74" s="97">
        <v>45891.0</v>
      </c>
      <c r="B74" s="101" t="s">
        <v>720</v>
      </c>
      <c r="C74" s="101" t="s">
        <v>721</v>
      </c>
      <c r="D74" s="101" t="s">
        <v>722</v>
      </c>
      <c r="E74" s="89">
        <v>2029.0</v>
      </c>
      <c r="F74" s="90" t="s">
        <v>723</v>
      </c>
      <c r="G74" s="91">
        <v>11.0</v>
      </c>
      <c r="H74" s="92"/>
    </row>
    <row r="75">
      <c r="A75" s="97">
        <v>45891.0</v>
      </c>
      <c r="B75" s="100" t="s">
        <v>724</v>
      </c>
      <c r="C75" s="100" t="s">
        <v>725</v>
      </c>
      <c r="D75" s="101" t="s">
        <v>700</v>
      </c>
      <c r="E75" s="89">
        <v>2029.0</v>
      </c>
      <c r="F75" s="90" t="s">
        <v>726</v>
      </c>
      <c r="G75" s="91">
        <v>2.0</v>
      </c>
      <c r="H75" s="92"/>
    </row>
    <row r="76">
      <c r="A76" s="97">
        <v>45891.0</v>
      </c>
      <c r="B76" s="100" t="s">
        <v>727</v>
      </c>
      <c r="C76" s="100" t="s">
        <v>728</v>
      </c>
      <c r="D76" s="101" t="s">
        <v>722</v>
      </c>
      <c r="E76" s="89">
        <v>2029.0</v>
      </c>
      <c r="F76" s="102" t="s">
        <v>729</v>
      </c>
      <c r="G76" s="91">
        <v>24.0</v>
      </c>
      <c r="H76" s="92"/>
    </row>
    <row r="77">
      <c r="A77" s="97">
        <v>45891.0</v>
      </c>
      <c r="B77" s="100" t="s">
        <v>730</v>
      </c>
      <c r="C77" s="100" t="s">
        <v>731</v>
      </c>
      <c r="D77" s="101" t="s">
        <v>722</v>
      </c>
      <c r="E77" s="89">
        <v>2029.0</v>
      </c>
      <c r="F77" s="90" t="s">
        <v>732</v>
      </c>
      <c r="G77" s="91">
        <v>9.0</v>
      </c>
      <c r="H77" s="92"/>
    </row>
    <row r="78">
      <c r="A78" s="97">
        <v>45891.0</v>
      </c>
      <c r="B78" s="100" t="s">
        <v>733</v>
      </c>
      <c r="C78" s="100" t="s">
        <v>734</v>
      </c>
      <c r="D78" s="101" t="s">
        <v>711</v>
      </c>
      <c r="E78" s="89">
        <v>2029.0</v>
      </c>
      <c r="F78" s="90" t="s">
        <v>735</v>
      </c>
      <c r="G78" s="91">
        <v>3.0</v>
      </c>
      <c r="H78" s="92"/>
    </row>
    <row r="79">
      <c r="A79" s="97">
        <v>45891.0</v>
      </c>
      <c r="B79" s="100" t="s">
        <v>736</v>
      </c>
      <c r="C79" s="100" t="s">
        <v>737</v>
      </c>
      <c r="D79" s="101" t="s">
        <v>704</v>
      </c>
      <c r="E79" s="89">
        <v>2029.0</v>
      </c>
      <c r="F79" s="90" t="s">
        <v>738</v>
      </c>
      <c r="G79" s="91">
        <v>16.0</v>
      </c>
      <c r="H79" s="92"/>
    </row>
    <row r="80">
      <c r="A80" s="97">
        <v>45891.0</v>
      </c>
      <c r="B80" s="101" t="s">
        <v>739</v>
      </c>
      <c r="C80" s="101" t="s">
        <v>740</v>
      </c>
      <c r="D80" s="101" t="s">
        <v>506</v>
      </c>
      <c r="E80" s="89">
        <v>2027.0</v>
      </c>
      <c r="F80" s="90" t="s">
        <v>741</v>
      </c>
      <c r="G80" s="91">
        <v>52.0</v>
      </c>
      <c r="H80" s="92"/>
    </row>
    <row r="81">
      <c r="A81" s="97">
        <v>45891.0</v>
      </c>
      <c r="B81" s="100" t="s">
        <v>742</v>
      </c>
      <c r="C81" s="100" t="s">
        <v>743</v>
      </c>
      <c r="D81" s="101" t="s">
        <v>722</v>
      </c>
      <c r="E81" s="89">
        <v>2029.0</v>
      </c>
      <c r="F81" s="90" t="s">
        <v>744</v>
      </c>
      <c r="G81" s="91">
        <v>20.0</v>
      </c>
      <c r="H81" s="92"/>
    </row>
    <row r="82">
      <c r="A82" s="97">
        <v>45891.0</v>
      </c>
      <c r="B82" s="101" t="s">
        <v>745</v>
      </c>
      <c r="C82" s="101" t="s">
        <v>746</v>
      </c>
      <c r="D82" s="101" t="s">
        <v>700</v>
      </c>
      <c r="E82" s="89">
        <v>2027.0</v>
      </c>
      <c r="F82" s="90" t="s">
        <v>747</v>
      </c>
      <c r="G82" s="91">
        <v>12.0</v>
      </c>
      <c r="H82" s="92"/>
    </row>
    <row r="83">
      <c r="A83" s="97">
        <v>45891.0</v>
      </c>
      <c r="B83" s="100" t="s">
        <v>748</v>
      </c>
      <c r="C83" s="100" t="s">
        <v>749</v>
      </c>
      <c r="D83" s="101" t="s">
        <v>711</v>
      </c>
      <c r="E83" s="89">
        <v>2029.0</v>
      </c>
      <c r="F83" s="90" t="s">
        <v>750</v>
      </c>
      <c r="G83" s="91">
        <v>37.0</v>
      </c>
      <c r="H83" s="92"/>
    </row>
    <row r="84">
      <c r="A84" s="97">
        <v>45891.0</v>
      </c>
      <c r="B84" s="100" t="s">
        <v>751</v>
      </c>
      <c r="C84" s="100" t="s">
        <v>752</v>
      </c>
      <c r="D84" s="101" t="s">
        <v>704</v>
      </c>
      <c r="E84" s="89">
        <v>2029.0</v>
      </c>
      <c r="F84" s="90" t="s">
        <v>753</v>
      </c>
      <c r="G84" s="91">
        <v>20.0</v>
      </c>
      <c r="H84" s="92"/>
    </row>
    <row r="85">
      <c r="A85" s="97">
        <v>45891.0</v>
      </c>
      <c r="B85" s="100" t="s">
        <v>754</v>
      </c>
      <c r="C85" s="100" t="s">
        <v>755</v>
      </c>
      <c r="D85" s="101" t="s">
        <v>700</v>
      </c>
      <c r="E85" s="89">
        <v>2029.0</v>
      </c>
      <c r="F85" s="90" t="s">
        <v>756</v>
      </c>
      <c r="G85" s="91">
        <v>2.0</v>
      </c>
      <c r="H85" s="92"/>
    </row>
    <row r="86">
      <c r="A86" s="97">
        <v>45891.0</v>
      </c>
      <c r="B86" s="100" t="s">
        <v>757</v>
      </c>
      <c r="C86" s="100" t="s">
        <v>758</v>
      </c>
      <c r="D86" s="101" t="s">
        <v>711</v>
      </c>
      <c r="E86" s="89">
        <v>2029.0</v>
      </c>
      <c r="F86" s="90" t="s">
        <v>759</v>
      </c>
      <c r="G86" s="91">
        <v>28.0</v>
      </c>
      <c r="H86" s="92"/>
    </row>
    <row r="87">
      <c r="A87" s="97">
        <v>45891.0</v>
      </c>
      <c r="B87" s="101" t="s">
        <v>760</v>
      </c>
      <c r="C87" s="101" t="s">
        <v>761</v>
      </c>
      <c r="D87" s="101" t="s">
        <v>704</v>
      </c>
      <c r="E87" s="89">
        <v>2029.0</v>
      </c>
      <c r="F87" s="90" t="s">
        <v>762</v>
      </c>
      <c r="G87" s="91">
        <v>16.0</v>
      </c>
      <c r="H87" s="92"/>
    </row>
    <row r="88">
      <c r="A88" s="97">
        <v>45891.0</v>
      </c>
      <c r="B88" s="101" t="s">
        <v>763</v>
      </c>
      <c r="C88" s="101" t="s">
        <v>764</v>
      </c>
      <c r="D88" s="101" t="s">
        <v>704</v>
      </c>
      <c r="E88" s="89">
        <v>2029.0</v>
      </c>
      <c r="F88" s="90" t="s">
        <v>765</v>
      </c>
      <c r="G88" s="91">
        <v>40.0</v>
      </c>
      <c r="H88" s="92"/>
    </row>
    <row r="89">
      <c r="A89" s="97">
        <v>45891.0</v>
      </c>
      <c r="B89" s="101" t="s">
        <v>766</v>
      </c>
      <c r="C89" s="101" t="s">
        <v>767</v>
      </c>
      <c r="D89" s="101" t="s">
        <v>722</v>
      </c>
      <c r="E89" s="89">
        <v>2028.0</v>
      </c>
      <c r="F89" s="90" t="s">
        <v>768</v>
      </c>
      <c r="G89" s="91">
        <v>1.0</v>
      </c>
      <c r="H89" s="92"/>
    </row>
    <row r="90">
      <c r="A90" s="97">
        <v>45891.0</v>
      </c>
      <c r="B90" s="101" t="s">
        <v>769</v>
      </c>
      <c r="C90" s="101" t="s">
        <v>770</v>
      </c>
      <c r="D90" s="101" t="s">
        <v>711</v>
      </c>
      <c r="E90" s="89">
        <v>2029.0</v>
      </c>
      <c r="F90" s="90" t="s">
        <v>771</v>
      </c>
      <c r="G90" s="91">
        <v>5.0</v>
      </c>
      <c r="H90" s="92"/>
    </row>
    <row r="91">
      <c r="A91" s="97">
        <v>45891.0</v>
      </c>
      <c r="B91" s="100" t="s">
        <v>772</v>
      </c>
      <c r="C91" s="100" t="s">
        <v>773</v>
      </c>
      <c r="D91" s="101" t="s">
        <v>704</v>
      </c>
      <c r="E91" s="89">
        <v>2029.0</v>
      </c>
      <c r="F91" s="90" t="s">
        <v>774</v>
      </c>
      <c r="G91" s="91">
        <v>16.0</v>
      </c>
      <c r="H91" s="92"/>
    </row>
    <row r="92">
      <c r="A92" s="97">
        <v>45891.0</v>
      </c>
      <c r="B92" s="101" t="s">
        <v>775</v>
      </c>
      <c r="C92" s="101" t="s">
        <v>776</v>
      </c>
      <c r="D92" s="101" t="s">
        <v>777</v>
      </c>
      <c r="E92" s="89">
        <v>2027.0</v>
      </c>
      <c r="F92" s="90" t="s">
        <v>778</v>
      </c>
      <c r="G92" s="91">
        <v>8.0</v>
      </c>
      <c r="H92" s="92"/>
    </row>
    <row r="93">
      <c r="A93" s="97">
        <v>45891.0</v>
      </c>
      <c r="B93" s="101" t="s">
        <v>779</v>
      </c>
      <c r="C93" s="101" t="s">
        <v>780</v>
      </c>
      <c r="D93" s="101" t="s">
        <v>711</v>
      </c>
      <c r="E93" s="89">
        <v>2027.0</v>
      </c>
      <c r="F93" s="90" t="s">
        <v>781</v>
      </c>
      <c r="G93" s="91">
        <v>4.0</v>
      </c>
      <c r="H93" s="92"/>
    </row>
    <row r="94">
      <c r="A94" s="97">
        <v>45891.0</v>
      </c>
      <c r="B94" s="101" t="s">
        <v>782</v>
      </c>
      <c r="C94" s="101" t="s">
        <v>783</v>
      </c>
      <c r="D94" s="101" t="s">
        <v>784</v>
      </c>
      <c r="E94" s="89">
        <v>2026.0</v>
      </c>
      <c r="F94" s="90" t="s">
        <v>785</v>
      </c>
      <c r="G94" s="91">
        <v>7.0</v>
      </c>
      <c r="H94" s="92"/>
    </row>
    <row r="95">
      <c r="A95" s="97">
        <v>45891.0</v>
      </c>
      <c r="B95" s="103" t="s">
        <v>786</v>
      </c>
      <c r="C95" s="103" t="s">
        <v>787</v>
      </c>
      <c r="D95" s="101" t="s">
        <v>700</v>
      </c>
      <c r="E95" s="89">
        <v>2029.0</v>
      </c>
      <c r="F95" s="102" t="s">
        <v>788</v>
      </c>
      <c r="G95" s="91">
        <v>29.0</v>
      </c>
      <c r="H95" s="92"/>
    </row>
    <row r="96">
      <c r="A96" s="97">
        <v>45891.0</v>
      </c>
      <c r="B96" s="100" t="s">
        <v>789</v>
      </c>
      <c r="C96" s="100" t="s">
        <v>790</v>
      </c>
      <c r="D96" s="101" t="s">
        <v>700</v>
      </c>
      <c r="E96" s="89">
        <v>2029.0</v>
      </c>
      <c r="F96" s="90" t="s">
        <v>791</v>
      </c>
      <c r="G96" s="91">
        <v>19.0</v>
      </c>
      <c r="H96" s="92"/>
    </row>
    <row r="97">
      <c r="A97" s="97">
        <v>45891.0</v>
      </c>
      <c r="B97" s="100" t="s">
        <v>792</v>
      </c>
      <c r="C97" s="100" t="s">
        <v>793</v>
      </c>
      <c r="D97" s="101" t="s">
        <v>704</v>
      </c>
      <c r="E97" s="89">
        <v>2029.0</v>
      </c>
      <c r="F97" s="90" t="s">
        <v>794</v>
      </c>
      <c r="G97" s="91">
        <v>5.0</v>
      </c>
      <c r="H97" s="92"/>
    </row>
    <row r="98">
      <c r="A98" s="97">
        <v>45891.0</v>
      </c>
      <c r="B98" s="100" t="s">
        <v>795</v>
      </c>
      <c r="C98" s="100" t="s">
        <v>796</v>
      </c>
      <c r="D98" s="101" t="s">
        <v>722</v>
      </c>
      <c r="E98" s="89">
        <v>2029.0</v>
      </c>
      <c r="F98" s="90" t="s">
        <v>797</v>
      </c>
      <c r="G98" s="91">
        <v>5.0</v>
      </c>
      <c r="H98" s="92"/>
    </row>
    <row r="99">
      <c r="A99" s="97">
        <v>45891.0</v>
      </c>
      <c r="B99" s="103" t="s">
        <v>798</v>
      </c>
      <c r="C99" s="103" t="s">
        <v>799</v>
      </c>
      <c r="D99" s="101" t="s">
        <v>711</v>
      </c>
      <c r="E99" s="89">
        <v>2029.0</v>
      </c>
      <c r="F99" s="90" t="s">
        <v>800</v>
      </c>
      <c r="G99" s="91">
        <v>4.0</v>
      </c>
      <c r="H99" s="92"/>
    </row>
    <row r="100">
      <c r="A100" s="97">
        <v>45891.0</v>
      </c>
      <c r="B100" s="101" t="s">
        <v>801</v>
      </c>
      <c r="C100" s="101" t="s">
        <v>802</v>
      </c>
      <c r="D100" s="101" t="s">
        <v>506</v>
      </c>
      <c r="E100" s="89">
        <v>2026.0</v>
      </c>
      <c r="F100" s="90" t="s">
        <v>803</v>
      </c>
      <c r="G100" s="91">
        <v>18.0</v>
      </c>
      <c r="H100" s="92"/>
    </row>
    <row r="101">
      <c r="A101" s="97">
        <v>45891.0</v>
      </c>
      <c r="B101" s="100" t="s">
        <v>804</v>
      </c>
      <c r="C101" s="100" t="s">
        <v>805</v>
      </c>
      <c r="D101" s="101" t="s">
        <v>700</v>
      </c>
      <c r="E101" s="89">
        <v>2029.0</v>
      </c>
      <c r="F101" s="102" t="s">
        <v>806</v>
      </c>
      <c r="G101" s="91">
        <v>20.0</v>
      </c>
      <c r="H101" s="92"/>
    </row>
    <row r="102">
      <c r="A102" s="97">
        <v>45891.0</v>
      </c>
      <c r="B102" s="100" t="s">
        <v>807</v>
      </c>
      <c r="C102" s="100" t="s">
        <v>808</v>
      </c>
      <c r="D102" s="101" t="s">
        <v>700</v>
      </c>
      <c r="E102" s="89">
        <v>2029.0</v>
      </c>
      <c r="F102" s="90" t="s">
        <v>809</v>
      </c>
      <c r="G102" s="91">
        <v>13.0</v>
      </c>
      <c r="H102" s="92"/>
    </row>
    <row r="103">
      <c r="A103" s="97">
        <v>45891.0</v>
      </c>
      <c r="B103" s="100" t="s">
        <v>810</v>
      </c>
      <c r="C103" s="100" t="s">
        <v>811</v>
      </c>
      <c r="D103" s="101" t="s">
        <v>722</v>
      </c>
      <c r="E103" s="89">
        <v>2029.0</v>
      </c>
      <c r="F103" s="90" t="s">
        <v>812</v>
      </c>
      <c r="G103" s="91">
        <v>10.0</v>
      </c>
      <c r="H103" s="92"/>
    </row>
    <row r="104">
      <c r="A104" s="97">
        <v>45891.0</v>
      </c>
      <c r="B104" s="103" t="s">
        <v>813</v>
      </c>
      <c r="C104" s="103" t="s">
        <v>814</v>
      </c>
      <c r="D104" s="101" t="s">
        <v>722</v>
      </c>
      <c r="E104" s="89">
        <v>2029.0</v>
      </c>
      <c r="F104" s="90" t="s">
        <v>815</v>
      </c>
      <c r="G104" s="91">
        <v>6.0</v>
      </c>
      <c r="H104" s="92"/>
    </row>
    <row r="105">
      <c r="A105" s="97">
        <v>45891.0</v>
      </c>
      <c r="B105" s="101" t="s">
        <v>816</v>
      </c>
      <c r="C105" s="101" t="s">
        <v>817</v>
      </c>
      <c r="D105" s="101" t="s">
        <v>704</v>
      </c>
      <c r="E105" s="89">
        <v>2029.0</v>
      </c>
      <c r="F105" s="90" t="s">
        <v>818</v>
      </c>
      <c r="G105" s="91">
        <v>20.0</v>
      </c>
      <c r="H105" s="92"/>
    </row>
    <row r="106">
      <c r="A106" s="97">
        <v>45891.0</v>
      </c>
      <c r="B106" s="103" t="s">
        <v>819</v>
      </c>
      <c r="C106" s="103" t="s">
        <v>820</v>
      </c>
      <c r="D106" s="101" t="s">
        <v>722</v>
      </c>
      <c r="E106" s="89">
        <v>2029.0</v>
      </c>
      <c r="F106" s="90" t="s">
        <v>821</v>
      </c>
      <c r="G106" s="91">
        <v>19.0</v>
      </c>
      <c r="H106" s="92"/>
    </row>
    <row r="107">
      <c r="A107" s="97">
        <v>45891.0</v>
      </c>
      <c r="B107" s="103" t="s">
        <v>822</v>
      </c>
      <c r="C107" s="103" t="s">
        <v>823</v>
      </c>
      <c r="D107" s="101" t="s">
        <v>722</v>
      </c>
      <c r="E107" s="89">
        <v>2029.0</v>
      </c>
      <c r="F107" s="90" t="s">
        <v>824</v>
      </c>
      <c r="G107" s="91">
        <v>4.0</v>
      </c>
      <c r="H107" s="92"/>
    </row>
    <row r="108">
      <c r="A108" s="97">
        <v>45891.0</v>
      </c>
      <c r="B108" s="104" t="s">
        <v>825</v>
      </c>
      <c r="C108" s="104" t="s">
        <v>826</v>
      </c>
      <c r="D108" s="101" t="s">
        <v>700</v>
      </c>
      <c r="E108" s="89">
        <v>2029.0</v>
      </c>
      <c r="F108" s="105" t="s">
        <v>827</v>
      </c>
      <c r="G108" s="91">
        <v>13.0</v>
      </c>
      <c r="H108" s="92"/>
    </row>
    <row r="109">
      <c r="A109" s="97">
        <v>45891.0</v>
      </c>
      <c r="B109" s="101" t="s">
        <v>828</v>
      </c>
      <c r="C109" s="101" t="s">
        <v>829</v>
      </c>
      <c r="D109" s="101" t="s">
        <v>722</v>
      </c>
      <c r="E109" s="89">
        <v>2029.0</v>
      </c>
      <c r="F109" s="90" t="s">
        <v>830</v>
      </c>
      <c r="G109" s="91">
        <v>7.0</v>
      </c>
      <c r="H109" s="92"/>
    </row>
    <row r="110">
      <c r="A110" s="97">
        <v>45891.0</v>
      </c>
      <c r="B110" s="103" t="s">
        <v>831</v>
      </c>
      <c r="C110" s="103" t="s">
        <v>832</v>
      </c>
      <c r="D110" s="101" t="s">
        <v>722</v>
      </c>
      <c r="E110" s="89">
        <v>2029.0</v>
      </c>
      <c r="F110" s="102" t="s">
        <v>833</v>
      </c>
      <c r="G110" s="91">
        <v>2.0</v>
      </c>
      <c r="H110" s="92"/>
    </row>
    <row r="111">
      <c r="A111" s="97">
        <v>45891.0</v>
      </c>
      <c r="B111" s="106" t="s">
        <v>834</v>
      </c>
      <c r="C111" s="106" t="s">
        <v>835</v>
      </c>
      <c r="D111" s="106" t="s">
        <v>700</v>
      </c>
      <c r="E111" s="89">
        <v>2029.0</v>
      </c>
      <c r="F111" s="90" t="s">
        <v>836</v>
      </c>
      <c r="G111" s="91">
        <v>25.0</v>
      </c>
      <c r="H111" s="92"/>
    </row>
    <row r="112">
      <c r="A112" s="97">
        <v>45891.0</v>
      </c>
      <c r="B112" s="103" t="s">
        <v>837</v>
      </c>
      <c r="C112" s="103" t="s">
        <v>838</v>
      </c>
      <c r="D112" s="101" t="s">
        <v>700</v>
      </c>
      <c r="E112" s="89">
        <v>2029.0</v>
      </c>
      <c r="F112" s="90" t="s">
        <v>839</v>
      </c>
      <c r="G112" s="91">
        <v>4.0</v>
      </c>
      <c r="H112" s="92"/>
    </row>
    <row r="113">
      <c r="A113" s="97">
        <v>45891.0</v>
      </c>
      <c r="B113" s="100" t="s">
        <v>840</v>
      </c>
      <c r="C113" s="100" t="s">
        <v>841</v>
      </c>
      <c r="D113" s="101" t="s">
        <v>700</v>
      </c>
      <c r="E113" s="89">
        <v>2029.0</v>
      </c>
      <c r="F113" s="90" t="s">
        <v>842</v>
      </c>
      <c r="G113" s="91">
        <v>13.0</v>
      </c>
      <c r="H113" s="92"/>
    </row>
    <row r="114">
      <c r="A114" s="97">
        <v>45891.0</v>
      </c>
      <c r="B114" s="101" t="s">
        <v>665</v>
      </c>
      <c r="C114" s="101" t="s">
        <v>666</v>
      </c>
      <c r="D114" s="101" t="s">
        <v>506</v>
      </c>
      <c r="E114" s="89">
        <v>2026.0</v>
      </c>
      <c r="F114" s="90" t="s">
        <v>843</v>
      </c>
      <c r="G114" s="91">
        <v>32.0</v>
      </c>
      <c r="H114" s="92"/>
    </row>
    <row r="115">
      <c r="A115" s="97">
        <v>45891.0</v>
      </c>
      <c r="B115" s="101" t="s">
        <v>844</v>
      </c>
      <c r="C115" s="101" t="s">
        <v>845</v>
      </c>
      <c r="D115" s="101" t="s">
        <v>506</v>
      </c>
      <c r="E115" s="89">
        <v>2028.0</v>
      </c>
      <c r="F115" s="90" t="s">
        <v>846</v>
      </c>
      <c r="G115" s="91">
        <v>15.0</v>
      </c>
      <c r="H115" s="92"/>
    </row>
    <row r="116">
      <c r="A116" s="97">
        <v>45891.0</v>
      </c>
      <c r="B116" s="101" t="s">
        <v>847</v>
      </c>
      <c r="C116" s="101" t="s">
        <v>848</v>
      </c>
      <c r="D116" s="101" t="s">
        <v>715</v>
      </c>
      <c r="E116" s="89">
        <v>2026.0</v>
      </c>
      <c r="F116" s="90" t="s">
        <v>849</v>
      </c>
      <c r="G116" s="91">
        <v>7.0</v>
      </c>
      <c r="H116" s="92"/>
    </row>
    <row r="117">
      <c r="A117" s="97">
        <v>45891.0</v>
      </c>
      <c r="B117" s="100" t="s">
        <v>850</v>
      </c>
      <c r="C117" s="100" t="s">
        <v>851</v>
      </c>
      <c r="D117" s="101" t="s">
        <v>722</v>
      </c>
      <c r="E117" s="89">
        <v>2029.0</v>
      </c>
      <c r="F117" s="90" t="s">
        <v>852</v>
      </c>
      <c r="G117" s="91">
        <v>7.0</v>
      </c>
      <c r="H117" s="92"/>
    </row>
    <row r="118">
      <c r="A118" s="97">
        <v>45891.0</v>
      </c>
      <c r="B118" s="101" t="s">
        <v>853</v>
      </c>
      <c r="C118" s="101" t="s">
        <v>854</v>
      </c>
      <c r="D118" s="101" t="s">
        <v>704</v>
      </c>
      <c r="E118" s="89">
        <v>2028.0</v>
      </c>
      <c r="F118" s="90" t="s">
        <v>855</v>
      </c>
      <c r="G118" s="91">
        <v>31.0</v>
      </c>
      <c r="H118" s="92"/>
    </row>
    <row r="119">
      <c r="A119" s="97">
        <v>45891.0</v>
      </c>
      <c r="B119" s="101" t="s">
        <v>856</v>
      </c>
      <c r="C119" s="101" t="s">
        <v>857</v>
      </c>
      <c r="D119" s="101" t="s">
        <v>700</v>
      </c>
      <c r="E119" s="89">
        <v>2028.0</v>
      </c>
      <c r="F119" s="90" t="s">
        <v>858</v>
      </c>
      <c r="G119" s="91">
        <v>1.0</v>
      </c>
      <c r="H119" s="92"/>
    </row>
    <row r="120">
      <c r="A120" s="97">
        <v>45891.0</v>
      </c>
      <c r="B120" s="101" t="s">
        <v>859</v>
      </c>
      <c r="C120" s="101" t="s">
        <v>860</v>
      </c>
      <c r="D120" s="101" t="s">
        <v>506</v>
      </c>
      <c r="E120" s="89">
        <v>2026.0</v>
      </c>
      <c r="F120" s="102" t="s">
        <v>861</v>
      </c>
      <c r="G120" s="91">
        <v>26.0</v>
      </c>
      <c r="H120" s="92"/>
    </row>
    <row r="121">
      <c r="A121" s="97">
        <v>45891.0</v>
      </c>
      <c r="B121" s="101" t="s">
        <v>862</v>
      </c>
      <c r="C121" s="101" t="s">
        <v>863</v>
      </c>
      <c r="D121" s="101" t="s">
        <v>864</v>
      </c>
      <c r="E121" s="89">
        <v>2028.0</v>
      </c>
      <c r="F121" s="90" t="s">
        <v>865</v>
      </c>
      <c r="G121" s="91">
        <v>2.0</v>
      </c>
      <c r="H121" s="92"/>
    </row>
    <row r="122">
      <c r="A122" s="97">
        <v>45891.0</v>
      </c>
      <c r="B122" s="100" t="s">
        <v>866</v>
      </c>
      <c r="C122" s="100" t="s">
        <v>867</v>
      </c>
      <c r="D122" s="101" t="s">
        <v>700</v>
      </c>
      <c r="E122" s="89">
        <v>2029.0</v>
      </c>
      <c r="F122" s="90" t="s">
        <v>868</v>
      </c>
      <c r="G122" s="91">
        <v>9.0</v>
      </c>
      <c r="H122" s="92"/>
    </row>
    <row r="123">
      <c r="A123" s="97">
        <v>45891.0</v>
      </c>
      <c r="B123" s="100" t="s">
        <v>869</v>
      </c>
      <c r="C123" s="100" t="s">
        <v>870</v>
      </c>
      <c r="D123" s="101" t="s">
        <v>700</v>
      </c>
      <c r="E123" s="89">
        <v>2029.0</v>
      </c>
      <c r="F123" s="102" t="s">
        <v>871</v>
      </c>
      <c r="G123" s="91">
        <v>3.0</v>
      </c>
      <c r="H123" s="92"/>
    </row>
    <row r="124">
      <c r="A124" s="97">
        <v>45891.0</v>
      </c>
      <c r="B124" s="100" t="s">
        <v>872</v>
      </c>
      <c r="C124" s="100" t="s">
        <v>873</v>
      </c>
      <c r="D124" s="101" t="s">
        <v>711</v>
      </c>
      <c r="E124" s="89">
        <v>2029.0</v>
      </c>
      <c r="F124" s="90" t="s">
        <v>874</v>
      </c>
      <c r="G124" s="91">
        <v>3.0</v>
      </c>
      <c r="H124" s="92"/>
    </row>
    <row r="125">
      <c r="A125" s="97">
        <v>45891.0</v>
      </c>
      <c r="B125" s="100" t="s">
        <v>875</v>
      </c>
      <c r="C125" s="100" t="s">
        <v>876</v>
      </c>
      <c r="D125" s="101" t="s">
        <v>704</v>
      </c>
      <c r="E125" s="89">
        <v>2029.0</v>
      </c>
      <c r="F125" s="90" t="s">
        <v>877</v>
      </c>
      <c r="G125" s="91">
        <v>2.0</v>
      </c>
      <c r="H125" s="92"/>
    </row>
    <row r="126">
      <c r="A126" s="97">
        <v>45891.0</v>
      </c>
      <c r="B126" s="100" t="s">
        <v>878</v>
      </c>
      <c r="C126" s="100" t="s">
        <v>879</v>
      </c>
      <c r="D126" s="101" t="s">
        <v>704</v>
      </c>
      <c r="E126" s="89">
        <v>2029.0</v>
      </c>
      <c r="F126" s="90" t="s">
        <v>880</v>
      </c>
      <c r="G126" s="91">
        <v>18.0</v>
      </c>
      <c r="H126" s="92"/>
    </row>
    <row r="127">
      <c r="A127" s="97">
        <v>45891.0</v>
      </c>
      <c r="B127" s="101" t="s">
        <v>881</v>
      </c>
      <c r="C127" s="101" t="s">
        <v>882</v>
      </c>
      <c r="D127" s="101" t="s">
        <v>883</v>
      </c>
      <c r="E127" s="89">
        <v>2028.0</v>
      </c>
      <c r="F127" s="90" t="s">
        <v>884</v>
      </c>
      <c r="G127" s="91">
        <v>3.0</v>
      </c>
      <c r="H127" s="92"/>
    </row>
    <row r="128">
      <c r="A128" s="97">
        <v>45891.0</v>
      </c>
      <c r="B128" s="101" t="s">
        <v>885</v>
      </c>
      <c r="C128" s="101" t="s">
        <v>886</v>
      </c>
      <c r="D128" s="101" t="s">
        <v>711</v>
      </c>
      <c r="E128" s="89">
        <v>2029.0</v>
      </c>
      <c r="F128" s="90" t="s">
        <v>887</v>
      </c>
      <c r="G128" s="91">
        <v>1.0</v>
      </c>
      <c r="H128" s="92"/>
    </row>
    <row r="129">
      <c r="A129" s="97">
        <v>45891.0</v>
      </c>
      <c r="B129" s="101" t="s">
        <v>888</v>
      </c>
      <c r="C129" s="101" t="s">
        <v>714</v>
      </c>
      <c r="D129" s="101" t="s">
        <v>715</v>
      </c>
      <c r="E129" s="89">
        <v>2028.0</v>
      </c>
      <c r="F129" s="102" t="s">
        <v>889</v>
      </c>
      <c r="G129" s="91">
        <v>1.0</v>
      </c>
      <c r="H129" s="92"/>
    </row>
    <row r="130">
      <c r="A130" s="97">
        <v>45891.0</v>
      </c>
      <c r="B130" s="101" t="s">
        <v>890</v>
      </c>
      <c r="C130" s="101" t="s">
        <v>891</v>
      </c>
      <c r="D130" s="101" t="s">
        <v>704</v>
      </c>
      <c r="E130" s="89">
        <v>2029.0</v>
      </c>
      <c r="F130" s="90" t="s">
        <v>892</v>
      </c>
      <c r="G130" s="91">
        <v>15.0</v>
      </c>
      <c r="H130" s="92"/>
    </row>
    <row r="131">
      <c r="A131" s="97">
        <v>45891.0</v>
      </c>
      <c r="B131" s="101" t="s">
        <v>893</v>
      </c>
      <c r="C131" s="101" t="s">
        <v>894</v>
      </c>
      <c r="D131" s="101" t="s">
        <v>700</v>
      </c>
      <c r="E131" s="89">
        <v>2029.0</v>
      </c>
      <c r="F131" s="90" t="s">
        <v>895</v>
      </c>
      <c r="G131" s="91">
        <v>7.0</v>
      </c>
      <c r="H131" s="92"/>
    </row>
    <row r="132">
      <c r="A132" s="97">
        <v>45891.0</v>
      </c>
      <c r="B132" s="101" t="s">
        <v>896</v>
      </c>
      <c r="C132" s="101" t="s">
        <v>897</v>
      </c>
      <c r="D132" s="101" t="s">
        <v>704</v>
      </c>
      <c r="E132" s="89">
        <v>2028.0</v>
      </c>
      <c r="F132" s="90" t="s">
        <v>898</v>
      </c>
      <c r="G132" s="91">
        <v>6.0</v>
      </c>
      <c r="H132" s="92"/>
    </row>
    <row r="133">
      <c r="A133" s="97">
        <v>45891.0</v>
      </c>
      <c r="B133" s="100" t="s">
        <v>899</v>
      </c>
      <c r="C133" s="100" t="s">
        <v>900</v>
      </c>
      <c r="D133" s="101" t="s">
        <v>711</v>
      </c>
      <c r="E133" s="89">
        <v>2029.0</v>
      </c>
      <c r="F133" s="102" t="s">
        <v>901</v>
      </c>
      <c r="G133" s="91">
        <v>14.0</v>
      </c>
      <c r="H133" s="92"/>
    </row>
    <row r="134">
      <c r="A134" s="97">
        <v>45891.0</v>
      </c>
      <c r="B134" s="100" t="s">
        <v>902</v>
      </c>
      <c r="C134" s="100" t="s">
        <v>903</v>
      </c>
      <c r="D134" s="101" t="s">
        <v>700</v>
      </c>
      <c r="E134" s="89">
        <v>2029.0</v>
      </c>
      <c r="F134" s="90" t="s">
        <v>904</v>
      </c>
      <c r="G134" s="91">
        <v>5.0</v>
      </c>
      <c r="H134" s="92"/>
    </row>
    <row r="135">
      <c r="A135" s="97">
        <v>45891.0</v>
      </c>
      <c r="B135" s="104" t="s">
        <v>905</v>
      </c>
      <c r="C135" s="100" t="s">
        <v>906</v>
      </c>
      <c r="D135" s="101" t="s">
        <v>722</v>
      </c>
      <c r="E135" s="89">
        <v>2029.0</v>
      </c>
      <c r="F135" s="90" t="s">
        <v>907</v>
      </c>
      <c r="G135" s="91">
        <v>16.0</v>
      </c>
      <c r="H135" s="92"/>
    </row>
    <row r="136">
      <c r="A136" s="97">
        <v>45891.0</v>
      </c>
      <c r="B136" s="101" t="s">
        <v>908</v>
      </c>
      <c r="C136" s="101" t="s">
        <v>909</v>
      </c>
      <c r="D136" s="101" t="s">
        <v>700</v>
      </c>
      <c r="E136" s="89">
        <v>2028.0</v>
      </c>
      <c r="F136" s="90" t="s">
        <v>910</v>
      </c>
      <c r="G136" s="91">
        <v>4.0</v>
      </c>
      <c r="H136" s="92"/>
    </row>
    <row r="137">
      <c r="A137" s="97">
        <v>45891.0</v>
      </c>
      <c r="B137" s="100" t="s">
        <v>911</v>
      </c>
      <c r="C137" s="100" t="s">
        <v>912</v>
      </c>
      <c r="D137" s="101" t="s">
        <v>700</v>
      </c>
      <c r="E137" s="89">
        <v>2029.0</v>
      </c>
      <c r="F137" s="90" t="s">
        <v>913</v>
      </c>
      <c r="G137" s="91">
        <v>35.0</v>
      </c>
      <c r="H137" s="92"/>
    </row>
    <row r="138">
      <c r="A138" s="97">
        <v>45891.0</v>
      </c>
      <c r="B138" s="101" t="s">
        <v>914</v>
      </c>
      <c r="C138" s="101" t="s">
        <v>915</v>
      </c>
      <c r="D138" s="101" t="s">
        <v>506</v>
      </c>
      <c r="E138" s="89">
        <v>2028.0</v>
      </c>
      <c r="F138" s="102" t="s">
        <v>916</v>
      </c>
      <c r="G138" s="91">
        <v>29.0</v>
      </c>
      <c r="H138" s="92"/>
    </row>
    <row r="139">
      <c r="A139" s="97">
        <v>45891.0</v>
      </c>
      <c r="B139" s="100" t="s">
        <v>917</v>
      </c>
      <c r="C139" s="100" t="s">
        <v>918</v>
      </c>
      <c r="D139" s="101" t="s">
        <v>704</v>
      </c>
      <c r="E139" s="89">
        <v>2029.0</v>
      </c>
      <c r="F139" s="90" t="s">
        <v>919</v>
      </c>
      <c r="G139" s="91">
        <v>13.0</v>
      </c>
      <c r="H139" s="92"/>
    </row>
    <row r="140">
      <c r="A140" s="97">
        <v>45891.0</v>
      </c>
      <c r="B140" s="100" t="s">
        <v>920</v>
      </c>
      <c r="C140" s="100" t="s">
        <v>921</v>
      </c>
      <c r="D140" s="101" t="s">
        <v>700</v>
      </c>
      <c r="E140" s="89">
        <v>2029.0</v>
      </c>
      <c r="F140" s="90" t="s">
        <v>922</v>
      </c>
      <c r="G140" s="91">
        <v>4.0</v>
      </c>
      <c r="H140" s="92"/>
    </row>
    <row r="141">
      <c r="A141" s="97">
        <v>45891.0</v>
      </c>
      <c r="B141" s="101" t="s">
        <v>923</v>
      </c>
      <c r="C141" s="101" t="s">
        <v>924</v>
      </c>
      <c r="D141" s="101" t="s">
        <v>722</v>
      </c>
      <c r="E141" s="89">
        <v>2029.0</v>
      </c>
      <c r="F141" s="90" t="s">
        <v>925</v>
      </c>
      <c r="G141" s="91">
        <v>42.0</v>
      </c>
      <c r="H141" s="92"/>
    </row>
    <row r="142">
      <c r="A142" s="97">
        <v>45891.0</v>
      </c>
      <c r="B142" s="100" t="s">
        <v>926</v>
      </c>
      <c r="C142" s="100" t="s">
        <v>927</v>
      </c>
      <c r="D142" s="101" t="s">
        <v>711</v>
      </c>
      <c r="E142" s="89">
        <v>2029.0</v>
      </c>
      <c r="F142" s="102" t="s">
        <v>928</v>
      </c>
      <c r="G142" s="91">
        <v>7.0</v>
      </c>
      <c r="H142" s="92"/>
    </row>
    <row r="143">
      <c r="A143" s="97">
        <v>45891.0</v>
      </c>
      <c r="B143" s="101" t="s">
        <v>929</v>
      </c>
      <c r="C143" s="101" t="s">
        <v>930</v>
      </c>
      <c r="D143" s="101" t="s">
        <v>711</v>
      </c>
      <c r="E143" s="89">
        <v>2029.0</v>
      </c>
      <c r="F143" s="90" t="s">
        <v>931</v>
      </c>
      <c r="G143" s="91">
        <v>7.0</v>
      </c>
      <c r="H143" s="92"/>
    </row>
    <row r="144">
      <c r="A144" s="97">
        <v>45891.0</v>
      </c>
      <c r="B144" s="100" t="s">
        <v>932</v>
      </c>
      <c r="C144" s="100" t="s">
        <v>933</v>
      </c>
      <c r="D144" s="101" t="s">
        <v>704</v>
      </c>
      <c r="E144" s="89">
        <v>2029.0</v>
      </c>
      <c r="F144" s="90" t="s">
        <v>934</v>
      </c>
      <c r="G144" s="91">
        <v>13.0</v>
      </c>
      <c r="H144" s="92"/>
    </row>
    <row r="145">
      <c r="A145" s="97">
        <v>45891.0</v>
      </c>
      <c r="B145" s="103" t="s">
        <v>935</v>
      </c>
      <c r="C145" s="100" t="s">
        <v>936</v>
      </c>
      <c r="D145" s="101" t="s">
        <v>722</v>
      </c>
      <c r="E145" s="89">
        <v>2029.0</v>
      </c>
      <c r="F145" s="90" t="s">
        <v>937</v>
      </c>
      <c r="G145" s="91">
        <v>7.0</v>
      </c>
      <c r="H145" s="92"/>
    </row>
    <row r="146">
      <c r="A146" s="97">
        <v>45891.0</v>
      </c>
      <c r="B146" s="101" t="s">
        <v>938</v>
      </c>
      <c r="C146" s="89" t="s">
        <v>939</v>
      </c>
      <c r="D146" s="89" t="s">
        <v>506</v>
      </c>
      <c r="E146" s="89">
        <v>2026.0</v>
      </c>
      <c r="F146" s="105" t="s">
        <v>940</v>
      </c>
      <c r="G146" s="91">
        <v>16.0</v>
      </c>
      <c r="H146" s="92"/>
    </row>
    <row r="147">
      <c r="A147" s="97">
        <v>45891.0</v>
      </c>
      <c r="B147" s="100" t="s">
        <v>941</v>
      </c>
      <c r="C147" s="100" t="s">
        <v>942</v>
      </c>
      <c r="D147" s="101" t="s">
        <v>704</v>
      </c>
      <c r="E147" s="89">
        <v>2029.0</v>
      </c>
      <c r="F147" s="90" t="s">
        <v>943</v>
      </c>
      <c r="G147" s="91">
        <v>20.0</v>
      </c>
      <c r="H147" s="92"/>
    </row>
    <row r="148">
      <c r="A148" s="97">
        <v>45891.0</v>
      </c>
      <c r="B148" s="101" t="s">
        <v>944</v>
      </c>
      <c r="C148" s="101" t="s">
        <v>945</v>
      </c>
      <c r="D148" s="101" t="s">
        <v>704</v>
      </c>
      <c r="E148" s="89">
        <v>2029.0</v>
      </c>
      <c r="F148" s="102" t="s">
        <v>946</v>
      </c>
      <c r="G148" s="91">
        <v>10.0</v>
      </c>
      <c r="H148" s="92"/>
    </row>
    <row r="149">
      <c r="A149" s="97">
        <v>45891.0</v>
      </c>
      <c r="B149" s="100" t="s">
        <v>947</v>
      </c>
      <c r="C149" s="100" t="s">
        <v>948</v>
      </c>
      <c r="D149" s="101" t="s">
        <v>711</v>
      </c>
      <c r="E149" s="89">
        <v>2029.0</v>
      </c>
      <c r="F149" s="90" t="s">
        <v>949</v>
      </c>
      <c r="G149" s="91">
        <v>16.0</v>
      </c>
      <c r="H149" s="92"/>
    </row>
    <row r="150">
      <c r="A150" s="97">
        <v>45891.0</v>
      </c>
      <c r="B150" s="107" t="s">
        <v>950</v>
      </c>
      <c r="C150" s="107" t="s">
        <v>951</v>
      </c>
      <c r="D150" s="101" t="s">
        <v>722</v>
      </c>
      <c r="E150" s="89">
        <v>2029.0</v>
      </c>
      <c r="F150" s="90" t="s">
        <v>952</v>
      </c>
      <c r="G150" s="91">
        <v>8.0</v>
      </c>
      <c r="H150" s="92"/>
    </row>
    <row r="151">
      <c r="A151" s="97">
        <v>45891.0</v>
      </c>
      <c r="B151" s="106" t="s">
        <v>953</v>
      </c>
      <c r="C151" s="106" t="s">
        <v>954</v>
      </c>
      <c r="D151" s="101" t="s">
        <v>722</v>
      </c>
      <c r="E151" s="89">
        <v>2029.0</v>
      </c>
      <c r="F151" s="90" t="s">
        <v>955</v>
      </c>
      <c r="G151" s="91">
        <v>80.0</v>
      </c>
      <c r="H151" s="92"/>
    </row>
    <row r="152">
      <c r="A152" s="97">
        <v>45891.0</v>
      </c>
      <c r="B152" s="106" t="s">
        <v>956</v>
      </c>
      <c r="C152" s="106" t="s">
        <v>957</v>
      </c>
      <c r="D152" s="101" t="s">
        <v>722</v>
      </c>
      <c r="E152" s="89">
        <v>2029.0</v>
      </c>
      <c r="F152" s="90" t="s">
        <v>958</v>
      </c>
      <c r="G152" s="91">
        <v>6.0</v>
      </c>
      <c r="H152" s="92"/>
    </row>
    <row r="153">
      <c r="A153" s="97">
        <v>45891.0</v>
      </c>
      <c r="B153" s="106" t="s">
        <v>542</v>
      </c>
      <c r="C153" s="106" t="s">
        <v>543</v>
      </c>
      <c r="D153" s="101" t="s">
        <v>506</v>
      </c>
      <c r="E153" s="89">
        <v>2026.0</v>
      </c>
      <c r="F153" s="90" t="s">
        <v>959</v>
      </c>
      <c r="G153" s="91">
        <v>26.0</v>
      </c>
      <c r="H153" s="92"/>
    </row>
    <row r="154">
      <c r="A154" s="97">
        <v>45891.0</v>
      </c>
      <c r="B154" s="106" t="s">
        <v>960</v>
      </c>
      <c r="C154" s="106" t="s">
        <v>961</v>
      </c>
      <c r="D154" s="101" t="s">
        <v>506</v>
      </c>
      <c r="E154" s="89">
        <v>2026.0</v>
      </c>
      <c r="F154" s="90" t="s">
        <v>962</v>
      </c>
      <c r="G154" s="91">
        <v>11.0</v>
      </c>
      <c r="H154" s="92"/>
    </row>
    <row r="155">
      <c r="A155" s="97">
        <v>45891.0</v>
      </c>
      <c r="B155" s="100" t="s">
        <v>963</v>
      </c>
      <c r="C155" s="100" t="s">
        <v>964</v>
      </c>
      <c r="D155" s="101" t="s">
        <v>711</v>
      </c>
      <c r="E155" s="89">
        <v>2029.0</v>
      </c>
      <c r="F155" s="90" t="s">
        <v>965</v>
      </c>
      <c r="G155" s="91">
        <v>8.0</v>
      </c>
      <c r="H155" s="92"/>
    </row>
    <row r="156">
      <c r="A156" s="97">
        <v>45891.0</v>
      </c>
      <c r="B156" s="104" t="s">
        <v>966</v>
      </c>
      <c r="C156" s="100" t="s">
        <v>967</v>
      </c>
      <c r="D156" s="101" t="s">
        <v>722</v>
      </c>
      <c r="E156" s="89">
        <v>2029.0</v>
      </c>
      <c r="F156" s="90" t="s">
        <v>968</v>
      </c>
      <c r="G156" s="91">
        <v>39.0</v>
      </c>
      <c r="H156" s="92"/>
    </row>
    <row r="157">
      <c r="A157" s="97">
        <v>45891.0</v>
      </c>
      <c r="B157" s="101" t="s">
        <v>969</v>
      </c>
      <c r="C157" s="101" t="s">
        <v>970</v>
      </c>
      <c r="D157" s="101" t="s">
        <v>711</v>
      </c>
      <c r="E157" s="89">
        <v>2028.0</v>
      </c>
      <c r="F157" s="90" t="s">
        <v>971</v>
      </c>
      <c r="G157" s="91">
        <v>10.0</v>
      </c>
      <c r="H157" s="92"/>
    </row>
    <row r="158">
      <c r="A158" s="97">
        <v>45891.0</v>
      </c>
      <c r="B158" s="101" t="s">
        <v>972</v>
      </c>
      <c r="C158" s="101" t="s">
        <v>973</v>
      </c>
      <c r="D158" s="101" t="s">
        <v>700</v>
      </c>
      <c r="E158" s="89">
        <v>2029.0</v>
      </c>
      <c r="F158" s="90" t="s">
        <v>974</v>
      </c>
      <c r="G158" s="91">
        <v>8.0</v>
      </c>
      <c r="H158" s="92"/>
    </row>
    <row r="159">
      <c r="A159" s="97">
        <v>45891.0</v>
      </c>
      <c r="B159" s="101" t="s">
        <v>975</v>
      </c>
      <c r="C159" s="101" t="s">
        <v>976</v>
      </c>
      <c r="D159" s="101" t="s">
        <v>506</v>
      </c>
      <c r="E159" s="89">
        <v>2028.0</v>
      </c>
      <c r="F159" s="102" t="s">
        <v>977</v>
      </c>
      <c r="G159" s="91">
        <v>28.0</v>
      </c>
      <c r="H159" s="92"/>
    </row>
    <row r="160">
      <c r="A160" s="97">
        <v>45891.0</v>
      </c>
      <c r="B160" s="101" t="s">
        <v>978</v>
      </c>
      <c r="C160" s="101" t="s">
        <v>979</v>
      </c>
      <c r="D160" s="101" t="s">
        <v>506</v>
      </c>
      <c r="E160" s="89">
        <v>2026.0</v>
      </c>
      <c r="F160" s="90" t="s">
        <v>980</v>
      </c>
      <c r="G160" s="91">
        <v>7.0</v>
      </c>
      <c r="H160" s="92"/>
    </row>
    <row r="161">
      <c r="A161" s="97">
        <v>45891.0</v>
      </c>
      <c r="B161" s="101" t="s">
        <v>981</v>
      </c>
      <c r="C161" s="101" t="s">
        <v>982</v>
      </c>
      <c r="D161" s="101" t="s">
        <v>700</v>
      </c>
      <c r="E161" s="89">
        <v>2028.0</v>
      </c>
      <c r="F161" s="90" t="s">
        <v>983</v>
      </c>
      <c r="G161" s="91">
        <v>3.0</v>
      </c>
      <c r="H161" s="92"/>
    </row>
    <row r="162">
      <c r="A162" s="97">
        <v>45891.0</v>
      </c>
      <c r="B162" s="101" t="s">
        <v>984</v>
      </c>
      <c r="C162" s="101" t="s">
        <v>985</v>
      </c>
      <c r="D162" s="101" t="s">
        <v>506</v>
      </c>
      <c r="E162" s="89">
        <v>2026.0</v>
      </c>
      <c r="F162" s="90" t="s">
        <v>986</v>
      </c>
      <c r="G162" s="91">
        <v>2.0</v>
      </c>
      <c r="H162" s="92"/>
    </row>
    <row r="163">
      <c r="A163" s="97">
        <v>45891.0</v>
      </c>
      <c r="B163" s="101" t="s">
        <v>987</v>
      </c>
      <c r="C163" s="101" t="s">
        <v>988</v>
      </c>
      <c r="D163" s="101" t="s">
        <v>506</v>
      </c>
      <c r="E163" s="89">
        <v>2027.0</v>
      </c>
      <c r="F163" s="90" t="s">
        <v>989</v>
      </c>
      <c r="G163" s="91">
        <v>8.0</v>
      </c>
      <c r="H163" s="92"/>
    </row>
    <row r="164">
      <c r="A164" s="97">
        <v>45891.0</v>
      </c>
      <c r="B164" s="101" t="s">
        <v>990</v>
      </c>
      <c r="C164" s="101" t="s">
        <v>991</v>
      </c>
      <c r="D164" s="101" t="s">
        <v>700</v>
      </c>
      <c r="E164" s="89">
        <v>2028.0</v>
      </c>
      <c r="F164" s="90" t="s">
        <v>992</v>
      </c>
      <c r="G164" s="91">
        <v>2.0</v>
      </c>
      <c r="H164" s="92"/>
    </row>
    <row r="165">
      <c r="A165" s="97">
        <v>45891.0</v>
      </c>
      <c r="B165" s="101" t="s">
        <v>993</v>
      </c>
      <c r="C165" s="101" t="s">
        <v>994</v>
      </c>
      <c r="D165" s="101" t="s">
        <v>711</v>
      </c>
      <c r="E165" s="89">
        <v>2028.0</v>
      </c>
      <c r="F165" s="90" t="s">
        <v>995</v>
      </c>
      <c r="G165" s="91">
        <v>6.0</v>
      </c>
      <c r="H165" s="92"/>
    </row>
    <row r="166">
      <c r="A166" s="97">
        <v>45891.0</v>
      </c>
      <c r="B166" s="101" t="s">
        <v>996</v>
      </c>
      <c r="C166" s="101" t="s">
        <v>997</v>
      </c>
      <c r="D166" s="101" t="s">
        <v>700</v>
      </c>
      <c r="E166" s="89">
        <v>2028.0</v>
      </c>
      <c r="F166" s="90" t="s">
        <v>998</v>
      </c>
      <c r="G166" s="91">
        <v>6.0</v>
      </c>
      <c r="H166" s="92"/>
    </row>
    <row r="167">
      <c r="A167" s="97">
        <v>45891.0</v>
      </c>
      <c r="B167" s="101" t="s">
        <v>999</v>
      </c>
      <c r="C167" s="101" t="s">
        <v>1000</v>
      </c>
      <c r="D167" s="101" t="s">
        <v>704</v>
      </c>
      <c r="E167" s="89">
        <v>2029.0</v>
      </c>
      <c r="F167" s="90" t="s">
        <v>1001</v>
      </c>
      <c r="G167" s="91">
        <v>12.0</v>
      </c>
      <c r="H167" s="92"/>
    </row>
    <row r="168">
      <c r="A168" s="97">
        <v>45891.0</v>
      </c>
      <c r="B168" s="101" t="s">
        <v>1002</v>
      </c>
      <c r="C168" s="101" t="s">
        <v>1003</v>
      </c>
      <c r="D168" s="101" t="s">
        <v>704</v>
      </c>
      <c r="E168" s="89">
        <v>2029.0</v>
      </c>
      <c r="F168" s="90" t="s">
        <v>1004</v>
      </c>
      <c r="G168" s="91">
        <v>6.0</v>
      </c>
      <c r="H168" s="92"/>
    </row>
    <row r="169">
      <c r="A169" s="97">
        <v>45891.0</v>
      </c>
      <c r="B169" s="101" t="s">
        <v>1005</v>
      </c>
      <c r="C169" s="101" t="s">
        <v>1006</v>
      </c>
      <c r="D169" s="101" t="s">
        <v>704</v>
      </c>
      <c r="E169" s="89">
        <v>2029.0</v>
      </c>
      <c r="F169" s="90" t="s">
        <v>1007</v>
      </c>
      <c r="G169" s="91">
        <v>6.0</v>
      </c>
      <c r="H169" s="92"/>
    </row>
    <row r="170">
      <c r="A170" s="97">
        <v>45891.0</v>
      </c>
      <c r="B170" s="101" t="s">
        <v>1008</v>
      </c>
      <c r="C170" s="101" t="s">
        <v>1009</v>
      </c>
      <c r="D170" s="101" t="s">
        <v>722</v>
      </c>
      <c r="E170" s="89">
        <v>2029.0</v>
      </c>
      <c r="F170" s="90" t="s">
        <v>1010</v>
      </c>
      <c r="G170" s="91">
        <v>1.0</v>
      </c>
      <c r="H170" s="92"/>
    </row>
    <row r="171">
      <c r="A171" s="97">
        <v>45891.0</v>
      </c>
      <c r="B171" s="101" t="s">
        <v>1011</v>
      </c>
      <c r="C171" s="101" t="s">
        <v>1012</v>
      </c>
      <c r="D171" s="101" t="s">
        <v>722</v>
      </c>
      <c r="E171" s="89">
        <v>2029.0</v>
      </c>
      <c r="F171" s="90" t="s">
        <v>1013</v>
      </c>
      <c r="G171" s="91">
        <v>14.0</v>
      </c>
      <c r="H171" s="92"/>
    </row>
    <row r="172">
      <c r="A172" s="97">
        <v>45891.0</v>
      </c>
      <c r="B172" s="101" t="s">
        <v>1014</v>
      </c>
      <c r="C172" s="101" t="s">
        <v>1015</v>
      </c>
      <c r="D172" s="101" t="s">
        <v>506</v>
      </c>
      <c r="E172" s="89">
        <v>2026.0</v>
      </c>
      <c r="F172" s="90" t="s">
        <v>1016</v>
      </c>
      <c r="G172" s="91">
        <v>16.0</v>
      </c>
      <c r="H172" s="92"/>
    </row>
    <row r="173">
      <c r="A173" s="97">
        <v>45891.0</v>
      </c>
      <c r="B173" s="101" t="s">
        <v>1017</v>
      </c>
      <c r="C173" s="101" t="s">
        <v>1018</v>
      </c>
      <c r="D173" s="101" t="s">
        <v>700</v>
      </c>
      <c r="E173" s="89">
        <v>2028.0</v>
      </c>
      <c r="F173" s="90" t="s">
        <v>1019</v>
      </c>
      <c r="G173" s="91">
        <v>7.0</v>
      </c>
      <c r="H173" s="92"/>
    </row>
    <row r="174">
      <c r="A174" s="97">
        <v>45891.0</v>
      </c>
      <c r="B174" s="101" t="s">
        <v>1020</v>
      </c>
      <c r="C174" s="101" t="s">
        <v>1021</v>
      </c>
      <c r="D174" s="101" t="s">
        <v>722</v>
      </c>
      <c r="E174" s="89">
        <v>2029.0</v>
      </c>
      <c r="F174" s="90" t="s">
        <v>1022</v>
      </c>
      <c r="G174" s="91">
        <v>11.0</v>
      </c>
      <c r="H174" s="92"/>
    </row>
    <row r="175">
      <c r="A175" s="97">
        <v>45891.0</v>
      </c>
      <c r="B175" s="101" t="s">
        <v>1023</v>
      </c>
      <c r="C175" s="101" t="s">
        <v>1024</v>
      </c>
      <c r="D175" s="101" t="s">
        <v>711</v>
      </c>
      <c r="E175" s="89">
        <v>2029.0</v>
      </c>
      <c r="F175" s="90" t="s">
        <v>1025</v>
      </c>
      <c r="G175" s="91">
        <v>14.0</v>
      </c>
      <c r="H175" s="92"/>
    </row>
    <row r="176">
      <c r="A176" s="97">
        <v>45891.0</v>
      </c>
      <c r="B176" s="101" t="s">
        <v>1026</v>
      </c>
      <c r="C176" s="101" t="s">
        <v>1027</v>
      </c>
      <c r="D176" s="101" t="s">
        <v>711</v>
      </c>
      <c r="E176" s="89">
        <v>2027.0</v>
      </c>
      <c r="F176" s="90" t="s">
        <v>1028</v>
      </c>
      <c r="G176" s="91">
        <v>14.0</v>
      </c>
      <c r="H176" s="92"/>
    </row>
    <row r="177">
      <c r="A177" s="97">
        <v>45891.0</v>
      </c>
      <c r="B177" s="101" t="s">
        <v>1029</v>
      </c>
      <c r="C177" s="101" t="s">
        <v>1030</v>
      </c>
      <c r="D177" s="101" t="s">
        <v>704</v>
      </c>
      <c r="E177" s="89">
        <v>2029.0</v>
      </c>
      <c r="F177" s="90" t="s">
        <v>1031</v>
      </c>
      <c r="G177" s="91">
        <v>2.0</v>
      </c>
      <c r="H177" s="92"/>
    </row>
    <row r="178">
      <c r="A178" s="97">
        <v>45894.0</v>
      </c>
      <c r="B178" s="101" t="s">
        <v>1032</v>
      </c>
      <c r="C178" s="101" t="s">
        <v>1033</v>
      </c>
      <c r="D178" s="101" t="s">
        <v>722</v>
      </c>
      <c r="E178" s="89">
        <v>2029.0</v>
      </c>
      <c r="F178" s="90" t="s">
        <v>1034</v>
      </c>
      <c r="G178" s="91">
        <v>35.0</v>
      </c>
      <c r="H178" s="92"/>
    </row>
    <row r="179">
      <c r="A179" s="97">
        <v>45894.0</v>
      </c>
      <c r="B179" s="101" t="s">
        <v>947</v>
      </c>
      <c r="C179" s="100" t="s">
        <v>948</v>
      </c>
      <c r="D179" s="101" t="s">
        <v>711</v>
      </c>
      <c r="E179" s="89">
        <v>2029.0</v>
      </c>
      <c r="F179" s="90" t="s">
        <v>1035</v>
      </c>
      <c r="G179" s="91">
        <v>13.0</v>
      </c>
      <c r="H179" s="92"/>
    </row>
    <row r="180">
      <c r="A180" s="97">
        <v>45894.0</v>
      </c>
      <c r="B180" s="101" t="s">
        <v>950</v>
      </c>
      <c r="C180" s="107" t="s">
        <v>951</v>
      </c>
      <c r="D180" s="101" t="s">
        <v>722</v>
      </c>
      <c r="E180" s="89">
        <v>2029.0</v>
      </c>
      <c r="F180" s="90" t="s">
        <v>1036</v>
      </c>
      <c r="G180" s="91">
        <v>1.0</v>
      </c>
      <c r="H180" s="92"/>
    </row>
    <row r="181">
      <c r="A181" s="97">
        <v>45894.0</v>
      </c>
      <c r="B181" s="103" t="s">
        <v>935</v>
      </c>
      <c r="C181" s="108" t="s">
        <v>936</v>
      </c>
      <c r="D181" s="100" t="s">
        <v>722</v>
      </c>
      <c r="E181" s="89">
        <v>2029.0</v>
      </c>
      <c r="F181" s="90" t="s">
        <v>1037</v>
      </c>
      <c r="G181" s="91">
        <v>2.0</v>
      </c>
      <c r="H181" s="92"/>
    </row>
    <row r="182">
      <c r="A182" s="97">
        <v>45894.0</v>
      </c>
      <c r="B182" s="101" t="s">
        <v>1038</v>
      </c>
      <c r="C182" s="101" t="s">
        <v>1039</v>
      </c>
      <c r="D182" s="101" t="s">
        <v>711</v>
      </c>
      <c r="E182" s="89">
        <v>2029.0</v>
      </c>
      <c r="F182" s="90" t="s">
        <v>1040</v>
      </c>
      <c r="G182" s="91">
        <v>6.0</v>
      </c>
      <c r="H182" s="92"/>
    </row>
    <row r="183">
      <c r="A183" s="97">
        <v>45894.0</v>
      </c>
      <c r="B183" s="101" t="s">
        <v>713</v>
      </c>
      <c r="C183" s="101" t="s">
        <v>714</v>
      </c>
      <c r="D183" s="101" t="s">
        <v>715</v>
      </c>
      <c r="E183" s="89">
        <v>2028.0</v>
      </c>
      <c r="F183" s="90" t="s">
        <v>1041</v>
      </c>
      <c r="G183" s="91">
        <v>6.0</v>
      </c>
      <c r="H183" s="92"/>
    </row>
    <row r="184">
      <c r="A184" s="97">
        <v>45894.0</v>
      </c>
      <c r="B184" s="100" t="s">
        <v>1042</v>
      </c>
      <c r="C184" s="100" t="s">
        <v>1043</v>
      </c>
      <c r="D184" s="101" t="s">
        <v>711</v>
      </c>
      <c r="E184" s="89">
        <v>2029.0</v>
      </c>
      <c r="F184" s="90" t="s">
        <v>1044</v>
      </c>
      <c r="G184" s="91">
        <v>25.0</v>
      </c>
      <c r="H184" s="92"/>
    </row>
    <row r="185">
      <c r="A185" s="97">
        <v>45894.0</v>
      </c>
      <c r="B185" s="100" t="s">
        <v>1045</v>
      </c>
      <c r="C185" s="100" t="s">
        <v>1046</v>
      </c>
      <c r="D185" s="101" t="s">
        <v>700</v>
      </c>
      <c r="E185" s="89">
        <v>2029.0</v>
      </c>
      <c r="F185" s="90" t="s">
        <v>1047</v>
      </c>
      <c r="G185" s="91">
        <v>1.0</v>
      </c>
      <c r="H185" s="92"/>
    </row>
    <row r="186">
      <c r="A186" s="97">
        <v>45894.0</v>
      </c>
      <c r="B186" s="101" t="s">
        <v>1048</v>
      </c>
      <c r="C186" s="101" t="s">
        <v>870</v>
      </c>
      <c r="D186" s="101" t="s">
        <v>700</v>
      </c>
      <c r="E186" s="89">
        <v>2029.0</v>
      </c>
      <c r="F186" s="90" t="s">
        <v>1049</v>
      </c>
      <c r="G186" s="91">
        <v>14.0</v>
      </c>
      <c r="H186" s="92"/>
    </row>
    <row r="187">
      <c r="A187" s="97">
        <v>45894.0</v>
      </c>
      <c r="B187" s="100" t="s">
        <v>926</v>
      </c>
      <c r="C187" s="100" t="s">
        <v>927</v>
      </c>
      <c r="D187" s="101" t="s">
        <v>711</v>
      </c>
      <c r="E187" s="89">
        <v>2029.0</v>
      </c>
      <c r="F187" s="90" t="s">
        <v>1050</v>
      </c>
      <c r="G187" s="91">
        <v>4.0</v>
      </c>
      <c r="H187" s="92"/>
    </row>
    <row r="188">
      <c r="A188" s="97">
        <v>45894.0</v>
      </c>
      <c r="B188" s="101" t="s">
        <v>1051</v>
      </c>
      <c r="C188" s="101" t="s">
        <v>1052</v>
      </c>
      <c r="D188" s="101" t="s">
        <v>711</v>
      </c>
      <c r="E188" s="89">
        <v>2026.0</v>
      </c>
      <c r="F188" s="90" t="s">
        <v>1053</v>
      </c>
      <c r="G188" s="91">
        <v>14.0</v>
      </c>
      <c r="H188" s="92"/>
    </row>
    <row r="189">
      <c r="A189" s="97">
        <v>45894.0</v>
      </c>
      <c r="B189" s="101" t="s">
        <v>789</v>
      </c>
      <c r="C189" s="101" t="s">
        <v>790</v>
      </c>
      <c r="D189" s="101" t="s">
        <v>700</v>
      </c>
      <c r="E189" s="89">
        <v>2026.0</v>
      </c>
      <c r="F189" s="90" t="s">
        <v>1054</v>
      </c>
      <c r="G189" s="91">
        <v>105.0</v>
      </c>
      <c r="H189" s="92"/>
    </row>
    <row r="190">
      <c r="A190" s="97">
        <v>45894.0</v>
      </c>
      <c r="B190" s="101" t="s">
        <v>1055</v>
      </c>
      <c r="C190" s="101" t="s">
        <v>1056</v>
      </c>
      <c r="D190" s="101" t="s">
        <v>715</v>
      </c>
      <c r="E190" s="89">
        <v>2026.0</v>
      </c>
      <c r="F190" s="90" t="s">
        <v>1057</v>
      </c>
      <c r="G190" s="91">
        <v>13.0</v>
      </c>
      <c r="H190" s="92"/>
    </row>
    <row r="191">
      <c r="A191" s="97">
        <v>45894.0</v>
      </c>
      <c r="B191" s="101" t="s">
        <v>1058</v>
      </c>
      <c r="C191" s="101" t="s">
        <v>1059</v>
      </c>
      <c r="D191" s="101" t="s">
        <v>506</v>
      </c>
      <c r="E191" s="89">
        <v>2028.0</v>
      </c>
      <c r="F191" s="90" t="s">
        <v>1060</v>
      </c>
      <c r="G191" s="91">
        <v>2.0</v>
      </c>
      <c r="H191" s="92"/>
    </row>
    <row r="192">
      <c r="A192" s="97">
        <v>45894.0</v>
      </c>
      <c r="B192" s="101" t="s">
        <v>1061</v>
      </c>
      <c r="C192" s="101" t="s">
        <v>1062</v>
      </c>
      <c r="D192" s="101" t="s">
        <v>722</v>
      </c>
      <c r="E192" s="89">
        <v>2028.0</v>
      </c>
      <c r="F192" s="90" t="s">
        <v>1063</v>
      </c>
      <c r="G192" s="91">
        <v>3.0</v>
      </c>
      <c r="H192" s="92"/>
    </row>
    <row r="193">
      <c r="A193" s="97">
        <v>45894.0</v>
      </c>
      <c r="B193" s="101" t="s">
        <v>932</v>
      </c>
      <c r="C193" s="101" t="s">
        <v>933</v>
      </c>
      <c r="D193" s="101" t="s">
        <v>704</v>
      </c>
      <c r="E193" s="89">
        <v>2029.0</v>
      </c>
      <c r="F193" s="90" t="s">
        <v>1064</v>
      </c>
      <c r="G193" s="91">
        <v>7.0</v>
      </c>
      <c r="H193" s="92"/>
    </row>
    <row r="194">
      <c r="A194" s="97">
        <v>45894.0</v>
      </c>
      <c r="B194" s="101" t="s">
        <v>1065</v>
      </c>
      <c r="C194" s="101" t="s">
        <v>1066</v>
      </c>
      <c r="D194" s="101" t="s">
        <v>506</v>
      </c>
      <c r="E194" s="89">
        <v>2026.0</v>
      </c>
      <c r="F194" s="90" t="s">
        <v>1067</v>
      </c>
      <c r="G194" s="91">
        <v>33.0</v>
      </c>
      <c r="H194" s="92"/>
    </row>
    <row r="195">
      <c r="A195" s="97">
        <v>45894.0</v>
      </c>
      <c r="B195" s="101" t="s">
        <v>1068</v>
      </c>
      <c r="C195" s="101" t="s">
        <v>1069</v>
      </c>
      <c r="D195" s="101" t="s">
        <v>715</v>
      </c>
      <c r="E195" s="89">
        <v>2028.0</v>
      </c>
      <c r="F195" s="90" t="s">
        <v>1070</v>
      </c>
      <c r="G195" s="91">
        <v>4.0</v>
      </c>
      <c r="H195" s="92"/>
    </row>
    <row r="196">
      <c r="A196" s="97">
        <v>45894.0</v>
      </c>
      <c r="B196" s="101" t="s">
        <v>1071</v>
      </c>
      <c r="C196" s="101" t="s">
        <v>1072</v>
      </c>
      <c r="D196" s="101" t="s">
        <v>704</v>
      </c>
      <c r="E196" s="89">
        <v>2029.0</v>
      </c>
      <c r="F196" s="96" t="s">
        <v>1073</v>
      </c>
      <c r="G196" s="91">
        <v>3.0</v>
      </c>
      <c r="H196" s="92"/>
    </row>
    <row r="197">
      <c r="A197" s="109" t="s">
        <v>1074</v>
      </c>
      <c r="B197" s="101" t="s">
        <v>908</v>
      </c>
      <c r="C197" s="101" t="s">
        <v>909</v>
      </c>
      <c r="D197" s="101" t="s">
        <v>700</v>
      </c>
      <c r="E197" s="89">
        <v>2028.0</v>
      </c>
      <c r="F197" s="90" t="s">
        <v>1075</v>
      </c>
      <c r="G197" s="91">
        <v>2.0</v>
      </c>
      <c r="H197" s="92"/>
    </row>
    <row r="198">
      <c r="A198" s="97">
        <v>45894.0</v>
      </c>
      <c r="B198" s="103" t="s">
        <v>798</v>
      </c>
      <c r="C198" s="103" t="s">
        <v>799</v>
      </c>
      <c r="D198" s="101" t="s">
        <v>711</v>
      </c>
      <c r="E198" s="89">
        <v>2029.0</v>
      </c>
      <c r="F198" s="90" t="s">
        <v>1076</v>
      </c>
      <c r="G198" s="91">
        <v>3.0</v>
      </c>
      <c r="H198" s="92"/>
    </row>
    <row r="199">
      <c r="A199" s="97">
        <v>45894.0</v>
      </c>
      <c r="B199" s="110" t="s">
        <v>1077</v>
      </c>
      <c r="C199" s="111" t="s">
        <v>1078</v>
      </c>
      <c r="D199" s="101" t="s">
        <v>722</v>
      </c>
      <c r="E199" s="89">
        <v>2029.0</v>
      </c>
      <c r="F199" s="90" t="s">
        <v>1079</v>
      </c>
      <c r="G199" s="91">
        <v>1.0</v>
      </c>
      <c r="H199" s="92"/>
    </row>
    <row r="200">
      <c r="A200" s="97">
        <v>45894.0</v>
      </c>
      <c r="B200" s="101" t="s">
        <v>944</v>
      </c>
      <c r="C200" s="101" t="s">
        <v>945</v>
      </c>
      <c r="D200" s="101" t="s">
        <v>704</v>
      </c>
      <c r="E200" s="89">
        <v>2029.0</v>
      </c>
      <c r="F200" s="90" t="s">
        <v>1080</v>
      </c>
      <c r="G200" s="91">
        <v>3.0</v>
      </c>
      <c r="H200" s="92"/>
    </row>
    <row r="201">
      <c r="A201" s="97">
        <v>45894.0</v>
      </c>
      <c r="B201" s="101" t="s">
        <v>1081</v>
      </c>
      <c r="C201" s="101" t="s">
        <v>1082</v>
      </c>
      <c r="D201" s="101" t="s">
        <v>704</v>
      </c>
      <c r="E201" s="89">
        <v>2029.0</v>
      </c>
      <c r="F201" s="90" t="s">
        <v>1083</v>
      </c>
      <c r="G201" s="91">
        <v>27.0</v>
      </c>
      <c r="H201" s="92"/>
    </row>
    <row r="202">
      <c r="A202" s="112">
        <v>45894.0</v>
      </c>
      <c r="B202" s="101" t="s">
        <v>1084</v>
      </c>
      <c r="C202" s="101" t="s">
        <v>1085</v>
      </c>
      <c r="D202" s="101" t="s">
        <v>711</v>
      </c>
      <c r="E202" s="89">
        <v>2028.0</v>
      </c>
      <c r="F202" s="96" t="s">
        <v>1086</v>
      </c>
      <c r="G202" s="91">
        <v>21.0</v>
      </c>
      <c r="H202" s="92"/>
    </row>
    <row r="203">
      <c r="A203" s="97">
        <v>45894.0</v>
      </c>
      <c r="B203" s="101" t="s">
        <v>1026</v>
      </c>
      <c r="C203" s="101" t="s">
        <v>1027</v>
      </c>
      <c r="D203" s="101" t="s">
        <v>711</v>
      </c>
      <c r="E203" s="89">
        <v>2027.0</v>
      </c>
      <c r="F203" s="90" t="s">
        <v>1087</v>
      </c>
      <c r="G203" s="91">
        <v>20.0</v>
      </c>
      <c r="H203" s="92"/>
    </row>
    <row r="204">
      <c r="A204" s="97">
        <v>45894.0</v>
      </c>
      <c r="B204" s="101" t="s">
        <v>1088</v>
      </c>
      <c r="C204" s="101" t="s">
        <v>1089</v>
      </c>
      <c r="D204" s="101" t="s">
        <v>784</v>
      </c>
      <c r="E204" s="89">
        <v>2026.0</v>
      </c>
      <c r="F204" s="90" t="s">
        <v>1090</v>
      </c>
      <c r="G204" s="91">
        <v>1.0</v>
      </c>
      <c r="H204" s="92"/>
    </row>
    <row r="205">
      <c r="A205" s="97">
        <v>45894.0</v>
      </c>
      <c r="B205" s="101" t="s">
        <v>1091</v>
      </c>
      <c r="C205" s="101" t="s">
        <v>1092</v>
      </c>
      <c r="D205" s="101" t="s">
        <v>506</v>
      </c>
      <c r="E205" s="89">
        <v>2027.0</v>
      </c>
      <c r="F205" s="90" t="s">
        <v>115</v>
      </c>
      <c r="G205" s="91">
        <v>1.0</v>
      </c>
      <c r="H205" s="92"/>
    </row>
    <row r="206">
      <c r="A206" s="109">
        <v>45894.0</v>
      </c>
      <c r="B206" s="101" t="s">
        <v>1093</v>
      </c>
      <c r="C206" s="101" t="s">
        <v>1094</v>
      </c>
      <c r="D206" s="101" t="s">
        <v>506</v>
      </c>
      <c r="E206" s="89">
        <v>2027.0</v>
      </c>
      <c r="F206" s="90" t="s">
        <v>1090</v>
      </c>
      <c r="G206" s="91">
        <v>1.0</v>
      </c>
      <c r="H206" s="92"/>
    </row>
    <row r="207">
      <c r="A207" s="97">
        <v>45894.0</v>
      </c>
      <c r="B207" s="101" t="s">
        <v>1095</v>
      </c>
      <c r="C207" s="101" t="s">
        <v>1096</v>
      </c>
      <c r="D207" s="101" t="s">
        <v>506</v>
      </c>
      <c r="E207" s="89">
        <v>2027.0</v>
      </c>
      <c r="F207" s="90" t="s">
        <v>416</v>
      </c>
      <c r="G207" s="91">
        <v>1.0</v>
      </c>
      <c r="H207" s="92"/>
    </row>
    <row r="208">
      <c r="A208" s="97">
        <v>45894.0</v>
      </c>
      <c r="B208" s="101" t="s">
        <v>896</v>
      </c>
      <c r="C208" s="101" t="s">
        <v>897</v>
      </c>
      <c r="D208" s="101" t="s">
        <v>704</v>
      </c>
      <c r="E208" s="89">
        <v>2028.0</v>
      </c>
      <c r="F208" s="90" t="s">
        <v>537</v>
      </c>
      <c r="G208" s="91">
        <v>1.0</v>
      </c>
      <c r="H208" s="92"/>
    </row>
    <row r="209">
      <c r="A209" s="97">
        <v>45894.0</v>
      </c>
      <c r="B209" s="101" t="s">
        <v>766</v>
      </c>
      <c r="C209" s="101" t="s">
        <v>767</v>
      </c>
      <c r="D209" s="101" t="s">
        <v>722</v>
      </c>
      <c r="E209" s="89">
        <v>2028.0</v>
      </c>
      <c r="F209" s="90" t="s">
        <v>1097</v>
      </c>
      <c r="G209" s="91">
        <v>2.0</v>
      </c>
      <c r="H209" s="92"/>
    </row>
    <row r="210">
      <c r="A210" s="97">
        <v>45896.0</v>
      </c>
      <c r="B210" s="89" t="s">
        <v>1098</v>
      </c>
      <c r="C210" s="89" t="s">
        <v>1099</v>
      </c>
      <c r="D210" s="89" t="s">
        <v>711</v>
      </c>
      <c r="E210" s="89">
        <v>2028.0</v>
      </c>
      <c r="F210" s="90" t="s">
        <v>1100</v>
      </c>
      <c r="G210" s="91">
        <v>2.0</v>
      </c>
      <c r="H210" s="92"/>
    </row>
    <row r="211">
      <c r="A211" s="97">
        <v>45896.0</v>
      </c>
      <c r="B211" s="89" t="s">
        <v>1101</v>
      </c>
      <c r="C211" s="89" t="s">
        <v>1102</v>
      </c>
      <c r="D211" s="89" t="s">
        <v>722</v>
      </c>
      <c r="E211" s="89">
        <v>2029.0</v>
      </c>
      <c r="F211" s="90" t="s">
        <v>1103</v>
      </c>
      <c r="G211" s="91">
        <v>2.0</v>
      </c>
      <c r="H211" s="92"/>
    </row>
    <row r="212">
      <c r="A212" s="97">
        <v>45896.0</v>
      </c>
      <c r="B212" s="89" t="s">
        <v>1104</v>
      </c>
      <c r="C212" s="89" t="s">
        <v>1105</v>
      </c>
      <c r="D212" s="89" t="s">
        <v>722</v>
      </c>
      <c r="E212" s="89">
        <v>2029.0</v>
      </c>
      <c r="F212" s="90" t="s">
        <v>1106</v>
      </c>
      <c r="G212" s="91">
        <v>2.0</v>
      </c>
      <c r="H212" s="92"/>
    </row>
    <row r="213">
      <c r="A213" s="97">
        <v>45896.0</v>
      </c>
      <c r="B213" s="89" t="s">
        <v>1107</v>
      </c>
      <c r="C213" s="89" t="s">
        <v>1108</v>
      </c>
      <c r="D213" s="89" t="s">
        <v>704</v>
      </c>
      <c r="E213" s="89">
        <v>2029.0</v>
      </c>
      <c r="F213" s="90" t="s">
        <v>1109</v>
      </c>
      <c r="G213" s="91">
        <v>12.0</v>
      </c>
      <c r="H213" s="92"/>
    </row>
    <row r="214">
      <c r="A214" s="97">
        <v>45896.0</v>
      </c>
      <c r="B214" s="89" t="s">
        <v>1110</v>
      </c>
      <c r="C214" s="89" t="s">
        <v>1111</v>
      </c>
      <c r="D214" s="89" t="s">
        <v>704</v>
      </c>
      <c r="E214" s="89">
        <v>2029.0</v>
      </c>
      <c r="F214" s="90" t="s">
        <v>1112</v>
      </c>
      <c r="G214" s="91">
        <v>8.0</v>
      </c>
      <c r="H214" s="92"/>
    </row>
    <row r="215">
      <c r="A215" s="97">
        <v>45896.0</v>
      </c>
      <c r="B215" s="89" t="s">
        <v>1113</v>
      </c>
      <c r="C215" s="89" t="s">
        <v>1114</v>
      </c>
      <c r="D215" s="89" t="s">
        <v>700</v>
      </c>
      <c r="E215" s="89">
        <v>2029.0</v>
      </c>
      <c r="F215" s="90" t="s">
        <v>1115</v>
      </c>
      <c r="G215" s="91">
        <v>13.0</v>
      </c>
      <c r="H215" s="92"/>
    </row>
    <row r="216">
      <c r="A216" s="97">
        <v>45896.0</v>
      </c>
      <c r="B216" s="89" t="s">
        <v>1116</v>
      </c>
      <c r="C216" s="89" t="s">
        <v>1117</v>
      </c>
      <c r="D216" s="89" t="s">
        <v>722</v>
      </c>
      <c r="E216" s="89">
        <v>2029.0</v>
      </c>
      <c r="F216" s="90" t="s">
        <v>1118</v>
      </c>
      <c r="G216" s="91">
        <v>29.0</v>
      </c>
      <c r="H216" s="92"/>
    </row>
    <row r="217">
      <c r="A217" s="97">
        <v>45896.0</v>
      </c>
      <c r="B217" s="89" t="s">
        <v>1119</v>
      </c>
      <c r="C217" s="89" t="s">
        <v>1120</v>
      </c>
      <c r="D217" s="89" t="s">
        <v>506</v>
      </c>
      <c r="E217" s="89">
        <v>2026.0</v>
      </c>
      <c r="F217" s="90" t="s">
        <v>1121</v>
      </c>
      <c r="G217" s="91">
        <v>11.0</v>
      </c>
      <c r="H217" s="92"/>
    </row>
    <row r="218">
      <c r="A218" s="97">
        <v>45896.0</v>
      </c>
      <c r="B218" s="89" t="s">
        <v>996</v>
      </c>
      <c r="C218" s="89" t="s">
        <v>1122</v>
      </c>
      <c r="D218" s="89" t="s">
        <v>700</v>
      </c>
      <c r="E218" s="89">
        <v>2028.0</v>
      </c>
      <c r="F218" s="90" t="s">
        <v>1123</v>
      </c>
      <c r="G218" s="91">
        <v>2.0</v>
      </c>
      <c r="H218" s="92"/>
    </row>
    <row r="219">
      <c r="A219" s="97">
        <v>45896.0</v>
      </c>
      <c r="B219" s="89" t="s">
        <v>840</v>
      </c>
      <c r="C219" s="100" t="s">
        <v>841</v>
      </c>
      <c r="D219" s="101" t="s">
        <v>700</v>
      </c>
      <c r="E219" s="89">
        <v>2029.0</v>
      </c>
      <c r="F219" s="90" t="s">
        <v>1124</v>
      </c>
      <c r="G219" s="91">
        <v>1.0</v>
      </c>
      <c r="H219" s="92"/>
    </row>
    <row r="220">
      <c r="A220" s="97">
        <v>45896.0</v>
      </c>
      <c r="B220" s="100" t="s">
        <v>1125</v>
      </c>
      <c r="C220" s="100" t="s">
        <v>967</v>
      </c>
      <c r="D220" s="101" t="s">
        <v>722</v>
      </c>
      <c r="E220" s="89">
        <v>2029.0</v>
      </c>
      <c r="F220" s="90" t="s">
        <v>1126</v>
      </c>
      <c r="G220" s="91">
        <v>11.0</v>
      </c>
      <c r="H220" s="92"/>
    </row>
    <row r="221">
      <c r="A221" s="97">
        <v>45896.0</v>
      </c>
      <c r="B221" s="100" t="s">
        <v>727</v>
      </c>
      <c r="C221" s="100" t="s">
        <v>728</v>
      </c>
      <c r="D221" s="101" t="s">
        <v>722</v>
      </c>
      <c r="E221" s="89">
        <v>2029.0</v>
      </c>
      <c r="F221" s="90" t="s">
        <v>1127</v>
      </c>
      <c r="G221" s="91">
        <v>3.0</v>
      </c>
      <c r="H221" s="92"/>
    </row>
    <row r="222">
      <c r="A222" s="97">
        <v>45896.0</v>
      </c>
      <c r="B222" s="89" t="s">
        <v>1128</v>
      </c>
      <c r="C222" s="89" t="s">
        <v>1129</v>
      </c>
      <c r="D222" s="89" t="s">
        <v>722</v>
      </c>
      <c r="E222" s="89">
        <v>2029.0</v>
      </c>
      <c r="F222" s="90" t="s">
        <v>1130</v>
      </c>
      <c r="G222" s="91">
        <v>4.0</v>
      </c>
      <c r="H222" s="92"/>
    </row>
    <row r="223">
      <c r="A223" s="97">
        <v>45896.0</v>
      </c>
      <c r="B223" s="89" t="s">
        <v>1131</v>
      </c>
      <c r="C223" s="89" t="s">
        <v>1132</v>
      </c>
      <c r="D223" s="89" t="s">
        <v>722</v>
      </c>
      <c r="E223" s="89">
        <v>2029.0</v>
      </c>
      <c r="F223" s="90" t="s">
        <v>1133</v>
      </c>
      <c r="G223" s="91">
        <v>4.0</v>
      </c>
      <c r="H223" s="92"/>
    </row>
    <row r="224">
      <c r="A224" s="97">
        <v>45896.0</v>
      </c>
      <c r="B224" s="89" t="s">
        <v>1017</v>
      </c>
      <c r="C224" s="101" t="s">
        <v>1018</v>
      </c>
      <c r="D224" s="101" t="s">
        <v>700</v>
      </c>
      <c r="E224" s="89">
        <v>2028.0</v>
      </c>
      <c r="F224" s="90" t="s">
        <v>1134</v>
      </c>
      <c r="G224" s="91">
        <v>4.0</v>
      </c>
      <c r="H224" s="92"/>
    </row>
    <row r="225">
      <c r="A225" s="97">
        <v>45896.0</v>
      </c>
      <c r="B225" s="89" t="s">
        <v>807</v>
      </c>
      <c r="C225" s="100" t="s">
        <v>808</v>
      </c>
      <c r="D225" s="101" t="s">
        <v>700</v>
      </c>
      <c r="E225" s="89">
        <v>2029.0</v>
      </c>
      <c r="F225" s="90" t="s">
        <v>1135</v>
      </c>
      <c r="G225" s="91">
        <v>4.0</v>
      </c>
      <c r="H225" s="92"/>
    </row>
    <row r="226">
      <c r="A226" s="97">
        <v>45896.0</v>
      </c>
      <c r="B226" s="100" t="s">
        <v>730</v>
      </c>
      <c r="C226" s="100" t="s">
        <v>731</v>
      </c>
      <c r="D226" s="101" t="s">
        <v>722</v>
      </c>
      <c r="E226" s="89">
        <v>2029.0</v>
      </c>
      <c r="F226" s="90" t="s">
        <v>1136</v>
      </c>
      <c r="G226" s="91">
        <v>41.0</v>
      </c>
      <c r="H226" s="92"/>
    </row>
    <row r="227">
      <c r="A227" s="97">
        <v>45896.0</v>
      </c>
      <c r="B227" s="113" t="s">
        <v>1137</v>
      </c>
      <c r="C227" s="113" t="s">
        <v>1138</v>
      </c>
      <c r="D227" s="89" t="s">
        <v>704</v>
      </c>
      <c r="E227" s="89">
        <v>2029.0</v>
      </c>
      <c r="F227" s="90" t="s">
        <v>1139</v>
      </c>
      <c r="G227" s="91">
        <v>8.0</v>
      </c>
      <c r="H227" s="92"/>
    </row>
    <row r="228">
      <c r="A228" s="97">
        <v>45896.0</v>
      </c>
      <c r="B228" s="89" t="s">
        <v>1140</v>
      </c>
      <c r="C228" s="89" t="s">
        <v>1141</v>
      </c>
      <c r="D228" s="89" t="s">
        <v>704</v>
      </c>
      <c r="E228" s="89">
        <v>2029.0</v>
      </c>
      <c r="F228" s="90" t="s">
        <v>1142</v>
      </c>
      <c r="G228" s="91">
        <v>2.0</v>
      </c>
      <c r="H228" s="92"/>
    </row>
    <row r="229">
      <c r="A229" s="97">
        <v>45896.0</v>
      </c>
      <c r="B229" s="89" t="s">
        <v>1143</v>
      </c>
      <c r="C229" s="89" t="s">
        <v>1144</v>
      </c>
      <c r="D229" s="89" t="s">
        <v>722</v>
      </c>
      <c r="E229" s="89">
        <v>2029.0</v>
      </c>
      <c r="F229" s="90" t="s">
        <v>1145</v>
      </c>
      <c r="G229" s="91">
        <v>1.0</v>
      </c>
      <c r="H229" s="92"/>
    </row>
    <row r="230">
      <c r="A230" s="97">
        <v>45896.0</v>
      </c>
      <c r="B230" s="89" t="s">
        <v>1146</v>
      </c>
      <c r="C230" s="89" t="s">
        <v>1147</v>
      </c>
      <c r="D230" s="89" t="s">
        <v>704</v>
      </c>
      <c r="E230" s="89">
        <v>2029.0</v>
      </c>
      <c r="F230" s="90" t="s">
        <v>1148</v>
      </c>
      <c r="G230" s="91">
        <v>4.0</v>
      </c>
      <c r="H230" s="92"/>
    </row>
    <row r="231">
      <c r="A231" s="97">
        <v>45896.0</v>
      </c>
      <c r="B231" s="89" t="s">
        <v>1149</v>
      </c>
      <c r="C231" s="89" t="s">
        <v>1150</v>
      </c>
      <c r="D231" s="89" t="s">
        <v>722</v>
      </c>
      <c r="E231" s="89">
        <v>2029.0</v>
      </c>
      <c r="F231" s="90" t="s">
        <v>1151</v>
      </c>
      <c r="G231" s="91">
        <v>12.0</v>
      </c>
      <c r="H231" s="92"/>
    </row>
    <row r="232">
      <c r="A232" s="97">
        <v>45896.0</v>
      </c>
      <c r="B232" s="89" t="s">
        <v>1152</v>
      </c>
      <c r="C232" s="89" t="s">
        <v>1153</v>
      </c>
      <c r="D232" s="89" t="s">
        <v>722</v>
      </c>
      <c r="E232" s="89">
        <v>2029.0</v>
      </c>
      <c r="F232" s="90" t="s">
        <v>1154</v>
      </c>
      <c r="G232" s="91">
        <v>1.0</v>
      </c>
      <c r="H232" s="92"/>
    </row>
    <row r="233">
      <c r="A233" s="97">
        <v>45896.0</v>
      </c>
      <c r="B233" s="89" t="s">
        <v>1155</v>
      </c>
      <c r="C233" s="89" t="s">
        <v>1156</v>
      </c>
      <c r="D233" s="89" t="s">
        <v>722</v>
      </c>
      <c r="E233" s="89">
        <v>2029.0</v>
      </c>
      <c r="F233" s="90" t="s">
        <v>1157</v>
      </c>
      <c r="G233" s="91">
        <v>1.0</v>
      </c>
      <c r="H233" s="92"/>
    </row>
    <row r="234">
      <c r="A234" s="97">
        <v>45896.0</v>
      </c>
      <c r="B234" s="89" t="s">
        <v>1158</v>
      </c>
      <c r="C234" s="89" t="s">
        <v>1159</v>
      </c>
      <c r="D234" s="89" t="s">
        <v>722</v>
      </c>
      <c r="E234" s="89">
        <v>2029.0</v>
      </c>
      <c r="F234" s="90" t="s">
        <v>1160</v>
      </c>
      <c r="G234" s="91">
        <v>31.0</v>
      </c>
      <c r="H234" s="92"/>
    </row>
    <row r="235">
      <c r="A235" s="97">
        <v>45896.0</v>
      </c>
      <c r="B235" s="89" t="s">
        <v>1161</v>
      </c>
      <c r="C235" s="89" t="s">
        <v>1162</v>
      </c>
      <c r="D235" s="89" t="s">
        <v>722</v>
      </c>
      <c r="E235" s="89">
        <v>2029.0</v>
      </c>
      <c r="F235" s="90" t="s">
        <v>1163</v>
      </c>
      <c r="G235" s="91">
        <v>6.0</v>
      </c>
      <c r="H235" s="92"/>
    </row>
    <row r="236">
      <c r="A236" s="97">
        <v>45896.0</v>
      </c>
      <c r="B236" s="89" t="s">
        <v>581</v>
      </c>
      <c r="C236" s="89" t="s">
        <v>1164</v>
      </c>
      <c r="D236" s="89" t="s">
        <v>1165</v>
      </c>
      <c r="E236" s="89">
        <v>2027.0</v>
      </c>
      <c r="F236" s="90" t="s">
        <v>1166</v>
      </c>
      <c r="G236" s="91">
        <v>20.0</v>
      </c>
      <c r="H236" s="92"/>
    </row>
    <row r="237">
      <c r="A237" s="97">
        <v>45896.0</v>
      </c>
      <c r="B237" s="89" t="s">
        <v>1020</v>
      </c>
      <c r="C237" s="101" t="s">
        <v>1021</v>
      </c>
      <c r="D237" s="101" t="s">
        <v>722</v>
      </c>
      <c r="E237" s="89">
        <v>2029.0</v>
      </c>
      <c r="F237" s="90" t="s">
        <v>1167</v>
      </c>
      <c r="G237" s="91">
        <v>5.0</v>
      </c>
      <c r="H237" s="92"/>
    </row>
    <row r="238">
      <c r="A238" s="97">
        <v>45896.0</v>
      </c>
      <c r="B238" s="89" t="s">
        <v>1002</v>
      </c>
      <c r="C238" s="101" t="s">
        <v>1003</v>
      </c>
      <c r="D238" s="101" t="s">
        <v>704</v>
      </c>
      <c r="E238" s="89">
        <v>2029.0</v>
      </c>
      <c r="F238" s="90" t="s">
        <v>1168</v>
      </c>
      <c r="G238" s="91">
        <v>6.0</v>
      </c>
      <c r="H238" s="92"/>
    </row>
    <row r="239">
      <c r="A239" s="97">
        <v>45896.0</v>
      </c>
      <c r="B239" s="89" t="s">
        <v>1169</v>
      </c>
      <c r="C239" s="89" t="s">
        <v>1170</v>
      </c>
      <c r="D239" s="89" t="s">
        <v>722</v>
      </c>
      <c r="E239" s="89">
        <v>2029.0</v>
      </c>
      <c r="F239" s="90" t="s">
        <v>1171</v>
      </c>
      <c r="G239" s="91">
        <v>15.0</v>
      </c>
      <c r="H239" s="92"/>
    </row>
    <row r="240">
      <c r="A240" s="97">
        <v>45896.0</v>
      </c>
      <c r="B240" s="89" t="s">
        <v>1172</v>
      </c>
      <c r="C240" s="89" t="s">
        <v>1173</v>
      </c>
      <c r="D240" s="89" t="s">
        <v>722</v>
      </c>
      <c r="E240" s="89">
        <v>2029.0</v>
      </c>
      <c r="F240" s="90" t="s">
        <v>1174</v>
      </c>
      <c r="G240" s="91">
        <v>43.0</v>
      </c>
      <c r="H240" s="92"/>
    </row>
    <row r="241">
      <c r="A241" s="97">
        <v>45896.0</v>
      </c>
      <c r="B241" s="89" t="s">
        <v>1175</v>
      </c>
      <c r="C241" s="89" t="s">
        <v>1176</v>
      </c>
      <c r="D241" s="89" t="s">
        <v>722</v>
      </c>
      <c r="E241" s="89">
        <v>2029.0</v>
      </c>
      <c r="F241" s="90" t="s">
        <v>1177</v>
      </c>
      <c r="G241" s="91">
        <v>1.0</v>
      </c>
      <c r="H241" s="92"/>
    </row>
    <row r="242">
      <c r="A242" s="97">
        <v>45896.0</v>
      </c>
      <c r="B242" s="89" t="s">
        <v>1178</v>
      </c>
      <c r="C242" s="89" t="s">
        <v>1179</v>
      </c>
      <c r="D242" s="89" t="s">
        <v>784</v>
      </c>
      <c r="E242" s="89">
        <v>2027.0</v>
      </c>
      <c r="F242" s="90" t="s">
        <v>1180</v>
      </c>
      <c r="G242" s="91">
        <v>2.0</v>
      </c>
      <c r="H242" s="92"/>
    </row>
    <row r="243">
      <c r="A243" s="97">
        <v>45896.0</v>
      </c>
      <c r="B243" s="89" t="s">
        <v>1181</v>
      </c>
      <c r="C243" s="89" t="s">
        <v>1182</v>
      </c>
      <c r="D243" s="89" t="s">
        <v>704</v>
      </c>
      <c r="E243" s="89">
        <v>2029.0</v>
      </c>
      <c r="F243" s="90" t="s">
        <v>1183</v>
      </c>
      <c r="G243" s="91">
        <v>15.0</v>
      </c>
      <c r="H243" s="92"/>
    </row>
    <row r="244">
      <c r="A244" s="97">
        <v>45896.0</v>
      </c>
      <c r="B244" s="89" t="s">
        <v>1184</v>
      </c>
      <c r="C244" s="89" t="s">
        <v>1185</v>
      </c>
      <c r="D244" s="89" t="s">
        <v>722</v>
      </c>
      <c r="E244" s="89">
        <v>2029.0</v>
      </c>
      <c r="F244" s="90" t="s">
        <v>1186</v>
      </c>
      <c r="G244" s="91">
        <v>1.0</v>
      </c>
      <c r="H244" s="92"/>
    </row>
    <row r="245">
      <c r="A245" s="97">
        <v>45896.0</v>
      </c>
      <c r="B245" s="89" t="s">
        <v>1187</v>
      </c>
      <c r="C245" s="89" t="s">
        <v>1188</v>
      </c>
      <c r="D245" s="89" t="s">
        <v>722</v>
      </c>
      <c r="E245" s="89">
        <v>2029.0</v>
      </c>
      <c r="F245" s="90" t="s">
        <v>1189</v>
      </c>
      <c r="G245" s="91">
        <v>2.0</v>
      </c>
      <c r="H245" s="92"/>
    </row>
    <row r="246">
      <c r="A246" s="97">
        <v>45896.0</v>
      </c>
      <c r="B246" s="89" t="s">
        <v>1190</v>
      </c>
      <c r="C246" s="89" t="s">
        <v>1191</v>
      </c>
      <c r="D246" s="89" t="s">
        <v>711</v>
      </c>
      <c r="E246" s="89">
        <v>2026.0</v>
      </c>
      <c r="F246" s="90" t="s">
        <v>1192</v>
      </c>
      <c r="G246" s="91">
        <v>3.0</v>
      </c>
      <c r="H246" s="92"/>
    </row>
    <row r="247">
      <c r="A247" s="97">
        <v>45896.0</v>
      </c>
      <c r="B247" s="89" t="s">
        <v>1193</v>
      </c>
      <c r="C247" s="89" t="s">
        <v>1194</v>
      </c>
      <c r="D247" s="89" t="s">
        <v>704</v>
      </c>
      <c r="E247" s="89">
        <v>2029.0</v>
      </c>
      <c r="F247" s="90" t="s">
        <v>1195</v>
      </c>
      <c r="G247" s="91">
        <v>2.0</v>
      </c>
      <c r="H247" s="92"/>
    </row>
    <row r="248">
      <c r="A248" s="97">
        <v>45896.0</v>
      </c>
      <c r="B248" s="89" t="s">
        <v>1196</v>
      </c>
      <c r="C248" s="89" t="s">
        <v>1197</v>
      </c>
      <c r="D248" s="89" t="s">
        <v>722</v>
      </c>
      <c r="E248" s="89">
        <v>2029.0</v>
      </c>
      <c r="F248" s="90" t="s">
        <v>1198</v>
      </c>
      <c r="G248" s="91">
        <v>3.0</v>
      </c>
      <c r="H248" s="92"/>
    </row>
    <row r="249">
      <c r="A249" s="97">
        <v>45896.0</v>
      </c>
      <c r="B249" s="89" t="s">
        <v>1199</v>
      </c>
      <c r="C249" s="89" t="s">
        <v>1200</v>
      </c>
      <c r="D249" s="89" t="s">
        <v>784</v>
      </c>
      <c r="E249" s="89">
        <v>2027.0</v>
      </c>
      <c r="F249" s="90" t="s">
        <v>1201</v>
      </c>
      <c r="G249" s="91">
        <v>1.0</v>
      </c>
      <c r="H249" s="92"/>
    </row>
    <row r="250">
      <c r="A250" s="97">
        <v>45896.0</v>
      </c>
      <c r="B250" s="89" t="s">
        <v>1202</v>
      </c>
      <c r="C250" s="89" t="s">
        <v>1203</v>
      </c>
      <c r="D250" s="89" t="s">
        <v>506</v>
      </c>
      <c r="E250" s="89">
        <v>2026.0</v>
      </c>
      <c r="F250" s="90" t="s">
        <v>1204</v>
      </c>
      <c r="G250" s="91">
        <v>2.0</v>
      </c>
      <c r="H250" s="92"/>
    </row>
    <row r="251">
      <c r="A251" s="97">
        <v>45896.0</v>
      </c>
      <c r="B251" s="89" t="s">
        <v>1205</v>
      </c>
      <c r="C251" s="89" t="s">
        <v>1206</v>
      </c>
      <c r="D251" s="89" t="s">
        <v>711</v>
      </c>
      <c r="E251" s="89">
        <v>2027.0</v>
      </c>
      <c r="F251" s="90" t="s">
        <v>1207</v>
      </c>
      <c r="G251" s="91">
        <v>3.0</v>
      </c>
      <c r="H251" s="92"/>
    </row>
    <row r="252">
      <c r="A252" s="97">
        <v>45896.0</v>
      </c>
      <c r="B252" s="89" t="s">
        <v>1208</v>
      </c>
      <c r="C252" s="89" t="s">
        <v>1209</v>
      </c>
      <c r="D252" s="89" t="s">
        <v>722</v>
      </c>
      <c r="E252" s="89">
        <v>2029.0</v>
      </c>
      <c r="F252" s="90" t="s">
        <v>1210</v>
      </c>
      <c r="G252" s="91">
        <v>4.0</v>
      </c>
      <c r="H252" s="92"/>
    </row>
    <row r="253">
      <c r="A253" s="97">
        <v>45896.0</v>
      </c>
      <c r="B253" s="89" t="s">
        <v>1211</v>
      </c>
      <c r="C253" s="89" t="s">
        <v>1212</v>
      </c>
      <c r="D253" s="89" t="s">
        <v>722</v>
      </c>
      <c r="E253" s="89">
        <v>2029.0</v>
      </c>
      <c r="F253" s="90" t="s">
        <v>1213</v>
      </c>
      <c r="G253" s="91">
        <v>24.0</v>
      </c>
      <c r="H253" s="92"/>
    </row>
    <row r="254">
      <c r="A254" s="97">
        <v>45896.0</v>
      </c>
      <c r="B254" s="89" t="s">
        <v>1214</v>
      </c>
      <c r="C254" s="89" t="s">
        <v>1215</v>
      </c>
      <c r="D254" s="89" t="s">
        <v>700</v>
      </c>
      <c r="E254" s="89">
        <v>2029.0</v>
      </c>
      <c r="F254" s="90" t="s">
        <v>1216</v>
      </c>
      <c r="G254" s="91">
        <v>5.0</v>
      </c>
      <c r="H254" s="92"/>
    </row>
    <row r="255">
      <c r="A255" s="97">
        <v>45896.0</v>
      </c>
      <c r="B255" s="89" t="s">
        <v>1217</v>
      </c>
      <c r="C255" s="89" t="s">
        <v>1218</v>
      </c>
      <c r="D255" s="89" t="s">
        <v>711</v>
      </c>
      <c r="E255" s="89">
        <v>2029.0</v>
      </c>
      <c r="F255" s="90" t="s">
        <v>1219</v>
      </c>
      <c r="G255" s="91">
        <v>7.0</v>
      </c>
      <c r="H255" s="92"/>
    </row>
    <row r="256">
      <c r="A256" s="97">
        <v>45896.0</v>
      </c>
      <c r="B256" s="89" t="s">
        <v>1220</v>
      </c>
      <c r="C256" s="89" t="s">
        <v>1221</v>
      </c>
      <c r="D256" s="89" t="s">
        <v>700</v>
      </c>
      <c r="E256" s="89">
        <v>2029.0</v>
      </c>
      <c r="F256" s="90" t="s">
        <v>1222</v>
      </c>
      <c r="G256" s="91">
        <v>12.0</v>
      </c>
      <c r="H256" s="92"/>
    </row>
    <row r="257">
      <c r="A257" s="97">
        <v>45896.0</v>
      </c>
      <c r="B257" s="89" t="s">
        <v>1223</v>
      </c>
      <c r="C257" s="89" t="s">
        <v>1224</v>
      </c>
      <c r="D257" s="89" t="s">
        <v>784</v>
      </c>
      <c r="E257" s="89">
        <v>2026.0</v>
      </c>
      <c r="F257" s="90" t="s">
        <v>1225</v>
      </c>
      <c r="G257" s="91">
        <v>2.0</v>
      </c>
      <c r="H257" s="92"/>
    </row>
    <row r="258">
      <c r="A258" s="97">
        <v>45896.0</v>
      </c>
      <c r="B258" s="89" t="s">
        <v>1226</v>
      </c>
      <c r="C258" s="89" t="s">
        <v>1227</v>
      </c>
      <c r="D258" s="89" t="s">
        <v>722</v>
      </c>
      <c r="E258" s="89">
        <v>2029.0</v>
      </c>
      <c r="F258" s="90" t="s">
        <v>1228</v>
      </c>
      <c r="G258" s="91">
        <v>5.0</v>
      </c>
      <c r="H258" s="92"/>
    </row>
    <row r="259">
      <c r="A259" s="97">
        <v>45896.0</v>
      </c>
      <c r="B259" s="89" t="s">
        <v>1229</v>
      </c>
      <c r="C259" s="89" t="s">
        <v>1230</v>
      </c>
      <c r="D259" s="89" t="s">
        <v>722</v>
      </c>
      <c r="E259" s="89">
        <v>2029.0</v>
      </c>
      <c r="F259" s="90" t="s">
        <v>1231</v>
      </c>
      <c r="G259" s="91">
        <v>1.0</v>
      </c>
      <c r="H259" s="92"/>
    </row>
    <row r="260">
      <c r="A260" s="97">
        <v>45896.0</v>
      </c>
      <c r="B260" s="89" t="s">
        <v>1232</v>
      </c>
      <c r="C260" s="89" t="s">
        <v>1233</v>
      </c>
      <c r="D260" s="89" t="s">
        <v>704</v>
      </c>
      <c r="E260" s="89">
        <v>2029.0</v>
      </c>
      <c r="F260" s="90" t="s">
        <v>1234</v>
      </c>
      <c r="G260" s="91">
        <v>21.0</v>
      </c>
      <c r="H260" s="92"/>
    </row>
    <row r="261">
      <c r="A261" s="97">
        <v>45896.0</v>
      </c>
      <c r="B261" s="89" t="s">
        <v>1235</v>
      </c>
      <c r="C261" s="89" t="s">
        <v>1236</v>
      </c>
      <c r="D261" s="89" t="s">
        <v>722</v>
      </c>
      <c r="E261" s="89">
        <v>2029.0</v>
      </c>
      <c r="F261" s="90" t="s">
        <v>1237</v>
      </c>
      <c r="G261" s="91">
        <v>1.0</v>
      </c>
      <c r="H261" s="92"/>
    </row>
    <row r="262">
      <c r="A262" s="97">
        <v>45896.0</v>
      </c>
      <c r="B262" s="89" t="s">
        <v>1238</v>
      </c>
      <c r="C262" s="89" t="s">
        <v>1239</v>
      </c>
      <c r="D262" s="89" t="s">
        <v>695</v>
      </c>
      <c r="E262" s="89" t="s">
        <v>696</v>
      </c>
      <c r="F262" s="96" t="s">
        <v>1240</v>
      </c>
      <c r="G262" s="91">
        <v>15.0</v>
      </c>
      <c r="H262" s="92"/>
    </row>
    <row r="263">
      <c r="A263" s="97">
        <v>45896.0</v>
      </c>
      <c r="B263" s="89" t="s">
        <v>1241</v>
      </c>
      <c r="C263" s="89" t="s">
        <v>1242</v>
      </c>
      <c r="D263" s="89" t="s">
        <v>695</v>
      </c>
      <c r="E263" s="89" t="s">
        <v>696</v>
      </c>
      <c r="F263" s="90" t="s">
        <v>1243</v>
      </c>
      <c r="G263" s="91">
        <v>1.0</v>
      </c>
      <c r="H263" s="92"/>
    </row>
    <row r="264">
      <c r="A264" s="97">
        <v>45896.0</v>
      </c>
      <c r="B264" s="114" t="s">
        <v>1244</v>
      </c>
      <c r="C264" s="114" t="s">
        <v>1245</v>
      </c>
      <c r="D264" s="89" t="s">
        <v>715</v>
      </c>
      <c r="E264" s="89">
        <v>2029.0</v>
      </c>
      <c r="F264" s="90" t="s">
        <v>1246</v>
      </c>
      <c r="G264" s="91">
        <v>1.0</v>
      </c>
      <c r="H264" s="92"/>
    </row>
    <row r="265">
      <c r="A265" s="97">
        <v>45896.0</v>
      </c>
      <c r="B265" s="89" t="s">
        <v>1247</v>
      </c>
      <c r="C265" s="89" t="s">
        <v>1248</v>
      </c>
      <c r="D265" s="89" t="s">
        <v>722</v>
      </c>
      <c r="E265" s="89">
        <v>2029.0</v>
      </c>
      <c r="F265" s="90" t="s">
        <v>1249</v>
      </c>
      <c r="G265" s="91">
        <v>1.0</v>
      </c>
      <c r="H265" s="92"/>
    </row>
    <row r="266">
      <c r="A266" s="97">
        <v>45896.0</v>
      </c>
      <c r="B266" s="89" t="s">
        <v>1250</v>
      </c>
      <c r="C266" s="89" t="s">
        <v>1251</v>
      </c>
      <c r="D266" s="89" t="s">
        <v>711</v>
      </c>
      <c r="E266" s="89">
        <v>2029.0</v>
      </c>
      <c r="F266" s="90" t="s">
        <v>1252</v>
      </c>
      <c r="G266" s="91">
        <v>3.0</v>
      </c>
      <c r="H266" s="92"/>
    </row>
    <row r="267">
      <c r="A267" s="97">
        <v>45896.0</v>
      </c>
      <c r="B267" s="89" t="s">
        <v>1253</v>
      </c>
      <c r="C267" s="89" t="s">
        <v>1254</v>
      </c>
      <c r="D267" s="89" t="s">
        <v>704</v>
      </c>
      <c r="E267" s="89">
        <v>2029.0</v>
      </c>
      <c r="F267" s="90" t="s">
        <v>1255</v>
      </c>
      <c r="G267" s="91">
        <v>5.0</v>
      </c>
      <c r="H267" s="92"/>
    </row>
    <row r="268">
      <c r="A268" s="97">
        <v>45896.0</v>
      </c>
      <c r="B268" s="89" t="s">
        <v>1256</v>
      </c>
      <c r="C268" s="89" t="s">
        <v>1257</v>
      </c>
      <c r="D268" s="89" t="s">
        <v>700</v>
      </c>
      <c r="E268" s="89">
        <v>2028.0</v>
      </c>
      <c r="F268" s="90" t="s">
        <v>1258</v>
      </c>
      <c r="G268" s="91">
        <v>7.0</v>
      </c>
      <c r="H268" s="92"/>
    </row>
    <row r="269">
      <c r="A269" s="97">
        <v>45896.0</v>
      </c>
      <c r="B269" s="89" t="s">
        <v>1259</v>
      </c>
      <c r="C269" s="89" t="s">
        <v>1260</v>
      </c>
      <c r="D269" s="89" t="s">
        <v>506</v>
      </c>
      <c r="E269" s="89">
        <v>2028.0</v>
      </c>
      <c r="F269" s="90" t="s">
        <v>1261</v>
      </c>
      <c r="G269" s="91">
        <v>25.0</v>
      </c>
      <c r="H269" s="92"/>
    </row>
    <row r="270">
      <c r="A270" s="97">
        <v>45896.0</v>
      </c>
      <c r="B270" s="89" t="s">
        <v>1262</v>
      </c>
      <c r="C270" s="89" t="s">
        <v>1263</v>
      </c>
      <c r="D270" s="89" t="s">
        <v>711</v>
      </c>
      <c r="E270" s="89">
        <v>2029.0</v>
      </c>
      <c r="F270" s="90" t="s">
        <v>1264</v>
      </c>
      <c r="G270" s="91">
        <v>1.0</v>
      </c>
      <c r="H270" s="92"/>
    </row>
    <row r="271">
      <c r="A271" s="97">
        <v>45896.0</v>
      </c>
      <c r="B271" s="89" t="s">
        <v>769</v>
      </c>
      <c r="C271" s="101" t="s">
        <v>770</v>
      </c>
      <c r="D271" s="101" t="s">
        <v>711</v>
      </c>
      <c r="E271" s="89">
        <v>2029.0</v>
      </c>
      <c r="F271" s="90" t="s">
        <v>135</v>
      </c>
      <c r="G271" s="91">
        <v>1.0</v>
      </c>
      <c r="H271" s="92"/>
    </row>
    <row r="272">
      <c r="A272" s="97">
        <v>45896.0</v>
      </c>
      <c r="B272" s="89" t="s">
        <v>1265</v>
      </c>
      <c r="C272" s="89" t="s">
        <v>1266</v>
      </c>
      <c r="D272" s="89" t="s">
        <v>711</v>
      </c>
      <c r="E272" s="89">
        <v>2029.0</v>
      </c>
      <c r="F272" s="90" t="s">
        <v>1267</v>
      </c>
      <c r="G272" s="91">
        <v>5.0</v>
      </c>
      <c r="H272" s="92"/>
    </row>
    <row r="273">
      <c r="A273" s="97">
        <v>45896.0</v>
      </c>
      <c r="B273" s="89" t="s">
        <v>779</v>
      </c>
      <c r="C273" s="101" t="s">
        <v>780</v>
      </c>
      <c r="D273" s="101" t="s">
        <v>711</v>
      </c>
      <c r="E273" s="89">
        <v>2027.0</v>
      </c>
      <c r="F273" s="90" t="s">
        <v>1268</v>
      </c>
      <c r="G273" s="91">
        <v>5.0</v>
      </c>
      <c r="H273" s="92"/>
    </row>
    <row r="274">
      <c r="A274" s="97">
        <v>45896.0</v>
      </c>
      <c r="B274" s="89" t="s">
        <v>775</v>
      </c>
      <c r="C274" s="101" t="s">
        <v>776</v>
      </c>
      <c r="D274" s="101" t="s">
        <v>777</v>
      </c>
      <c r="E274" s="89">
        <v>2027.0</v>
      </c>
      <c r="F274" s="90" t="s">
        <v>1269</v>
      </c>
      <c r="G274" s="91">
        <v>25.0</v>
      </c>
      <c r="H274" s="92"/>
    </row>
    <row r="275">
      <c r="A275" s="97">
        <v>45896.0</v>
      </c>
      <c r="B275" s="89" t="s">
        <v>1270</v>
      </c>
      <c r="C275" s="89" t="s">
        <v>1271</v>
      </c>
      <c r="D275" s="89" t="s">
        <v>715</v>
      </c>
      <c r="E275" s="89">
        <v>2026.0</v>
      </c>
      <c r="F275" s="90" t="s">
        <v>1272</v>
      </c>
      <c r="G275" s="91">
        <v>19.0</v>
      </c>
      <c r="H275" s="92"/>
    </row>
    <row r="276">
      <c r="A276" s="97">
        <v>45896.0</v>
      </c>
      <c r="B276" s="89" t="s">
        <v>1273</v>
      </c>
      <c r="C276" s="89" t="s">
        <v>1274</v>
      </c>
      <c r="D276" s="89" t="s">
        <v>700</v>
      </c>
      <c r="E276" s="89">
        <v>2029.0</v>
      </c>
      <c r="F276" s="90" t="s">
        <v>1275</v>
      </c>
      <c r="G276" s="91">
        <v>3.0</v>
      </c>
      <c r="H276" s="92"/>
    </row>
    <row r="277">
      <c r="A277" s="97">
        <v>45896.0</v>
      </c>
      <c r="B277" s="89" t="s">
        <v>1276</v>
      </c>
      <c r="C277" s="89" t="s">
        <v>1277</v>
      </c>
      <c r="D277" s="89" t="s">
        <v>704</v>
      </c>
      <c r="E277" s="89">
        <v>2029.0</v>
      </c>
      <c r="F277" s="90" t="s">
        <v>1278</v>
      </c>
      <c r="G277" s="91">
        <v>1.0</v>
      </c>
      <c r="H277" s="92"/>
    </row>
    <row r="278">
      <c r="A278" s="97">
        <v>45896.0</v>
      </c>
      <c r="B278" s="89" t="s">
        <v>1279</v>
      </c>
      <c r="C278" s="89" t="s">
        <v>1280</v>
      </c>
      <c r="D278" s="89" t="s">
        <v>704</v>
      </c>
      <c r="E278" s="89">
        <v>2029.0</v>
      </c>
      <c r="F278" s="90" t="s">
        <v>1281</v>
      </c>
      <c r="G278" s="91">
        <v>6.0</v>
      </c>
      <c r="H278" s="92"/>
    </row>
    <row r="279">
      <c r="A279" s="97">
        <v>45896.0</v>
      </c>
      <c r="B279" s="89" t="s">
        <v>1282</v>
      </c>
      <c r="C279" s="89" t="s">
        <v>1283</v>
      </c>
      <c r="D279" s="89" t="s">
        <v>704</v>
      </c>
      <c r="E279" s="89">
        <v>2029.0</v>
      </c>
      <c r="F279" s="90" t="s">
        <v>1284</v>
      </c>
      <c r="G279" s="91">
        <v>6.0</v>
      </c>
      <c r="H279" s="92"/>
    </row>
    <row r="280">
      <c r="A280" s="97">
        <v>45896.0</v>
      </c>
      <c r="B280" s="89" t="s">
        <v>908</v>
      </c>
      <c r="C280" s="101" t="s">
        <v>909</v>
      </c>
      <c r="D280" s="101" t="s">
        <v>700</v>
      </c>
      <c r="E280" s="89">
        <v>2028.0</v>
      </c>
      <c r="F280" s="90" t="s">
        <v>1285</v>
      </c>
      <c r="G280" s="91">
        <v>4.0</v>
      </c>
      <c r="H280" s="92"/>
    </row>
    <row r="281">
      <c r="A281" s="97">
        <v>45896.0</v>
      </c>
      <c r="B281" s="89" t="s">
        <v>1286</v>
      </c>
      <c r="C281" s="89" t="s">
        <v>1287</v>
      </c>
      <c r="D281" s="89" t="s">
        <v>700</v>
      </c>
      <c r="E281" s="89">
        <v>2028.0</v>
      </c>
      <c r="F281" s="90" t="s">
        <v>1288</v>
      </c>
      <c r="G281" s="91">
        <v>11.0</v>
      </c>
      <c r="H281" s="92"/>
    </row>
    <row r="282">
      <c r="A282" s="97">
        <v>45896.0</v>
      </c>
      <c r="B282" s="89" t="s">
        <v>650</v>
      </c>
      <c r="C282" s="89" t="s">
        <v>651</v>
      </c>
      <c r="D282" s="89" t="s">
        <v>506</v>
      </c>
      <c r="E282" s="89">
        <v>2027.0</v>
      </c>
      <c r="F282" s="90" t="s">
        <v>1289</v>
      </c>
      <c r="G282" s="91">
        <v>6.0</v>
      </c>
      <c r="H282" s="92"/>
    </row>
    <row r="283">
      <c r="A283" s="97">
        <v>45896.0</v>
      </c>
      <c r="B283" s="89" t="s">
        <v>938</v>
      </c>
      <c r="C283" s="89" t="s">
        <v>939</v>
      </c>
      <c r="D283" s="89" t="s">
        <v>506</v>
      </c>
      <c r="E283" s="89">
        <v>2026.0</v>
      </c>
      <c r="F283" s="90" t="s">
        <v>1290</v>
      </c>
      <c r="G283" s="91">
        <v>6.0</v>
      </c>
      <c r="H283" s="92"/>
    </row>
    <row r="284">
      <c r="A284" s="97">
        <v>45896.0</v>
      </c>
      <c r="B284" s="89" t="s">
        <v>960</v>
      </c>
      <c r="C284" s="89" t="s">
        <v>961</v>
      </c>
      <c r="D284" s="89" t="s">
        <v>506</v>
      </c>
      <c r="E284" s="89">
        <v>2026.0</v>
      </c>
      <c r="F284" s="90" t="s">
        <v>1291</v>
      </c>
      <c r="G284" s="91">
        <v>6.0</v>
      </c>
      <c r="H284" s="92"/>
    </row>
    <row r="285">
      <c r="A285" s="97">
        <v>45896.0</v>
      </c>
      <c r="B285" s="89" t="s">
        <v>1292</v>
      </c>
      <c r="C285" s="89" t="s">
        <v>867</v>
      </c>
      <c r="D285" s="89" t="s">
        <v>700</v>
      </c>
      <c r="E285" s="89">
        <v>2029.0</v>
      </c>
      <c r="F285" s="90" t="s">
        <v>1293</v>
      </c>
      <c r="G285" s="91">
        <v>8.0</v>
      </c>
      <c r="H285" s="92"/>
    </row>
    <row r="286">
      <c r="A286" s="97">
        <v>45896.0</v>
      </c>
      <c r="B286" s="89" t="s">
        <v>1294</v>
      </c>
      <c r="C286" s="89" t="s">
        <v>1295</v>
      </c>
      <c r="D286" s="89" t="s">
        <v>784</v>
      </c>
      <c r="E286" s="89">
        <v>2027.0</v>
      </c>
      <c r="F286" s="90" t="s">
        <v>1296</v>
      </c>
      <c r="G286" s="91">
        <v>1.0</v>
      </c>
      <c r="H286" s="92"/>
    </row>
    <row r="287">
      <c r="A287" s="97">
        <v>45896.0</v>
      </c>
      <c r="B287" s="89" t="s">
        <v>1297</v>
      </c>
      <c r="C287" s="89" t="s">
        <v>860</v>
      </c>
      <c r="D287" s="89" t="s">
        <v>506</v>
      </c>
      <c r="E287" s="89">
        <v>2026.0</v>
      </c>
      <c r="F287" s="90" t="s">
        <v>1298</v>
      </c>
      <c r="G287" s="91">
        <v>14.0</v>
      </c>
      <c r="H287" s="92"/>
    </row>
    <row r="288">
      <c r="A288" s="97">
        <v>45896.0</v>
      </c>
      <c r="B288" s="89" t="s">
        <v>1205</v>
      </c>
      <c r="C288" s="89" t="s">
        <v>1206</v>
      </c>
      <c r="D288" s="89" t="s">
        <v>711</v>
      </c>
      <c r="E288" s="89">
        <v>2027.0</v>
      </c>
      <c r="F288" s="90" t="s">
        <v>1299</v>
      </c>
      <c r="G288" s="91">
        <v>11.0</v>
      </c>
      <c r="H288" s="92"/>
    </row>
    <row r="289">
      <c r="A289" s="97">
        <v>45896.0</v>
      </c>
      <c r="B289" s="89" t="s">
        <v>1300</v>
      </c>
      <c r="C289" s="89" t="s">
        <v>1301</v>
      </c>
      <c r="D289" s="89" t="s">
        <v>864</v>
      </c>
      <c r="E289" s="89">
        <v>2028.0</v>
      </c>
      <c r="F289" s="90" t="s">
        <v>1302</v>
      </c>
      <c r="G289" s="91">
        <v>11.0</v>
      </c>
      <c r="H289" s="92"/>
    </row>
    <row r="290">
      <c r="A290" s="97">
        <v>45896.0</v>
      </c>
      <c r="B290" s="89" t="s">
        <v>1303</v>
      </c>
      <c r="C290" s="89" t="s">
        <v>1304</v>
      </c>
      <c r="D290" s="89" t="s">
        <v>1305</v>
      </c>
      <c r="E290" s="89">
        <v>2028.0</v>
      </c>
      <c r="F290" s="90" t="s">
        <v>1306</v>
      </c>
      <c r="G290" s="91">
        <v>11.0</v>
      </c>
      <c r="H290" s="92"/>
    </row>
    <row r="291">
      <c r="A291" s="97">
        <v>45896.0</v>
      </c>
      <c r="B291" s="89" t="s">
        <v>1307</v>
      </c>
      <c r="C291" s="89" t="s">
        <v>1308</v>
      </c>
      <c r="D291" s="89" t="s">
        <v>722</v>
      </c>
      <c r="E291" s="89">
        <v>2029.0</v>
      </c>
      <c r="F291" s="90" t="s">
        <v>1309</v>
      </c>
      <c r="G291" s="91">
        <v>2.0</v>
      </c>
      <c r="H291" s="92"/>
    </row>
    <row r="292">
      <c r="A292" s="97">
        <v>45896.0</v>
      </c>
      <c r="B292" s="89" t="s">
        <v>1181</v>
      </c>
      <c r="C292" s="89" t="s">
        <v>1182</v>
      </c>
      <c r="D292" s="89" t="s">
        <v>704</v>
      </c>
      <c r="E292" s="89">
        <v>2029.0</v>
      </c>
      <c r="F292" s="90" t="s">
        <v>1310</v>
      </c>
      <c r="G292" s="91">
        <v>1.0</v>
      </c>
      <c r="H292" s="92"/>
    </row>
    <row r="293">
      <c r="A293" s="97">
        <v>45896.0</v>
      </c>
      <c r="B293" s="89" t="s">
        <v>1311</v>
      </c>
      <c r="C293" s="89" t="s">
        <v>1312</v>
      </c>
      <c r="D293" s="89" t="s">
        <v>704</v>
      </c>
      <c r="E293" s="89">
        <v>2029.0</v>
      </c>
      <c r="F293" s="90" t="s">
        <v>1313</v>
      </c>
      <c r="G293" s="91">
        <v>4.0</v>
      </c>
      <c r="H293" s="92"/>
    </row>
    <row r="294">
      <c r="A294" s="97">
        <v>45896.0</v>
      </c>
      <c r="B294" s="89" t="s">
        <v>1143</v>
      </c>
      <c r="C294" s="89" t="s">
        <v>1144</v>
      </c>
      <c r="D294" s="89" t="s">
        <v>722</v>
      </c>
      <c r="E294" s="89">
        <v>2029.0</v>
      </c>
      <c r="F294" s="90" t="s">
        <v>1314</v>
      </c>
      <c r="G294" s="91">
        <v>23.0</v>
      </c>
      <c r="H294" s="92"/>
    </row>
    <row r="295">
      <c r="A295" s="97">
        <v>45896.0</v>
      </c>
      <c r="B295" s="89" t="s">
        <v>917</v>
      </c>
      <c r="C295" s="89" t="s">
        <v>918</v>
      </c>
      <c r="D295" s="89" t="s">
        <v>704</v>
      </c>
      <c r="E295" s="89">
        <v>2029.0</v>
      </c>
      <c r="F295" s="90" t="s">
        <v>1315</v>
      </c>
      <c r="G295" s="91">
        <v>16.0</v>
      </c>
      <c r="H295" s="92"/>
    </row>
    <row r="296">
      <c r="A296" s="97">
        <v>45896.0</v>
      </c>
      <c r="B296" s="89" t="s">
        <v>1316</v>
      </c>
      <c r="C296" s="89" t="s">
        <v>1317</v>
      </c>
      <c r="D296" s="89" t="s">
        <v>704</v>
      </c>
      <c r="E296" s="89">
        <v>2029.0</v>
      </c>
      <c r="F296" s="90" t="s">
        <v>1318</v>
      </c>
      <c r="G296" s="91">
        <v>1.0</v>
      </c>
      <c r="H296" s="92"/>
    </row>
    <row r="297">
      <c r="A297" s="97">
        <v>45896.0</v>
      </c>
      <c r="B297" s="89" t="s">
        <v>1229</v>
      </c>
      <c r="C297" s="89" t="s">
        <v>1230</v>
      </c>
      <c r="D297" s="89" t="s">
        <v>722</v>
      </c>
      <c r="E297" s="89">
        <v>2029.0</v>
      </c>
      <c r="F297" s="90" t="s">
        <v>1319</v>
      </c>
      <c r="G297" s="91">
        <v>3.0</v>
      </c>
      <c r="H297" s="92"/>
    </row>
    <row r="298">
      <c r="A298" s="97">
        <v>45896.0</v>
      </c>
      <c r="B298" s="89" t="s">
        <v>1320</v>
      </c>
      <c r="C298" s="89" t="s">
        <v>1321</v>
      </c>
      <c r="D298" s="89" t="s">
        <v>722</v>
      </c>
      <c r="E298" s="89">
        <v>2029.0</v>
      </c>
      <c r="F298" s="90" t="s">
        <v>1322</v>
      </c>
      <c r="G298" s="91">
        <v>2.0</v>
      </c>
      <c r="H298" s="92"/>
    </row>
    <row r="299">
      <c r="A299" s="97">
        <v>45896.0</v>
      </c>
      <c r="B299" s="89" t="s">
        <v>578</v>
      </c>
      <c r="C299" s="89" t="s">
        <v>579</v>
      </c>
      <c r="D299" s="89" t="s">
        <v>1323</v>
      </c>
      <c r="E299" s="89">
        <v>2026.0</v>
      </c>
      <c r="F299" s="90" t="s">
        <v>1324</v>
      </c>
      <c r="G299" s="91">
        <v>22.0</v>
      </c>
      <c r="H299" s="92"/>
    </row>
    <row r="300">
      <c r="A300" s="97">
        <v>45896.0</v>
      </c>
      <c r="B300" s="89" t="s">
        <v>789</v>
      </c>
      <c r="C300" s="89" t="s">
        <v>790</v>
      </c>
      <c r="D300" s="89" t="s">
        <v>700</v>
      </c>
      <c r="E300" s="89">
        <v>2029.0</v>
      </c>
      <c r="F300" s="90" t="s">
        <v>1325</v>
      </c>
      <c r="G300" s="91">
        <v>1.0</v>
      </c>
      <c r="H300" s="92"/>
    </row>
    <row r="301">
      <c r="A301" s="97">
        <v>45896.0</v>
      </c>
      <c r="B301" s="89" t="s">
        <v>804</v>
      </c>
      <c r="C301" s="89" t="s">
        <v>805</v>
      </c>
      <c r="D301" s="89" t="s">
        <v>700</v>
      </c>
      <c r="E301" s="89">
        <v>2029.0</v>
      </c>
      <c r="F301" s="90" t="s">
        <v>1326</v>
      </c>
      <c r="G301" s="91">
        <v>13.0</v>
      </c>
      <c r="H301" s="92"/>
    </row>
    <row r="302">
      <c r="A302" s="97">
        <v>45904.0</v>
      </c>
      <c r="B302" s="89" t="s">
        <v>673</v>
      </c>
      <c r="C302" s="89" t="s">
        <v>558</v>
      </c>
      <c r="D302" s="89" t="s">
        <v>700</v>
      </c>
      <c r="E302" s="89">
        <v>2028.0</v>
      </c>
      <c r="F302" s="90" t="s">
        <v>1327</v>
      </c>
      <c r="G302" s="91">
        <v>17.0</v>
      </c>
      <c r="H302" s="92"/>
    </row>
    <row r="303">
      <c r="A303" s="97">
        <v>45904.0</v>
      </c>
      <c r="B303" s="89" t="s">
        <v>1328</v>
      </c>
      <c r="C303" s="89" t="s">
        <v>1329</v>
      </c>
      <c r="D303" s="89" t="s">
        <v>1305</v>
      </c>
      <c r="E303" s="89">
        <v>2028.0</v>
      </c>
      <c r="F303" s="90" t="s">
        <v>1330</v>
      </c>
      <c r="G303" s="91">
        <v>1.0</v>
      </c>
      <c r="H303" s="92"/>
    </row>
    <row r="304">
      <c r="A304" s="97">
        <v>45904.0</v>
      </c>
      <c r="B304" s="89" t="s">
        <v>1331</v>
      </c>
      <c r="C304" s="89" t="s">
        <v>1332</v>
      </c>
      <c r="D304" s="89" t="s">
        <v>1305</v>
      </c>
      <c r="E304" s="89">
        <v>2028.0</v>
      </c>
      <c r="F304" s="90" t="s">
        <v>1333</v>
      </c>
      <c r="G304" s="91">
        <v>10.0</v>
      </c>
      <c r="H304" s="92"/>
    </row>
    <row r="305">
      <c r="A305" s="97">
        <v>45904.0</v>
      </c>
      <c r="B305" s="89" t="s">
        <v>511</v>
      </c>
      <c r="C305" s="89" t="s">
        <v>512</v>
      </c>
      <c r="D305" s="89" t="s">
        <v>715</v>
      </c>
      <c r="E305" s="89">
        <v>2026.0</v>
      </c>
      <c r="F305" s="90" t="s">
        <v>1334</v>
      </c>
      <c r="G305" s="91">
        <v>1.0</v>
      </c>
      <c r="H305" s="92"/>
    </row>
    <row r="306">
      <c r="A306" s="97">
        <v>45904.0</v>
      </c>
      <c r="B306" s="89" t="s">
        <v>1335</v>
      </c>
      <c r="C306" s="89" t="s">
        <v>1336</v>
      </c>
      <c r="D306" s="89" t="s">
        <v>711</v>
      </c>
      <c r="E306" s="89">
        <v>2027.0</v>
      </c>
      <c r="F306" s="90" t="s">
        <v>1337</v>
      </c>
      <c r="G306" s="91">
        <v>6.0</v>
      </c>
      <c r="H306" s="92"/>
    </row>
    <row r="307">
      <c r="A307" s="97">
        <v>45904.0</v>
      </c>
      <c r="B307" s="89" t="s">
        <v>1338</v>
      </c>
      <c r="C307" s="89" t="s">
        <v>1339</v>
      </c>
      <c r="D307" s="89" t="s">
        <v>700</v>
      </c>
      <c r="E307" s="89">
        <v>2028.0</v>
      </c>
      <c r="F307" s="90" t="s">
        <v>1340</v>
      </c>
      <c r="G307" s="91">
        <v>10.0</v>
      </c>
      <c r="H307" s="92"/>
    </row>
    <row r="308">
      <c r="A308" s="97">
        <v>45904.0</v>
      </c>
      <c r="B308" s="89" t="s">
        <v>1341</v>
      </c>
      <c r="C308" s="89" t="s">
        <v>1342</v>
      </c>
      <c r="D308" s="89" t="s">
        <v>784</v>
      </c>
      <c r="E308" s="89">
        <v>2027.0</v>
      </c>
      <c r="F308" s="90" t="s">
        <v>1343</v>
      </c>
      <c r="G308" s="91">
        <v>3.0</v>
      </c>
      <c r="H308" s="92"/>
    </row>
    <row r="309">
      <c r="A309" s="97">
        <v>45904.0</v>
      </c>
      <c r="B309" s="89" t="s">
        <v>1344</v>
      </c>
      <c r="C309" s="89" t="s">
        <v>1345</v>
      </c>
      <c r="D309" s="89" t="s">
        <v>715</v>
      </c>
      <c r="E309" s="89">
        <v>2027.0</v>
      </c>
      <c r="F309" s="90" t="s">
        <v>1346</v>
      </c>
      <c r="G309" s="91">
        <v>4.0</v>
      </c>
      <c r="H309" s="92"/>
    </row>
    <row r="310">
      <c r="A310" s="97">
        <v>45904.0</v>
      </c>
      <c r="B310" s="89" t="s">
        <v>1347</v>
      </c>
      <c r="C310" s="89" t="s">
        <v>1348</v>
      </c>
      <c r="D310" s="89" t="s">
        <v>715</v>
      </c>
      <c r="E310" s="89">
        <v>2027.0</v>
      </c>
      <c r="F310" s="90" t="s">
        <v>1349</v>
      </c>
      <c r="G310" s="91">
        <v>14.0</v>
      </c>
      <c r="H310" s="92"/>
    </row>
    <row r="311">
      <c r="A311" s="97">
        <v>45904.0</v>
      </c>
      <c r="B311" s="89" t="s">
        <v>1116</v>
      </c>
      <c r="C311" s="89" t="s">
        <v>1117</v>
      </c>
      <c r="D311" s="89" t="s">
        <v>722</v>
      </c>
      <c r="E311" s="89">
        <v>2029.0</v>
      </c>
      <c r="F311" s="90" t="s">
        <v>1350</v>
      </c>
      <c r="G311" s="91">
        <v>18.0</v>
      </c>
      <c r="H311" s="92"/>
    </row>
    <row r="312">
      <c r="A312" s="97">
        <v>45904.0</v>
      </c>
      <c r="B312" s="89" t="s">
        <v>1351</v>
      </c>
      <c r="C312" s="89" t="s">
        <v>1352</v>
      </c>
      <c r="D312" s="89" t="s">
        <v>711</v>
      </c>
      <c r="E312" s="89">
        <v>2028.0</v>
      </c>
      <c r="F312" s="90" t="s">
        <v>1353</v>
      </c>
      <c r="G312" s="91">
        <v>2.0</v>
      </c>
      <c r="H312" s="92"/>
    </row>
    <row r="313">
      <c r="A313" s="97">
        <v>45904.0</v>
      </c>
      <c r="B313" s="89" t="s">
        <v>1354</v>
      </c>
      <c r="C313" s="89" t="s">
        <v>1355</v>
      </c>
      <c r="D313" s="89" t="s">
        <v>784</v>
      </c>
      <c r="E313" s="89">
        <v>2026.0</v>
      </c>
      <c r="F313" s="90" t="s">
        <v>1356</v>
      </c>
      <c r="G313" s="91">
        <v>20.0</v>
      </c>
      <c r="H313" s="92"/>
    </row>
    <row r="314">
      <c r="A314" s="97">
        <v>45904.0</v>
      </c>
      <c r="B314" s="89" t="s">
        <v>1357</v>
      </c>
      <c r="C314" s="89" t="s">
        <v>1358</v>
      </c>
      <c r="D314" s="89" t="s">
        <v>784</v>
      </c>
      <c r="E314" s="89">
        <v>2026.0</v>
      </c>
      <c r="F314" s="90" t="s">
        <v>1359</v>
      </c>
      <c r="G314" s="91">
        <v>12.0</v>
      </c>
      <c r="H314" s="92"/>
    </row>
    <row r="315">
      <c r="A315" s="97">
        <v>45904.0</v>
      </c>
      <c r="B315" s="89" t="s">
        <v>539</v>
      </c>
      <c r="C315" s="89" t="s">
        <v>1360</v>
      </c>
      <c r="D315" s="89" t="s">
        <v>715</v>
      </c>
      <c r="E315" s="89">
        <v>2026.0</v>
      </c>
      <c r="F315" s="90" t="s">
        <v>1361</v>
      </c>
      <c r="G315" s="91">
        <v>14.0</v>
      </c>
      <c r="H315" s="92"/>
    </row>
    <row r="316">
      <c r="A316" s="97">
        <v>45904.0</v>
      </c>
      <c r="B316" s="89" t="s">
        <v>1362</v>
      </c>
      <c r="C316" s="89" t="s">
        <v>1363</v>
      </c>
      <c r="D316" s="89" t="s">
        <v>784</v>
      </c>
      <c r="E316" s="89">
        <v>2027.0</v>
      </c>
      <c r="F316" s="90" t="s">
        <v>1364</v>
      </c>
      <c r="G316" s="91">
        <v>4.0</v>
      </c>
      <c r="H316" s="92"/>
    </row>
    <row r="317">
      <c r="A317" s="97">
        <v>45904.0</v>
      </c>
      <c r="B317" s="89" t="s">
        <v>508</v>
      </c>
      <c r="C317" s="89" t="s">
        <v>509</v>
      </c>
      <c r="D317" s="89" t="s">
        <v>506</v>
      </c>
      <c r="E317" s="89">
        <v>2027.0</v>
      </c>
      <c r="F317" s="90" t="s">
        <v>1365</v>
      </c>
      <c r="G317" s="91">
        <v>13.0</v>
      </c>
      <c r="H317" s="92"/>
    </row>
    <row r="318">
      <c r="A318" s="97">
        <v>45904.0</v>
      </c>
      <c r="B318" s="89" t="s">
        <v>1131</v>
      </c>
      <c r="C318" s="89" t="s">
        <v>1366</v>
      </c>
      <c r="D318" s="89" t="s">
        <v>700</v>
      </c>
      <c r="E318" s="89">
        <v>2028.0</v>
      </c>
      <c r="F318" s="90" t="s">
        <v>1367</v>
      </c>
      <c r="G318" s="91">
        <v>19.0</v>
      </c>
      <c r="H318" s="92"/>
    </row>
    <row r="319">
      <c r="A319" s="97">
        <v>45904.0</v>
      </c>
      <c r="B319" s="89" t="s">
        <v>1368</v>
      </c>
      <c r="C319" s="89" t="s">
        <v>1369</v>
      </c>
      <c r="D319" s="89" t="s">
        <v>700</v>
      </c>
      <c r="E319" s="89">
        <v>2028.0</v>
      </c>
      <c r="F319" s="90" t="s">
        <v>1370</v>
      </c>
      <c r="G319" s="91">
        <v>6.0</v>
      </c>
      <c r="H319" s="92"/>
    </row>
    <row r="320">
      <c r="A320" s="97">
        <v>45904.0</v>
      </c>
      <c r="B320" s="89" t="s">
        <v>1371</v>
      </c>
      <c r="C320" s="89" t="s">
        <v>1372</v>
      </c>
      <c r="D320" s="89" t="s">
        <v>700</v>
      </c>
      <c r="E320" s="89">
        <v>2026.0</v>
      </c>
      <c r="F320" s="90" t="s">
        <v>1373</v>
      </c>
      <c r="G320" s="91">
        <v>32.0</v>
      </c>
      <c r="H320" s="92"/>
    </row>
    <row r="321">
      <c r="A321" s="97">
        <v>45904.0</v>
      </c>
      <c r="B321" s="89" t="s">
        <v>1374</v>
      </c>
      <c r="C321" s="89" t="s">
        <v>1375</v>
      </c>
      <c r="D321" s="89" t="s">
        <v>784</v>
      </c>
      <c r="E321" s="89">
        <v>2027.0</v>
      </c>
      <c r="F321" s="90" t="s">
        <v>1376</v>
      </c>
      <c r="G321" s="91">
        <v>3.0</v>
      </c>
      <c r="H321" s="92"/>
    </row>
    <row r="322">
      <c r="A322" s="97">
        <v>45904.0</v>
      </c>
      <c r="B322" s="89" t="s">
        <v>1104</v>
      </c>
      <c r="C322" s="89" t="s">
        <v>1105</v>
      </c>
      <c r="D322" s="89" t="s">
        <v>722</v>
      </c>
      <c r="E322" s="89">
        <v>2029.0</v>
      </c>
      <c r="F322" s="90" t="s">
        <v>1377</v>
      </c>
      <c r="G322" s="91">
        <v>1.0</v>
      </c>
      <c r="H322" s="92"/>
    </row>
    <row r="323">
      <c r="A323" s="97">
        <v>45904.0</v>
      </c>
      <c r="B323" s="89" t="s">
        <v>813</v>
      </c>
      <c r="C323" s="89" t="s">
        <v>814</v>
      </c>
      <c r="D323" s="89" t="s">
        <v>722</v>
      </c>
      <c r="E323" s="89">
        <v>2029.0</v>
      </c>
      <c r="F323" s="90" t="s">
        <v>1378</v>
      </c>
      <c r="G323" s="91">
        <v>2.0</v>
      </c>
      <c r="H323" s="92"/>
    </row>
    <row r="324">
      <c r="A324" s="97">
        <v>45904.0</v>
      </c>
      <c r="B324" s="89" t="s">
        <v>1196</v>
      </c>
      <c r="C324" s="89" t="s">
        <v>1197</v>
      </c>
      <c r="D324" s="89" t="s">
        <v>722</v>
      </c>
      <c r="E324" s="89">
        <v>2029.0</v>
      </c>
      <c r="F324" s="90" t="s">
        <v>1379</v>
      </c>
      <c r="G324" s="91">
        <v>14.0</v>
      </c>
      <c r="H324" s="92"/>
    </row>
    <row r="325">
      <c r="A325" s="97">
        <v>45904.0</v>
      </c>
      <c r="B325" s="89" t="s">
        <v>1380</v>
      </c>
      <c r="C325" s="89" t="s">
        <v>1381</v>
      </c>
      <c r="D325" s="89" t="s">
        <v>506</v>
      </c>
      <c r="E325" s="89">
        <v>2027.0</v>
      </c>
      <c r="F325" s="90" t="s">
        <v>1382</v>
      </c>
      <c r="G325" s="91">
        <v>1.0</v>
      </c>
      <c r="H325" s="92"/>
    </row>
    <row r="326">
      <c r="A326" s="97">
        <v>45904.0</v>
      </c>
      <c r="B326" s="89" t="s">
        <v>1383</v>
      </c>
      <c r="C326" s="89" t="s">
        <v>1384</v>
      </c>
      <c r="D326" s="89" t="s">
        <v>700</v>
      </c>
      <c r="E326" s="89">
        <v>2029.0</v>
      </c>
      <c r="F326" s="96" t="s">
        <v>1385</v>
      </c>
      <c r="G326" s="91">
        <v>2.0</v>
      </c>
      <c r="H326" s="92"/>
    </row>
    <row r="327">
      <c r="A327" s="97">
        <v>45904.0</v>
      </c>
      <c r="B327" s="89" t="s">
        <v>1386</v>
      </c>
      <c r="C327" s="89" t="s">
        <v>1387</v>
      </c>
      <c r="D327" s="89" t="s">
        <v>784</v>
      </c>
      <c r="E327" s="89">
        <v>2026.0</v>
      </c>
      <c r="F327" s="90" t="s">
        <v>1388</v>
      </c>
      <c r="G327" s="91">
        <v>9.0</v>
      </c>
      <c r="H327" s="92"/>
    </row>
    <row r="328">
      <c r="A328" s="97">
        <v>45904.0</v>
      </c>
      <c r="B328" s="89" t="s">
        <v>1389</v>
      </c>
      <c r="C328" s="89" t="s">
        <v>1390</v>
      </c>
      <c r="D328" s="89" t="s">
        <v>784</v>
      </c>
      <c r="E328" s="89">
        <v>2027.0</v>
      </c>
      <c r="F328" s="96" t="s">
        <v>1391</v>
      </c>
      <c r="G328" s="91">
        <v>36.0</v>
      </c>
      <c r="H328" s="92"/>
    </row>
    <row r="329">
      <c r="A329" s="97">
        <v>45904.0</v>
      </c>
      <c r="B329" s="89" t="s">
        <v>1392</v>
      </c>
      <c r="C329" s="89" t="s">
        <v>1393</v>
      </c>
      <c r="D329" s="89" t="s">
        <v>1305</v>
      </c>
      <c r="E329" s="89">
        <v>2026.0</v>
      </c>
      <c r="F329" s="90" t="s">
        <v>1394</v>
      </c>
      <c r="G329" s="91">
        <v>5.0</v>
      </c>
      <c r="H329" s="92"/>
    </row>
    <row r="330">
      <c r="A330" s="97">
        <v>45904.0</v>
      </c>
      <c r="B330" s="89" t="s">
        <v>1395</v>
      </c>
      <c r="C330" s="89" t="s">
        <v>1396</v>
      </c>
      <c r="D330" s="89" t="s">
        <v>722</v>
      </c>
      <c r="E330" s="89">
        <v>2029.0</v>
      </c>
      <c r="F330" s="90" t="s">
        <v>1397</v>
      </c>
      <c r="G330" s="91">
        <v>1.0</v>
      </c>
      <c r="H330" s="92"/>
    </row>
    <row r="331">
      <c r="A331" s="97">
        <v>45904.0</v>
      </c>
      <c r="B331" s="89" t="s">
        <v>1398</v>
      </c>
      <c r="C331" s="89" t="s">
        <v>1399</v>
      </c>
      <c r="D331" s="89" t="s">
        <v>700</v>
      </c>
      <c r="E331" s="89">
        <v>2028.0</v>
      </c>
      <c r="F331" s="90" t="s">
        <v>1400</v>
      </c>
      <c r="G331" s="91">
        <v>7.0</v>
      </c>
      <c r="H331" s="92"/>
    </row>
    <row r="332">
      <c r="A332" s="97">
        <v>45904.0</v>
      </c>
      <c r="B332" s="89" t="s">
        <v>713</v>
      </c>
      <c r="C332" s="101" t="s">
        <v>714</v>
      </c>
      <c r="D332" s="101" t="s">
        <v>715</v>
      </c>
      <c r="E332" s="89">
        <v>2028.0</v>
      </c>
      <c r="F332" s="90" t="s">
        <v>1401</v>
      </c>
      <c r="G332" s="91">
        <v>3.0</v>
      </c>
      <c r="H332" s="92"/>
    </row>
    <row r="333">
      <c r="A333" s="97">
        <v>45904.0</v>
      </c>
      <c r="B333" s="89" t="s">
        <v>932</v>
      </c>
      <c r="C333" s="100" t="s">
        <v>933</v>
      </c>
      <c r="D333" s="101" t="s">
        <v>704</v>
      </c>
      <c r="E333" s="89">
        <v>2029.0</v>
      </c>
      <c r="F333" s="90" t="s">
        <v>1402</v>
      </c>
      <c r="G333" s="91">
        <v>8.0</v>
      </c>
      <c r="H333" s="92"/>
    </row>
    <row r="334">
      <c r="A334" s="97">
        <v>45904.0</v>
      </c>
      <c r="B334" s="89" t="s">
        <v>1131</v>
      </c>
      <c r="C334" s="89" t="s">
        <v>1366</v>
      </c>
      <c r="D334" s="89" t="s">
        <v>700</v>
      </c>
      <c r="E334" s="89">
        <v>2028.0</v>
      </c>
      <c r="F334" s="90" t="s">
        <v>1403</v>
      </c>
      <c r="G334" s="91">
        <v>18.0</v>
      </c>
      <c r="H334" s="92"/>
    </row>
    <row r="335">
      <c r="A335" s="97">
        <v>45904.0</v>
      </c>
      <c r="B335" s="89" t="s">
        <v>1404</v>
      </c>
      <c r="C335" s="89" t="s">
        <v>1405</v>
      </c>
      <c r="D335" s="89" t="s">
        <v>722</v>
      </c>
      <c r="E335" s="89">
        <v>2029.0</v>
      </c>
      <c r="F335" s="90" t="s">
        <v>1406</v>
      </c>
      <c r="G335" s="91">
        <v>1.0</v>
      </c>
      <c r="H335" s="92"/>
    </row>
    <row r="336">
      <c r="A336" s="97">
        <v>45904.0</v>
      </c>
      <c r="B336" s="89" t="s">
        <v>1407</v>
      </c>
      <c r="C336" s="89" t="s">
        <v>1408</v>
      </c>
      <c r="D336" s="89" t="s">
        <v>784</v>
      </c>
      <c r="E336" s="89">
        <v>2028.0</v>
      </c>
      <c r="F336" s="90" t="s">
        <v>1409</v>
      </c>
      <c r="G336" s="91">
        <v>1.0</v>
      </c>
      <c r="H336" s="92"/>
    </row>
    <row r="337">
      <c r="A337" s="97">
        <v>45904.0</v>
      </c>
      <c r="B337" s="89" t="s">
        <v>1410</v>
      </c>
      <c r="C337" s="89" t="s">
        <v>1411</v>
      </c>
      <c r="D337" s="89" t="s">
        <v>784</v>
      </c>
      <c r="E337" s="89">
        <v>2028.0</v>
      </c>
      <c r="F337" s="90" t="s">
        <v>1412</v>
      </c>
      <c r="G337" s="91">
        <v>1.0</v>
      </c>
      <c r="H337" s="92"/>
    </row>
    <row r="338">
      <c r="A338" s="97">
        <v>45904.0</v>
      </c>
      <c r="B338" s="89" t="s">
        <v>1413</v>
      </c>
      <c r="C338" s="89" t="s">
        <v>1414</v>
      </c>
      <c r="D338" s="89" t="s">
        <v>704</v>
      </c>
      <c r="E338" s="89">
        <v>2029.0</v>
      </c>
      <c r="F338" s="90" t="s">
        <v>1415</v>
      </c>
      <c r="G338" s="91">
        <v>6.0</v>
      </c>
      <c r="H338" s="92"/>
    </row>
    <row r="339">
      <c r="A339" s="97">
        <v>45904.0</v>
      </c>
      <c r="B339" s="89" t="s">
        <v>1416</v>
      </c>
      <c r="C339" s="89" t="s">
        <v>1417</v>
      </c>
      <c r="D339" s="89" t="s">
        <v>506</v>
      </c>
      <c r="E339" s="89">
        <v>2026.0</v>
      </c>
      <c r="F339" s="90" t="s">
        <v>1418</v>
      </c>
      <c r="G339" s="91">
        <v>66.0</v>
      </c>
      <c r="H339" s="92"/>
    </row>
    <row r="340">
      <c r="A340" s="97">
        <v>45904.0</v>
      </c>
      <c r="B340" s="89" t="s">
        <v>1419</v>
      </c>
      <c r="C340" s="89" t="s">
        <v>1420</v>
      </c>
      <c r="D340" s="89" t="s">
        <v>784</v>
      </c>
      <c r="E340" s="89">
        <v>2027.0</v>
      </c>
      <c r="F340" s="90" t="s">
        <v>1421</v>
      </c>
      <c r="G340" s="91">
        <v>7.0</v>
      </c>
      <c r="H340" s="92"/>
    </row>
    <row r="341">
      <c r="A341" s="97">
        <v>45904.0</v>
      </c>
      <c r="B341" s="89" t="s">
        <v>1422</v>
      </c>
      <c r="C341" s="89" t="s">
        <v>1423</v>
      </c>
      <c r="D341" s="89" t="s">
        <v>722</v>
      </c>
      <c r="E341" s="89">
        <v>2029.0</v>
      </c>
      <c r="F341" s="90" t="s">
        <v>1424</v>
      </c>
      <c r="G341" s="91">
        <v>6.0</v>
      </c>
      <c r="H341" s="92"/>
    </row>
    <row r="342">
      <c r="A342" s="97">
        <v>45904.0</v>
      </c>
      <c r="B342" s="89" t="s">
        <v>1425</v>
      </c>
      <c r="C342" s="89" t="s">
        <v>1426</v>
      </c>
      <c r="D342" s="89" t="s">
        <v>506</v>
      </c>
      <c r="E342" s="89">
        <v>2027.0</v>
      </c>
      <c r="F342" s="90" t="s">
        <v>1427</v>
      </c>
      <c r="G342" s="91">
        <v>4.0</v>
      </c>
      <c r="H342" s="92"/>
    </row>
    <row r="343">
      <c r="A343" s="97">
        <v>45904.0</v>
      </c>
      <c r="B343" s="104" t="s">
        <v>966</v>
      </c>
      <c r="C343" s="100" t="s">
        <v>967</v>
      </c>
      <c r="D343" s="101" t="s">
        <v>722</v>
      </c>
      <c r="E343" s="89">
        <v>2029.0</v>
      </c>
      <c r="F343" s="90" t="s">
        <v>1428</v>
      </c>
      <c r="G343" s="91">
        <v>4.0</v>
      </c>
      <c r="H343" s="92"/>
    </row>
    <row r="344">
      <c r="A344" s="97">
        <v>45904.0</v>
      </c>
      <c r="B344" s="89" t="s">
        <v>569</v>
      </c>
      <c r="C344" s="89" t="s">
        <v>1429</v>
      </c>
      <c r="D344" s="89" t="s">
        <v>784</v>
      </c>
      <c r="E344" s="89">
        <v>2028.0</v>
      </c>
      <c r="F344" s="90" t="s">
        <v>1430</v>
      </c>
      <c r="G344" s="91">
        <v>3.0</v>
      </c>
      <c r="H344" s="92"/>
    </row>
    <row r="345">
      <c r="A345" s="97">
        <v>45904.0</v>
      </c>
      <c r="B345" s="89" t="s">
        <v>1431</v>
      </c>
      <c r="C345" s="89" t="s">
        <v>1432</v>
      </c>
      <c r="D345" s="89" t="s">
        <v>506</v>
      </c>
      <c r="E345" s="89">
        <v>2026.0</v>
      </c>
      <c r="F345" s="90" t="s">
        <v>1433</v>
      </c>
      <c r="G345" s="91">
        <v>12.0</v>
      </c>
      <c r="H345" s="92"/>
    </row>
    <row r="346">
      <c r="A346" s="97">
        <v>45904.0</v>
      </c>
      <c r="B346" s="101" t="s">
        <v>853</v>
      </c>
      <c r="C346" s="101" t="s">
        <v>854</v>
      </c>
      <c r="D346" s="101" t="s">
        <v>704</v>
      </c>
      <c r="E346" s="89">
        <v>2028.0</v>
      </c>
      <c r="F346" s="90" t="s">
        <v>1434</v>
      </c>
      <c r="G346" s="91">
        <v>8.0</v>
      </c>
      <c r="H346" s="92"/>
    </row>
    <row r="347">
      <c r="A347" s="97">
        <v>45904.0</v>
      </c>
      <c r="B347" s="89" t="s">
        <v>1435</v>
      </c>
      <c r="C347" s="89" t="s">
        <v>1436</v>
      </c>
      <c r="D347" s="89" t="s">
        <v>700</v>
      </c>
      <c r="E347" s="89">
        <v>2026.0</v>
      </c>
      <c r="F347" s="90" t="s">
        <v>1437</v>
      </c>
      <c r="G347" s="91">
        <v>3.0</v>
      </c>
      <c r="H347" s="92"/>
    </row>
    <row r="348">
      <c r="A348" s="97">
        <v>45904.0</v>
      </c>
      <c r="B348" s="89" t="s">
        <v>624</v>
      </c>
      <c r="C348" s="89" t="s">
        <v>625</v>
      </c>
      <c r="D348" s="89" t="s">
        <v>506</v>
      </c>
      <c r="E348" s="89">
        <v>2027.0</v>
      </c>
      <c r="F348" s="90" t="s">
        <v>1438</v>
      </c>
      <c r="G348" s="91">
        <v>5.0</v>
      </c>
      <c r="H348" s="92"/>
    </row>
    <row r="349">
      <c r="A349" s="97">
        <v>45904.0</v>
      </c>
      <c r="B349" s="89" t="s">
        <v>1439</v>
      </c>
      <c r="C349" s="89" t="s">
        <v>1440</v>
      </c>
      <c r="D349" s="89" t="s">
        <v>506</v>
      </c>
      <c r="E349" s="89">
        <v>2027.0</v>
      </c>
      <c r="F349" s="90" t="s">
        <v>1441</v>
      </c>
      <c r="G349" s="91">
        <v>27.0</v>
      </c>
      <c r="H349" s="92"/>
    </row>
    <row r="350">
      <c r="A350" s="97">
        <v>45904.0</v>
      </c>
      <c r="B350" s="89" t="s">
        <v>1442</v>
      </c>
      <c r="C350" s="89" t="s">
        <v>1443</v>
      </c>
      <c r="D350" s="89" t="s">
        <v>700</v>
      </c>
      <c r="E350" s="89">
        <v>2027.0</v>
      </c>
      <c r="F350" s="90" t="s">
        <v>1444</v>
      </c>
      <c r="G350" s="91">
        <v>3.0</v>
      </c>
      <c r="H350" s="92"/>
    </row>
    <row r="351">
      <c r="A351" s="97">
        <v>45904.0</v>
      </c>
      <c r="B351" s="89" t="s">
        <v>1445</v>
      </c>
      <c r="C351" s="89" t="s">
        <v>1446</v>
      </c>
      <c r="D351" s="89" t="s">
        <v>700</v>
      </c>
      <c r="E351" s="89">
        <v>2028.0</v>
      </c>
      <c r="F351" s="90" t="s">
        <v>1447</v>
      </c>
      <c r="G351" s="91">
        <v>6.0</v>
      </c>
      <c r="H351" s="92"/>
    </row>
    <row r="352">
      <c r="A352" s="97">
        <v>45904.0</v>
      </c>
      <c r="B352" s="89" t="s">
        <v>1448</v>
      </c>
      <c r="C352" s="89" t="s">
        <v>567</v>
      </c>
      <c r="D352" s="89" t="s">
        <v>711</v>
      </c>
      <c r="E352" s="89">
        <v>2027.0</v>
      </c>
      <c r="F352" s="90" t="s">
        <v>1449</v>
      </c>
      <c r="G352" s="91">
        <v>19.0</v>
      </c>
      <c r="H352" s="92"/>
    </row>
    <row r="353">
      <c r="A353" s="97">
        <v>45904.0</v>
      </c>
      <c r="B353" s="89" t="s">
        <v>1450</v>
      </c>
      <c r="C353" s="89" t="s">
        <v>1451</v>
      </c>
      <c r="D353" s="89" t="s">
        <v>506</v>
      </c>
      <c r="E353" s="89">
        <v>2026.0</v>
      </c>
      <c r="F353" s="90" t="s">
        <v>1452</v>
      </c>
      <c r="G353" s="91">
        <v>18.0</v>
      </c>
      <c r="H353" s="92"/>
    </row>
    <row r="354">
      <c r="A354" s="97">
        <v>45904.0</v>
      </c>
      <c r="B354" s="89" t="s">
        <v>1453</v>
      </c>
      <c r="C354" s="89" t="s">
        <v>1454</v>
      </c>
      <c r="D354" s="89" t="s">
        <v>506</v>
      </c>
      <c r="E354" s="89">
        <v>2027.0</v>
      </c>
      <c r="F354" s="90" t="s">
        <v>1455</v>
      </c>
      <c r="G354" s="91">
        <v>9.0</v>
      </c>
      <c r="H354" s="92"/>
    </row>
    <row r="355">
      <c r="A355" s="97">
        <v>45904.0</v>
      </c>
      <c r="B355" s="89" t="s">
        <v>1456</v>
      </c>
      <c r="C355" s="89" t="s">
        <v>1457</v>
      </c>
      <c r="D355" s="89" t="s">
        <v>883</v>
      </c>
      <c r="E355" s="89">
        <v>2026.0</v>
      </c>
      <c r="F355" s="90" t="s">
        <v>1458</v>
      </c>
      <c r="G355" s="91">
        <v>16.0</v>
      </c>
      <c r="H355" s="92"/>
    </row>
    <row r="356">
      <c r="A356" s="97">
        <v>45904.0</v>
      </c>
      <c r="B356" s="89" t="s">
        <v>1459</v>
      </c>
      <c r="C356" s="89" t="s">
        <v>1460</v>
      </c>
      <c r="D356" s="89" t="s">
        <v>883</v>
      </c>
      <c r="E356" s="89">
        <v>2026.0</v>
      </c>
      <c r="F356" s="90" t="s">
        <v>1461</v>
      </c>
      <c r="G356" s="91">
        <v>5.0</v>
      </c>
      <c r="H356" s="92"/>
    </row>
    <row r="357">
      <c r="A357" s="97">
        <v>45904.0</v>
      </c>
      <c r="B357" s="89" t="s">
        <v>1462</v>
      </c>
      <c r="C357" s="89" t="s">
        <v>1463</v>
      </c>
      <c r="D357" s="89" t="s">
        <v>506</v>
      </c>
      <c r="E357" s="89">
        <v>2026.0</v>
      </c>
      <c r="F357" s="90" t="s">
        <v>1464</v>
      </c>
      <c r="G357" s="91">
        <v>15.0</v>
      </c>
      <c r="H357" s="92"/>
    </row>
    <row r="358">
      <c r="A358" s="97">
        <v>45904.0</v>
      </c>
      <c r="B358" s="89" t="s">
        <v>1169</v>
      </c>
      <c r="C358" s="89" t="s">
        <v>1170</v>
      </c>
      <c r="D358" s="89" t="s">
        <v>722</v>
      </c>
      <c r="E358" s="89">
        <v>2029.0</v>
      </c>
      <c r="F358" s="90" t="s">
        <v>1465</v>
      </c>
      <c r="G358" s="91">
        <v>2.0</v>
      </c>
      <c r="H358" s="92"/>
    </row>
    <row r="359">
      <c r="A359" s="97">
        <v>45904.0</v>
      </c>
      <c r="B359" s="89" t="s">
        <v>1466</v>
      </c>
      <c r="C359" s="89" t="s">
        <v>1467</v>
      </c>
      <c r="D359" s="89" t="s">
        <v>506</v>
      </c>
      <c r="E359" s="89">
        <v>2028.0</v>
      </c>
      <c r="F359" s="90" t="s">
        <v>1468</v>
      </c>
      <c r="G359" s="91">
        <v>21.0</v>
      </c>
      <c r="H359" s="92"/>
    </row>
    <row r="360">
      <c r="A360" s="97">
        <v>45904.0</v>
      </c>
      <c r="B360" s="89" t="s">
        <v>1469</v>
      </c>
      <c r="C360" s="89" t="s">
        <v>1470</v>
      </c>
      <c r="D360" s="89" t="s">
        <v>715</v>
      </c>
      <c r="E360" s="89">
        <v>2028.0</v>
      </c>
      <c r="F360" s="90" t="s">
        <v>1471</v>
      </c>
      <c r="G360" s="91">
        <v>1.0</v>
      </c>
      <c r="H360" s="92"/>
    </row>
    <row r="361">
      <c r="A361" s="97">
        <v>45904.0</v>
      </c>
      <c r="B361" s="89" t="s">
        <v>1472</v>
      </c>
      <c r="C361" s="89" t="s">
        <v>1473</v>
      </c>
      <c r="D361" s="89" t="s">
        <v>506</v>
      </c>
      <c r="E361" s="89">
        <v>2028.0</v>
      </c>
      <c r="F361" s="90" t="s">
        <v>1474</v>
      </c>
      <c r="G361" s="91">
        <v>2.0</v>
      </c>
      <c r="H361" s="92"/>
    </row>
    <row r="362">
      <c r="A362" s="97">
        <v>45904.0</v>
      </c>
      <c r="B362" s="89" t="s">
        <v>1475</v>
      </c>
      <c r="C362" s="89" t="s">
        <v>1476</v>
      </c>
      <c r="D362" s="89" t="s">
        <v>506</v>
      </c>
      <c r="E362" s="89">
        <v>2028.0</v>
      </c>
      <c r="F362" s="90" t="s">
        <v>31</v>
      </c>
      <c r="G362" s="91">
        <v>1.0</v>
      </c>
      <c r="H362" s="92"/>
    </row>
    <row r="363">
      <c r="A363" s="97">
        <v>45904.0</v>
      </c>
      <c r="B363" s="89" t="s">
        <v>1477</v>
      </c>
      <c r="C363" s="89" t="s">
        <v>1478</v>
      </c>
      <c r="D363" s="89" t="s">
        <v>784</v>
      </c>
      <c r="E363" s="89">
        <v>2027.0</v>
      </c>
      <c r="F363" s="90" t="s">
        <v>1479</v>
      </c>
      <c r="G363" s="91">
        <v>1.0</v>
      </c>
      <c r="H363" s="92"/>
    </row>
    <row r="364">
      <c r="A364" s="97">
        <v>45904.0</v>
      </c>
      <c r="B364" s="89" t="s">
        <v>1480</v>
      </c>
      <c r="C364" s="89" t="s">
        <v>1481</v>
      </c>
      <c r="D364" s="89" t="s">
        <v>700</v>
      </c>
      <c r="E364" s="89">
        <v>2028.0</v>
      </c>
      <c r="F364" s="90" t="s">
        <v>1482</v>
      </c>
      <c r="G364" s="91">
        <v>4.0</v>
      </c>
      <c r="H364" s="92"/>
    </row>
    <row r="365">
      <c r="A365" s="97">
        <v>45904.0</v>
      </c>
      <c r="B365" s="89" t="s">
        <v>1483</v>
      </c>
      <c r="C365" s="89" t="s">
        <v>1484</v>
      </c>
      <c r="D365" s="89" t="s">
        <v>784</v>
      </c>
      <c r="E365" s="89">
        <v>2026.0</v>
      </c>
      <c r="F365" s="90" t="s">
        <v>1485</v>
      </c>
      <c r="G365" s="91">
        <v>5.0</v>
      </c>
      <c r="H365" s="92"/>
    </row>
    <row r="366">
      <c r="A366" s="97">
        <v>45904.0</v>
      </c>
      <c r="B366" s="89" t="s">
        <v>1294</v>
      </c>
      <c r="C366" s="89" t="s">
        <v>1295</v>
      </c>
      <c r="D366" s="89" t="s">
        <v>784</v>
      </c>
      <c r="E366" s="89">
        <v>2027.0</v>
      </c>
      <c r="F366" s="90" t="s">
        <v>1486</v>
      </c>
      <c r="G366" s="91">
        <v>23.0</v>
      </c>
      <c r="H366" s="92"/>
    </row>
    <row r="367">
      <c r="A367" s="97">
        <v>45904.0</v>
      </c>
      <c r="B367" s="89" t="s">
        <v>1487</v>
      </c>
      <c r="C367" s="89" t="s">
        <v>1488</v>
      </c>
      <c r="D367" s="89" t="s">
        <v>711</v>
      </c>
      <c r="E367" s="89">
        <v>2029.0</v>
      </c>
      <c r="F367" s="90" t="s">
        <v>1382</v>
      </c>
      <c r="G367" s="91">
        <v>1.0</v>
      </c>
      <c r="H367" s="92"/>
    </row>
    <row r="368">
      <c r="A368" s="97">
        <v>45904.0</v>
      </c>
      <c r="B368" s="89" t="s">
        <v>1489</v>
      </c>
      <c r="C368" s="89" t="s">
        <v>1490</v>
      </c>
      <c r="D368" s="89" t="s">
        <v>506</v>
      </c>
      <c r="E368" s="89">
        <v>2028.0</v>
      </c>
      <c r="F368" s="90" t="s">
        <v>1491</v>
      </c>
      <c r="G368" s="91">
        <v>11.0</v>
      </c>
      <c r="H368" s="92"/>
    </row>
    <row r="369">
      <c r="A369" s="97">
        <v>45904.0</v>
      </c>
      <c r="B369" s="89" t="s">
        <v>807</v>
      </c>
      <c r="C369" s="100" t="s">
        <v>808</v>
      </c>
      <c r="D369" s="101" t="s">
        <v>700</v>
      </c>
      <c r="E369" s="89">
        <v>2029.0</v>
      </c>
      <c r="F369" s="90" t="s">
        <v>1492</v>
      </c>
      <c r="G369" s="91">
        <v>3.0</v>
      </c>
      <c r="H369" s="92"/>
    </row>
    <row r="370">
      <c r="A370" s="97">
        <v>45909.0</v>
      </c>
      <c r="B370" s="89" t="s">
        <v>1493</v>
      </c>
      <c r="C370" s="89" t="s">
        <v>1494</v>
      </c>
      <c r="D370" s="89" t="s">
        <v>711</v>
      </c>
      <c r="E370" s="89">
        <v>2026.0</v>
      </c>
      <c r="F370" s="90" t="s">
        <v>1495</v>
      </c>
      <c r="G370" s="91">
        <v>7.0</v>
      </c>
      <c r="H370" s="92"/>
    </row>
    <row r="371">
      <c r="A371" s="97">
        <v>45909.0</v>
      </c>
      <c r="B371" s="89" t="s">
        <v>1496</v>
      </c>
      <c r="C371" s="89" t="s">
        <v>1497</v>
      </c>
      <c r="D371" s="89" t="s">
        <v>695</v>
      </c>
      <c r="E371" s="89" t="s">
        <v>696</v>
      </c>
      <c r="F371" s="90" t="s">
        <v>1498</v>
      </c>
      <c r="G371" s="91">
        <v>5.0</v>
      </c>
      <c r="H371" s="92"/>
    </row>
    <row r="372">
      <c r="A372" s="97">
        <v>45909.0</v>
      </c>
      <c r="B372" s="89" t="s">
        <v>1407</v>
      </c>
      <c r="C372" s="89" t="s">
        <v>1408</v>
      </c>
      <c r="D372" s="89" t="s">
        <v>784</v>
      </c>
      <c r="E372" s="89">
        <v>2028.0</v>
      </c>
      <c r="F372" s="90" t="s">
        <v>1499</v>
      </c>
      <c r="G372" s="91">
        <v>1.0</v>
      </c>
      <c r="H372" s="92"/>
    </row>
    <row r="373">
      <c r="A373" s="97">
        <v>45909.0</v>
      </c>
      <c r="B373" s="89" t="s">
        <v>1410</v>
      </c>
      <c r="C373" s="89" t="s">
        <v>1411</v>
      </c>
      <c r="D373" s="89" t="s">
        <v>784</v>
      </c>
      <c r="E373" s="89">
        <v>2028.0</v>
      </c>
      <c r="F373" s="90" t="s">
        <v>1500</v>
      </c>
      <c r="G373" s="91">
        <v>1.0</v>
      </c>
      <c r="H373" s="92"/>
    </row>
    <row r="374">
      <c r="A374" s="97">
        <v>45909.0</v>
      </c>
      <c r="B374" s="89" t="s">
        <v>673</v>
      </c>
      <c r="C374" s="89" t="s">
        <v>558</v>
      </c>
      <c r="D374" s="89" t="s">
        <v>700</v>
      </c>
      <c r="E374" s="89">
        <v>2028.0</v>
      </c>
      <c r="F374" s="90" t="s">
        <v>1501</v>
      </c>
      <c r="G374" s="91">
        <v>21.0</v>
      </c>
      <c r="H374" s="92"/>
    </row>
    <row r="375">
      <c r="A375" s="97">
        <v>45909.0</v>
      </c>
      <c r="B375" s="89" t="s">
        <v>1502</v>
      </c>
      <c r="C375" s="89" t="s">
        <v>1503</v>
      </c>
      <c r="D375" s="89" t="s">
        <v>700</v>
      </c>
      <c r="E375" s="89">
        <v>2029.0</v>
      </c>
      <c r="F375" s="90" t="s">
        <v>1504</v>
      </c>
      <c r="G375" s="91">
        <v>1.0</v>
      </c>
      <c r="H375" s="92"/>
    </row>
    <row r="376">
      <c r="A376" s="97">
        <v>45909.0</v>
      </c>
      <c r="B376" s="89" t="s">
        <v>1489</v>
      </c>
      <c r="C376" s="89" t="s">
        <v>1490</v>
      </c>
      <c r="D376" s="89" t="s">
        <v>506</v>
      </c>
      <c r="E376" s="89">
        <v>2028.0</v>
      </c>
      <c r="F376" s="96" t="s">
        <v>1505</v>
      </c>
      <c r="G376" s="91">
        <v>7.0</v>
      </c>
      <c r="H376" s="92"/>
    </row>
    <row r="377">
      <c r="A377" s="97">
        <v>45909.0</v>
      </c>
      <c r="B377" s="89" t="s">
        <v>1506</v>
      </c>
      <c r="C377" s="89" t="s">
        <v>1507</v>
      </c>
      <c r="D377" s="89" t="s">
        <v>506</v>
      </c>
      <c r="E377" s="89">
        <v>2026.0</v>
      </c>
      <c r="F377" s="90" t="s">
        <v>1508</v>
      </c>
      <c r="G377" s="91">
        <v>1.0</v>
      </c>
      <c r="H377" s="92"/>
    </row>
    <row r="378">
      <c r="A378" s="97">
        <v>45909.0</v>
      </c>
      <c r="B378" s="89" t="s">
        <v>1509</v>
      </c>
      <c r="C378" s="89" t="s">
        <v>1510</v>
      </c>
      <c r="D378" s="89" t="s">
        <v>715</v>
      </c>
      <c r="E378" s="89">
        <v>2028.0</v>
      </c>
      <c r="F378" s="90" t="s">
        <v>1511</v>
      </c>
      <c r="G378" s="91">
        <v>3.0</v>
      </c>
      <c r="H378" s="92"/>
    </row>
    <row r="379">
      <c r="A379" s="97">
        <v>45909.0</v>
      </c>
      <c r="B379" s="89" t="s">
        <v>1512</v>
      </c>
      <c r="C379" s="89" t="s">
        <v>1513</v>
      </c>
      <c r="D379" s="89" t="s">
        <v>711</v>
      </c>
      <c r="E379" s="89">
        <v>2027.0</v>
      </c>
      <c r="F379" s="90" t="s">
        <v>1514</v>
      </c>
      <c r="G379" s="91">
        <v>2.0</v>
      </c>
      <c r="H379" s="92"/>
    </row>
    <row r="380">
      <c r="A380" s="97">
        <v>45909.0</v>
      </c>
      <c r="B380" s="89" t="s">
        <v>1515</v>
      </c>
      <c r="C380" s="89" t="s">
        <v>1516</v>
      </c>
      <c r="D380" s="89" t="s">
        <v>715</v>
      </c>
      <c r="E380" s="89">
        <v>2028.0</v>
      </c>
      <c r="F380" s="90" t="s">
        <v>1517</v>
      </c>
      <c r="G380" s="91">
        <v>2.0</v>
      </c>
      <c r="H380" s="92"/>
    </row>
    <row r="381">
      <c r="A381" s="97">
        <v>45909.0</v>
      </c>
      <c r="B381" s="89" t="s">
        <v>905</v>
      </c>
      <c r="C381" s="89" t="s">
        <v>1518</v>
      </c>
      <c r="D381" s="89" t="s">
        <v>506</v>
      </c>
      <c r="E381" s="89">
        <v>2027.0</v>
      </c>
      <c r="F381" s="90" t="s">
        <v>1519</v>
      </c>
      <c r="G381" s="91">
        <v>4.0</v>
      </c>
      <c r="H381" s="92"/>
    </row>
    <row r="382">
      <c r="A382" s="97">
        <v>45909.0</v>
      </c>
      <c r="B382" s="89" t="s">
        <v>1520</v>
      </c>
      <c r="C382" s="89" t="s">
        <v>1521</v>
      </c>
      <c r="D382" s="89" t="s">
        <v>695</v>
      </c>
      <c r="E382" s="89" t="s">
        <v>696</v>
      </c>
      <c r="F382" s="90" t="s">
        <v>1522</v>
      </c>
      <c r="G382" s="91">
        <v>2.0</v>
      </c>
      <c r="H382" s="92"/>
    </row>
    <row r="383">
      <c r="A383" s="97">
        <v>45909.0</v>
      </c>
      <c r="B383" s="89" t="s">
        <v>1354</v>
      </c>
      <c r="C383" s="89" t="s">
        <v>1355</v>
      </c>
      <c r="D383" s="89" t="s">
        <v>784</v>
      </c>
      <c r="E383" s="89">
        <v>2026.0</v>
      </c>
      <c r="F383" s="90" t="s">
        <v>1523</v>
      </c>
      <c r="G383" s="91">
        <v>6.0</v>
      </c>
      <c r="H383" s="92"/>
    </row>
    <row r="384">
      <c r="A384" s="97">
        <v>45909.0</v>
      </c>
      <c r="B384" s="89" t="s">
        <v>1480</v>
      </c>
      <c r="C384" s="89" t="s">
        <v>1524</v>
      </c>
      <c r="D384" s="89" t="s">
        <v>700</v>
      </c>
      <c r="E384" s="89">
        <v>2028.0</v>
      </c>
      <c r="F384" s="90" t="s">
        <v>1525</v>
      </c>
      <c r="G384" s="91">
        <v>1.0</v>
      </c>
      <c r="H384" s="92"/>
    </row>
    <row r="385">
      <c r="A385" s="97">
        <v>45909.0</v>
      </c>
      <c r="B385" s="89" t="s">
        <v>1368</v>
      </c>
      <c r="C385" s="89" t="s">
        <v>1369</v>
      </c>
      <c r="D385" s="89" t="s">
        <v>700</v>
      </c>
      <c r="E385" s="89">
        <v>2028.0</v>
      </c>
      <c r="F385" s="90" t="s">
        <v>1526</v>
      </c>
      <c r="G385" s="91">
        <v>5.0</v>
      </c>
      <c r="H385" s="92"/>
    </row>
    <row r="386">
      <c r="A386" s="97">
        <v>45909.0</v>
      </c>
      <c r="B386" s="89" t="s">
        <v>1527</v>
      </c>
      <c r="C386" s="89" t="s">
        <v>1528</v>
      </c>
      <c r="D386" s="89" t="s">
        <v>506</v>
      </c>
      <c r="E386" s="89">
        <v>2026.0</v>
      </c>
      <c r="F386" s="90" t="s">
        <v>1529</v>
      </c>
      <c r="G386" s="91">
        <v>61.0</v>
      </c>
      <c r="H386" s="92"/>
    </row>
    <row r="387">
      <c r="A387" s="97">
        <v>45909.0</v>
      </c>
      <c r="B387" s="89" t="s">
        <v>1530</v>
      </c>
      <c r="C387" s="89" t="s">
        <v>1531</v>
      </c>
      <c r="D387" s="89" t="s">
        <v>506</v>
      </c>
      <c r="E387" s="89">
        <v>2027.0</v>
      </c>
      <c r="F387" s="90" t="s">
        <v>1532</v>
      </c>
      <c r="G387" s="91">
        <v>3.0</v>
      </c>
      <c r="H387" s="92"/>
    </row>
    <row r="388">
      <c r="A388" s="97">
        <v>45909.0</v>
      </c>
      <c r="B388" s="89" t="s">
        <v>1533</v>
      </c>
      <c r="C388" s="89" t="s">
        <v>1534</v>
      </c>
      <c r="D388" s="89" t="s">
        <v>711</v>
      </c>
      <c r="E388" s="89">
        <v>2029.0</v>
      </c>
      <c r="F388" s="90" t="s">
        <v>1535</v>
      </c>
      <c r="G388" s="91">
        <v>7.0</v>
      </c>
      <c r="H388" s="92"/>
    </row>
    <row r="389">
      <c r="A389" s="97">
        <v>45909.0</v>
      </c>
      <c r="B389" s="89">
        <v>11.0</v>
      </c>
      <c r="C389" s="89" t="s">
        <v>1536</v>
      </c>
      <c r="D389" s="89" t="s">
        <v>700</v>
      </c>
      <c r="E389" s="89">
        <v>2028.0</v>
      </c>
      <c r="F389" s="90" t="s">
        <v>1537</v>
      </c>
      <c r="G389" s="91">
        <v>20.0</v>
      </c>
      <c r="H389" s="92"/>
    </row>
    <row r="390">
      <c r="A390" s="97">
        <v>45909.0</v>
      </c>
      <c r="B390" s="89" t="s">
        <v>801</v>
      </c>
      <c r="C390" s="89" t="s">
        <v>802</v>
      </c>
      <c r="D390" s="89" t="s">
        <v>506</v>
      </c>
      <c r="E390" s="89">
        <v>2026.0</v>
      </c>
      <c r="F390" s="90" t="s">
        <v>1538</v>
      </c>
      <c r="G390" s="91">
        <v>5.0</v>
      </c>
      <c r="H390" s="92"/>
    </row>
    <row r="391">
      <c r="A391" s="97">
        <v>45909.0</v>
      </c>
      <c r="B391" s="89" t="s">
        <v>1539</v>
      </c>
      <c r="C391" s="89" t="s">
        <v>1540</v>
      </c>
      <c r="D391" s="89" t="s">
        <v>784</v>
      </c>
      <c r="E391" s="89">
        <v>2026.0</v>
      </c>
      <c r="F391" s="90" t="s">
        <v>1541</v>
      </c>
      <c r="G391" s="91">
        <v>21.0</v>
      </c>
      <c r="H391" s="92"/>
    </row>
    <row r="392">
      <c r="A392" s="97">
        <v>45909.0</v>
      </c>
      <c r="B392" s="89" t="s">
        <v>1439</v>
      </c>
      <c r="C392" s="89" t="s">
        <v>1440</v>
      </c>
      <c r="D392" s="89" t="s">
        <v>506</v>
      </c>
      <c r="E392" s="89">
        <v>2027.0</v>
      </c>
      <c r="F392" s="90" t="s">
        <v>1542</v>
      </c>
      <c r="G392" s="91">
        <v>4.0</v>
      </c>
      <c r="H392" s="92"/>
    </row>
    <row r="393">
      <c r="A393" s="97">
        <v>45909.0</v>
      </c>
      <c r="B393" s="89" t="s">
        <v>1543</v>
      </c>
      <c r="C393" s="89" t="s">
        <v>1544</v>
      </c>
      <c r="D393" s="89" t="s">
        <v>722</v>
      </c>
      <c r="E393" s="89">
        <v>2029.0</v>
      </c>
      <c r="F393" s="90" t="s">
        <v>1545</v>
      </c>
      <c r="G393" s="91">
        <v>4.0</v>
      </c>
      <c r="H393" s="92"/>
    </row>
    <row r="394">
      <c r="A394" s="97">
        <v>45909.0</v>
      </c>
      <c r="B394" s="89" t="s">
        <v>1546</v>
      </c>
      <c r="C394" s="89" t="s">
        <v>1547</v>
      </c>
      <c r="D394" s="89" t="s">
        <v>700</v>
      </c>
      <c r="E394" s="89">
        <v>2028.0</v>
      </c>
      <c r="F394" s="90" t="s">
        <v>1548</v>
      </c>
      <c r="G394" s="91">
        <v>1.0</v>
      </c>
      <c r="H394" s="92"/>
    </row>
    <row r="395">
      <c r="A395" s="97">
        <v>45909.0</v>
      </c>
      <c r="B395" s="89" t="s">
        <v>1131</v>
      </c>
      <c r="C395" s="89" t="s">
        <v>1366</v>
      </c>
      <c r="D395" s="89" t="s">
        <v>700</v>
      </c>
      <c r="E395" s="89">
        <v>2028.0</v>
      </c>
      <c r="F395" s="90" t="s">
        <v>1549</v>
      </c>
      <c r="G395" s="91">
        <v>19.0</v>
      </c>
      <c r="H395" s="92"/>
    </row>
    <row r="396">
      <c r="A396" s="97">
        <v>45909.0</v>
      </c>
      <c r="B396" s="89" t="s">
        <v>1550</v>
      </c>
      <c r="C396" s="89" t="s">
        <v>1551</v>
      </c>
      <c r="D396" s="89" t="s">
        <v>700</v>
      </c>
      <c r="E396" s="89">
        <v>2028.0</v>
      </c>
      <c r="F396" s="90" t="s">
        <v>1552</v>
      </c>
      <c r="G396" s="91">
        <v>29.0</v>
      </c>
      <c r="H396" s="92"/>
    </row>
    <row r="397">
      <c r="A397" s="97">
        <v>45909.0</v>
      </c>
      <c r="B397" s="89" t="s">
        <v>1553</v>
      </c>
      <c r="C397" s="89" t="s">
        <v>1554</v>
      </c>
      <c r="D397" s="89" t="s">
        <v>711</v>
      </c>
      <c r="E397" s="89">
        <v>2028.0</v>
      </c>
      <c r="F397" s="90" t="s">
        <v>1555</v>
      </c>
      <c r="G397" s="91">
        <v>4.0</v>
      </c>
      <c r="H397" s="92"/>
    </row>
    <row r="398">
      <c r="A398" s="97">
        <v>45909.0</v>
      </c>
      <c r="B398" s="89" t="s">
        <v>1556</v>
      </c>
      <c r="C398" s="89" t="s">
        <v>1557</v>
      </c>
      <c r="D398" s="89" t="s">
        <v>722</v>
      </c>
      <c r="E398" s="89">
        <v>2029.0</v>
      </c>
      <c r="F398" s="94" t="s">
        <v>1558</v>
      </c>
      <c r="G398" s="91">
        <v>14.0</v>
      </c>
      <c r="H398" s="92"/>
    </row>
    <row r="399">
      <c r="A399" s="97">
        <v>45909.0</v>
      </c>
      <c r="B399" s="89" t="s">
        <v>1011</v>
      </c>
      <c r="C399" s="89" t="s">
        <v>1012</v>
      </c>
      <c r="D399" s="89" t="s">
        <v>722</v>
      </c>
      <c r="E399" s="89">
        <v>2029.0</v>
      </c>
      <c r="F399" s="90" t="s">
        <v>1559</v>
      </c>
      <c r="G399" s="91">
        <v>22.0</v>
      </c>
      <c r="H399" s="92"/>
    </row>
    <row r="400">
      <c r="A400" s="97">
        <v>45916.0</v>
      </c>
      <c r="B400" s="89" t="s">
        <v>1560</v>
      </c>
      <c r="C400" s="89" t="s">
        <v>1561</v>
      </c>
      <c r="D400" s="89" t="s">
        <v>695</v>
      </c>
      <c r="E400" s="89" t="s">
        <v>696</v>
      </c>
      <c r="F400" s="90" t="s">
        <v>1562</v>
      </c>
      <c r="G400" s="91">
        <v>23.0</v>
      </c>
      <c r="H400" s="92"/>
    </row>
    <row r="401">
      <c r="A401" s="97">
        <v>45916.0</v>
      </c>
      <c r="B401" s="89" t="s">
        <v>1389</v>
      </c>
      <c r="C401" s="89" t="s">
        <v>1390</v>
      </c>
      <c r="D401" s="89" t="s">
        <v>784</v>
      </c>
      <c r="E401" s="89">
        <v>2027.0</v>
      </c>
      <c r="F401" s="90" t="s">
        <v>1563</v>
      </c>
      <c r="G401" s="91">
        <v>5.0</v>
      </c>
      <c r="H401" s="92"/>
    </row>
    <row r="402">
      <c r="A402" s="97">
        <v>45916.0</v>
      </c>
      <c r="B402" s="89" t="s">
        <v>1564</v>
      </c>
      <c r="C402" s="89" t="s">
        <v>1565</v>
      </c>
      <c r="D402" s="89" t="s">
        <v>506</v>
      </c>
      <c r="E402" s="89">
        <v>2027.0</v>
      </c>
      <c r="F402" s="90" t="s">
        <v>1566</v>
      </c>
      <c r="G402" s="91">
        <v>29.0</v>
      </c>
      <c r="H402" s="92"/>
    </row>
    <row r="403">
      <c r="A403" s="97">
        <v>45916.0</v>
      </c>
      <c r="B403" s="89" t="s">
        <v>1567</v>
      </c>
      <c r="C403" s="89" t="s">
        <v>1568</v>
      </c>
      <c r="D403" s="89" t="s">
        <v>700</v>
      </c>
      <c r="E403" s="89">
        <v>2027.0</v>
      </c>
      <c r="F403" s="90" t="s">
        <v>1569</v>
      </c>
      <c r="G403" s="91">
        <v>1.0</v>
      </c>
      <c r="H403" s="92"/>
    </row>
    <row r="404">
      <c r="A404" s="97">
        <v>45916.0</v>
      </c>
      <c r="B404" s="115" t="s">
        <v>1570</v>
      </c>
      <c r="C404" s="115" t="s">
        <v>1571</v>
      </c>
      <c r="D404" s="89" t="s">
        <v>506</v>
      </c>
      <c r="E404" s="89">
        <v>2026.0</v>
      </c>
      <c r="F404" s="116" t="s">
        <v>1572</v>
      </c>
      <c r="G404" s="91">
        <v>11.0</v>
      </c>
      <c r="H404" s="117"/>
    </row>
    <row r="405">
      <c r="A405" s="97">
        <v>45916.0</v>
      </c>
      <c r="B405" s="115" t="s">
        <v>709</v>
      </c>
      <c r="C405" s="115" t="s">
        <v>710</v>
      </c>
      <c r="D405" s="89" t="s">
        <v>711</v>
      </c>
      <c r="E405" s="89">
        <v>2028.0</v>
      </c>
      <c r="F405" s="116" t="s">
        <v>1573</v>
      </c>
      <c r="G405" s="91">
        <v>1.0</v>
      </c>
      <c r="H405" s="117"/>
    </row>
    <row r="406">
      <c r="A406" s="97">
        <v>45916.0</v>
      </c>
      <c r="B406" s="115" t="s">
        <v>1294</v>
      </c>
      <c r="C406" s="115" t="s">
        <v>1574</v>
      </c>
      <c r="D406" s="89" t="s">
        <v>784</v>
      </c>
      <c r="E406" s="89">
        <v>2027.0</v>
      </c>
      <c r="F406" s="116" t="s">
        <v>1575</v>
      </c>
      <c r="G406" s="91">
        <v>52.0</v>
      </c>
      <c r="H406" s="117"/>
    </row>
    <row r="407">
      <c r="A407" s="97">
        <v>45916.0</v>
      </c>
      <c r="B407" s="115" t="s">
        <v>1576</v>
      </c>
      <c r="C407" s="115" t="s">
        <v>1577</v>
      </c>
      <c r="D407" s="89" t="s">
        <v>711</v>
      </c>
      <c r="E407" s="89">
        <v>2029.0</v>
      </c>
      <c r="F407" s="116" t="s">
        <v>1578</v>
      </c>
      <c r="G407" s="91">
        <v>4.0</v>
      </c>
      <c r="H407" s="117"/>
    </row>
    <row r="408">
      <c r="A408" s="97">
        <v>45916.0</v>
      </c>
      <c r="B408" s="115" t="s">
        <v>1579</v>
      </c>
      <c r="C408" s="115" t="s">
        <v>1580</v>
      </c>
      <c r="D408" s="89" t="s">
        <v>784</v>
      </c>
      <c r="E408" s="89">
        <v>2027.0</v>
      </c>
      <c r="F408" s="116" t="s">
        <v>1581</v>
      </c>
      <c r="G408" s="91">
        <v>29.0</v>
      </c>
      <c r="H408" s="117"/>
    </row>
    <row r="409">
      <c r="A409" s="97">
        <v>45916.0</v>
      </c>
      <c r="B409" s="115" t="s">
        <v>1582</v>
      </c>
      <c r="C409" s="115" t="s">
        <v>936</v>
      </c>
      <c r="D409" s="89" t="s">
        <v>722</v>
      </c>
      <c r="E409" s="89">
        <v>2029.0</v>
      </c>
      <c r="F409" s="116" t="s">
        <v>1583</v>
      </c>
      <c r="G409" s="91">
        <v>11.0</v>
      </c>
      <c r="H409" s="117"/>
    </row>
    <row r="410">
      <c r="A410" s="97">
        <v>45916.0</v>
      </c>
      <c r="B410" s="100" t="s">
        <v>730</v>
      </c>
      <c r="C410" s="100" t="s">
        <v>731</v>
      </c>
      <c r="D410" s="101" t="s">
        <v>722</v>
      </c>
      <c r="E410" s="89">
        <v>2029.0</v>
      </c>
      <c r="F410" s="116" t="s">
        <v>1584</v>
      </c>
      <c r="G410" s="91">
        <v>25.0</v>
      </c>
      <c r="H410" s="117"/>
    </row>
    <row r="411">
      <c r="A411" s="97">
        <v>45916.0</v>
      </c>
      <c r="B411" s="115" t="s">
        <v>1585</v>
      </c>
      <c r="C411" s="115" t="s">
        <v>1586</v>
      </c>
      <c r="D411" s="89" t="s">
        <v>695</v>
      </c>
      <c r="E411" s="89" t="s">
        <v>696</v>
      </c>
      <c r="F411" s="116" t="s">
        <v>1587</v>
      </c>
      <c r="G411" s="91">
        <v>1.0</v>
      </c>
      <c r="H411" s="117"/>
    </row>
    <row r="412">
      <c r="A412" s="97">
        <v>45916.0</v>
      </c>
      <c r="B412" s="115" t="s">
        <v>1588</v>
      </c>
      <c r="C412" s="115" t="s">
        <v>817</v>
      </c>
      <c r="D412" s="89" t="s">
        <v>704</v>
      </c>
      <c r="E412" s="89">
        <v>2029.0</v>
      </c>
      <c r="F412" s="116" t="s">
        <v>1589</v>
      </c>
      <c r="G412" s="91">
        <v>6.0</v>
      </c>
      <c r="H412" s="117"/>
    </row>
    <row r="413">
      <c r="A413" s="97">
        <v>45916.0</v>
      </c>
      <c r="B413" s="115" t="s">
        <v>1590</v>
      </c>
      <c r="C413" s="115" t="s">
        <v>1591</v>
      </c>
      <c r="D413" s="89" t="s">
        <v>704</v>
      </c>
      <c r="E413" s="89">
        <v>2029.0</v>
      </c>
      <c r="F413" s="116" t="s">
        <v>1592</v>
      </c>
      <c r="G413" s="91">
        <v>2.0</v>
      </c>
      <c r="H413" s="117"/>
    </row>
    <row r="414">
      <c r="A414" s="97">
        <v>45916.0</v>
      </c>
      <c r="B414" s="115" t="s">
        <v>1593</v>
      </c>
      <c r="C414" s="115" t="s">
        <v>1594</v>
      </c>
      <c r="D414" s="89" t="s">
        <v>711</v>
      </c>
      <c r="E414" s="89">
        <v>2027.0</v>
      </c>
      <c r="F414" s="116" t="s">
        <v>1595</v>
      </c>
      <c r="G414" s="91">
        <v>4.0</v>
      </c>
      <c r="H414" s="117"/>
    </row>
    <row r="415">
      <c r="A415" s="97">
        <v>45916.0</v>
      </c>
      <c r="B415" s="89" t="s">
        <v>529</v>
      </c>
      <c r="C415" s="89" t="s">
        <v>530</v>
      </c>
      <c r="D415" s="89" t="s">
        <v>506</v>
      </c>
      <c r="E415" s="89">
        <v>2027.0</v>
      </c>
      <c r="F415" s="116" t="s">
        <v>1596</v>
      </c>
      <c r="G415" s="91">
        <v>9.0</v>
      </c>
      <c r="H415" s="117"/>
    </row>
    <row r="416">
      <c r="A416" s="97">
        <v>45916.0</v>
      </c>
      <c r="B416" s="115" t="s">
        <v>999</v>
      </c>
      <c r="C416" s="115" t="s">
        <v>1000</v>
      </c>
      <c r="D416" s="89" t="s">
        <v>704</v>
      </c>
      <c r="E416" s="89">
        <v>2029.0</v>
      </c>
      <c r="F416" s="116" t="s">
        <v>1597</v>
      </c>
      <c r="G416" s="91">
        <v>5.0</v>
      </c>
      <c r="H416" s="117"/>
    </row>
    <row r="417">
      <c r="A417" s="97">
        <v>45916.0</v>
      </c>
      <c r="B417" s="115" t="s">
        <v>1311</v>
      </c>
      <c r="C417" s="115" t="s">
        <v>1312</v>
      </c>
      <c r="D417" s="89" t="s">
        <v>704</v>
      </c>
      <c r="E417" s="89">
        <v>2029.0</v>
      </c>
      <c r="F417" s="116" t="s">
        <v>1598</v>
      </c>
      <c r="G417" s="91">
        <v>4.0</v>
      </c>
      <c r="H417" s="117"/>
    </row>
    <row r="418">
      <c r="A418" s="97">
        <v>45916.0</v>
      </c>
      <c r="B418" s="89" t="s">
        <v>1169</v>
      </c>
      <c r="C418" s="89" t="s">
        <v>1170</v>
      </c>
      <c r="D418" s="89" t="s">
        <v>722</v>
      </c>
      <c r="E418" s="89">
        <v>2029.0</v>
      </c>
      <c r="F418" s="116" t="s">
        <v>1599</v>
      </c>
      <c r="G418" s="91">
        <v>1.0</v>
      </c>
      <c r="H418" s="117"/>
    </row>
    <row r="419">
      <c r="A419" s="97">
        <v>45916.0</v>
      </c>
      <c r="B419" s="89" t="s">
        <v>1435</v>
      </c>
      <c r="C419" s="89" t="s">
        <v>1436</v>
      </c>
      <c r="D419" s="89" t="s">
        <v>700</v>
      </c>
      <c r="E419" s="89">
        <v>2026.0</v>
      </c>
      <c r="F419" s="116" t="s">
        <v>1600</v>
      </c>
      <c r="G419" s="91">
        <v>5.0</v>
      </c>
      <c r="H419" s="117"/>
    </row>
    <row r="420">
      <c r="A420" s="97">
        <v>45916.0</v>
      </c>
      <c r="B420" s="115" t="s">
        <v>1601</v>
      </c>
      <c r="C420" s="115" t="s">
        <v>1602</v>
      </c>
      <c r="D420" s="89" t="s">
        <v>506</v>
      </c>
      <c r="E420" s="89">
        <v>2026.0</v>
      </c>
      <c r="F420" s="116" t="s">
        <v>1603</v>
      </c>
      <c r="G420" s="91">
        <v>7.0</v>
      </c>
      <c r="H420" s="117"/>
    </row>
    <row r="421">
      <c r="A421" s="97">
        <v>45916.0</v>
      </c>
      <c r="B421" s="115" t="s">
        <v>1604</v>
      </c>
      <c r="C421" s="115" t="s">
        <v>1605</v>
      </c>
      <c r="D421" s="89" t="s">
        <v>711</v>
      </c>
      <c r="E421" s="89">
        <v>2027.0</v>
      </c>
      <c r="F421" s="116" t="s">
        <v>1606</v>
      </c>
      <c r="G421" s="91">
        <v>17.0</v>
      </c>
      <c r="H421" s="117"/>
    </row>
    <row r="422">
      <c r="A422" s="97">
        <v>45916.0</v>
      </c>
      <c r="B422" s="89" t="s">
        <v>1439</v>
      </c>
      <c r="C422" s="89" t="s">
        <v>1440</v>
      </c>
      <c r="D422" s="89" t="s">
        <v>506</v>
      </c>
      <c r="E422" s="89">
        <v>2027.0</v>
      </c>
      <c r="F422" s="116" t="s">
        <v>1607</v>
      </c>
      <c r="G422" s="91">
        <v>4.0</v>
      </c>
      <c r="H422" s="117"/>
    </row>
    <row r="423">
      <c r="A423" s="97">
        <v>45916.0</v>
      </c>
      <c r="B423" s="89" t="s">
        <v>1480</v>
      </c>
      <c r="C423" s="89" t="s">
        <v>1481</v>
      </c>
      <c r="D423" s="89" t="s">
        <v>700</v>
      </c>
      <c r="E423" s="89">
        <v>2028.0</v>
      </c>
      <c r="F423" s="116" t="s">
        <v>1608</v>
      </c>
      <c r="G423" s="91">
        <v>3.0</v>
      </c>
      <c r="H423" s="117"/>
    </row>
    <row r="424">
      <c r="A424" s="97">
        <v>45916.0</v>
      </c>
      <c r="B424" s="89" t="s">
        <v>1131</v>
      </c>
      <c r="C424" s="89" t="s">
        <v>1366</v>
      </c>
      <c r="D424" s="89" t="s">
        <v>700</v>
      </c>
      <c r="E424" s="89">
        <v>2028.0</v>
      </c>
      <c r="F424" s="116" t="s">
        <v>1609</v>
      </c>
      <c r="G424" s="91">
        <v>10.0</v>
      </c>
      <c r="H424" s="117"/>
    </row>
    <row r="425">
      <c r="A425" s="97">
        <v>45916.0</v>
      </c>
      <c r="B425" s="115" t="s">
        <v>1610</v>
      </c>
      <c r="C425" s="115" t="s">
        <v>1611</v>
      </c>
      <c r="D425" s="89" t="s">
        <v>883</v>
      </c>
      <c r="E425" s="89">
        <v>2026.0</v>
      </c>
      <c r="F425" s="116" t="s">
        <v>1612</v>
      </c>
      <c r="G425" s="91">
        <v>11.0</v>
      </c>
      <c r="H425" s="117"/>
    </row>
    <row r="426">
      <c r="A426" s="97">
        <v>45923.0</v>
      </c>
      <c r="B426" s="115" t="s">
        <v>1613</v>
      </c>
      <c r="C426" s="115" t="s">
        <v>1614</v>
      </c>
      <c r="D426" s="89" t="s">
        <v>506</v>
      </c>
      <c r="E426" s="89">
        <v>2027.0</v>
      </c>
      <c r="F426" s="116" t="s">
        <v>1615</v>
      </c>
      <c r="G426" s="91">
        <v>8.0</v>
      </c>
      <c r="H426" s="117"/>
    </row>
    <row r="427">
      <c r="A427" s="97">
        <v>45923.0</v>
      </c>
      <c r="B427" s="115" t="s">
        <v>1616</v>
      </c>
      <c r="C427" s="115" t="s">
        <v>1617</v>
      </c>
      <c r="D427" s="89" t="s">
        <v>700</v>
      </c>
      <c r="E427" s="89">
        <v>2029.0</v>
      </c>
      <c r="F427" s="116" t="s">
        <v>1618</v>
      </c>
      <c r="G427" s="91">
        <v>1.0</v>
      </c>
      <c r="H427" s="117"/>
    </row>
    <row r="428">
      <c r="A428" s="97">
        <v>45923.0</v>
      </c>
      <c r="B428" s="115" t="s">
        <v>1619</v>
      </c>
      <c r="C428" s="115" t="s">
        <v>1620</v>
      </c>
      <c r="D428" s="89" t="s">
        <v>695</v>
      </c>
      <c r="E428" s="89" t="s">
        <v>696</v>
      </c>
      <c r="F428" s="116" t="s">
        <v>1621</v>
      </c>
      <c r="G428" s="91">
        <v>6.0</v>
      </c>
      <c r="H428" s="117"/>
    </row>
    <row r="429">
      <c r="A429" s="97">
        <v>45923.0</v>
      </c>
      <c r="B429" s="115" t="s">
        <v>1622</v>
      </c>
      <c r="C429" s="115" t="s">
        <v>1623</v>
      </c>
      <c r="D429" s="89" t="s">
        <v>722</v>
      </c>
      <c r="E429" s="89">
        <v>2029.0</v>
      </c>
      <c r="F429" s="116" t="s">
        <v>1624</v>
      </c>
      <c r="G429" s="91">
        <v>5.0</v>
      </c>
      <c r="H429" s="117"/>
    </row>
    <row r="430">
      <c r="A430" s="97">
        <v>45923.0</v>
      </c>
      <c r="B430" s="115" t="s">
        <v>1625</v>
      </c>
      <c r="C430" s="115" t="s">
        <v>957</v>
      </c>
      <c r="D430" s="89" t="s">
        <v>722</v>
      </c>
      <c r="E430" s="89">
        <v>2029.0</v>
      </c>
      <c r="F430" s="116" t="s">
        <v>1626</v>
      </c>
      <c r="G430" s="91">
        <v>1.0</v>
      </c>
      <c r="H430" s="117"/>
    </row>
    <row r="431">
      <c r="A431" s="97">
        <v>45923.0</v>
      </c>
      <c r="B431" s="115" t="s">
        <v>1247</v>
      </c>
      <c r="C431" s="115" t="s">
        <v>1248</v>
      </c>
      <c r="D431" s="89" t="s">
        <v>722</v>
      </c>
      <c r="E431" s="89">
        <v>2029.0</v>
      </c>
      <c r="F431" s="116" t="s">
        <v>1627</v>
      </c>
      <c r="G431" s="91">
        <v>1.0</v>
      </c>
      <c r="H431" s="117"/>
    </row>
    <row r="432">
      <c r="A432" s="97">
        <v>45923.0</v>
      </c>
      <c r="B432" s="115" t="s">
        <v>810</v>
      </c>
      <c r="C432" s="115" t="s">
        <v>811</v>
      </c>
      <c r="D432" s="89" t="s">
        <v>722</v>
      </c>
      <c r="E432" s="89">
        <v>2029.0</v>
      </c>
      <c r="F432" s="116" t="s">
        <v>1377</v>
      </c>
      <c r="G432" s="91">
        <v>1.0</v>
      </c>
      <c r="H432" s="117"/>
    </row>
    <row r="433">
      <c r="A433" s="97">
        <v>45923.0</v>
      </c>
      <c r="B433" s="89" t="s">
        <v>1512</v>
      </c>
      <c r="C433" s="89" t="s">
        <v>1513</v>
      </c>
      <c r="D433" s="89" t="s">
        <v>711</v>
      </c>
      <c r="E433" s="89">
        <v>2027.0</v>
      </c>
      <c r="F433" s="116" t="s">
        <v>416</v>
      </c>
      <c r="G433" s="91">
        <v>1.0</v>
      </c>
      <c r="H433" s="117"/>
    </row>
    <row r="434">
      <c r="A434" s="97">
        <v>45923.0</v>
      </c>
      <c r="B434" s="115" t="s">
        <v>1585</v>
      </c>
      <c r="C434" s="115" t="s">
        <v>1586</v>
      </c>
      <c r="D434" s="89" t="s">
        <v>695</v>
      </c>
      <c r="E434" s="89" t="s">
        <v>696</v>
      </c>
      <c r="F434" s="116" t="s">
        <v>1628</v>
      </c>
      <c r="G434" s="91">
        <v>9.0</v>
      </c>
      <c r="H434" s="117"/>
    </row>
    <row r="435">
      <c r="A435" s="97">
        <v>45923.0</v>
      </c>
      <c r="B435" s="115" t="s">
        <v>1629</v>
      </c>
      <c r="C435" s="115" t="s">
        <v>1630</v>
      </c>
      <c r="D435" s="89" t="s">
        <v>883</v>
      </c>
      <c r="E435" s="89">
        <v>2026.0</v>
      </c>
      <c r="F435" s="116" t="s">
        <v>1631</v>
      </c>
      <c r="G435" s="91">
        <v>28.0</v>
      </c>
      <c r="H435" s="117"/>
    </row>
    <row r="436">
      <c r="A436" s="97">
        <v>45923.0</v>
      </c>
      <c r="B436" s="115" t="s">
        <v>819</v>
      </c>
      <c r="C436" s="115" t="s">
        <v>820</v>
      </c>
      <c r="D436" s="89" t="s">
        <v>722</v>
      </c>
      <c r="E436" s="89">
        <v>2029.0</v>
      </c>
      <c r="F436" s="116" t="s">
        <v>1632</v>
      </c>
      <c r="G436" s="91">
        <v>12.0</v>
      </c>
      <c r="H436" s="117"/>
    </row>
    <row r="437">
      <c r="A437" s="97">
        <v>45923.0</v>
      </c>
      <c r="B437" s="89" t="s">
        <v>529</v>
      </c>
      <c r="C437" s="89" t="s">
        <v>530</v>
      </c>
      <c r="D437" s="89" t="s">
        <v>506</v>
      </c>
      <c r="E437" s="89">
        <v>2027.0</v>
      </c>
      <c r="F437" s="116" t="s">
        <v>1633</v>
      </c>
      <c r="G437" s="91">
        <v>11.0</v>
      </c>
      <c r="H437" s="117"/>
    </row>
    <row r="438">
      <c r="A438" s="97">
        <v>45923.0</v>
      </c>
      <c r="B438" s="89" t="s">
        <v>1539</v>
      </c>
      <c r="C438" s="89" t="s">
        <v>1540</v>
      </c>
      <c r="D438" s="89" t="s">
        <v>784</v>
      </c>
      <c r="E438" s="89">
        <v>2026.0</v>
      </c>
      <c r="F438" s="116" t="s">
        <v>1634</v>
      </c>
      <c r="G438" s="91">
        <v>1.0</v>
      </c>
      <c r="H438" s="117"/>
    </row>
    <row r="439">
      <c r="A439" s="97">
        <v>45923.0</v>
      </c>
      <c r="B439" s="101" t="s">
        <v>801</v>
      </c>
      <c r="C439" s="101" t="s">
        <v>802</v>
      </c>
      <c r="D439" s="101" t="s">
        <v>506</v>
      </c>
      <c r="E439" s="89">
        <v>2026.0</v>
      </c>
      <c r="F439" s="116" t="s">
        <v>1635</v>
      </c>
      <c r="G439" s="91">
        <v>51.0</v>
      </c>
      <c r="H439" s="117"/>
    </row>
    <row r="440">
      <c r="A440" s="97">
        <v>45923.0</v>
      </c>
      <c r="B440" s="115" t="s">
        <v>1636</v>
      </c>
      <c r="C440" s="115" t="s">
        <v>1637</v>
      </c>
      <c r="D440" s="89" t="s">
        <v>1638</v>
      </c>
      <c r="E440" s="89">
        <v>2028.0</v>
      </c>
      <c r="F440" s="116" t="s">
        <v>1639</v>
      </c>
      <c r="G440" s="91">
        <v>4.0</v>
      </c>
      <c r="H440" s="117"/>
    </row>
    <row r="441">
      <c r="A441" s="97">
        <v>45923.0</v>
      </c>
      <c r="B441" s="115" t="s">
        <v>1640</v>
      </c>
      <c r="C441" s="115" t="s">
        <v>1641</v>
      </c>
      <c r="D441" s="89" t="s">
        <v>700</v>
      </c>
      <c r="E441" s="89">
        <v>2029.0</v>
      </c>
      <c r="F441" s="116" t="s">
        <v>1642</v>
      </c>
      <c r="G441" s="91">
        <v>8.0</v>
      </c>
      <c r="H441" s="117"/>
    </row>
    <row r="442">
      <c r="A442" s="97">
        <v>45923.0</v>
      </c>
      <c r="B442" s="115" t="s">
        <v>1643</v>
      </c>
      <c r="C442" s="115" t="s">
        <v>1644</v>
      </c>
      <c r="D442" s="89" t="s">
        <v>1645</v>
      </c>
      <c r="E442" s="89">
        <v>2026.0</v>
      </c>
      <c r="F442" s="116" t="s">
        <v>1646</v>
      </c>
      <c r="G442" s="91">
        <v>12.0</v>
      </c>
      <c r="H442" s="117"/>
    </row>
    <row r="443">
      <c r="A443" s="97">
        <v>45923.0</v>
      </c>
      <c r="B443" s="115" t="s">
        <v>1002</v>
      </c>
      <c r="C443" s="115" t="s">
        <v>1003</v>
      </c>
      <c r="D443" s="89" t="s">
        <v>704</v>
      </c>
      <c r="E443" s="89">
        <v>2029.0</v>
      </c>
      <c r="F443" s="116" t="s">
        <v>1647</v>
      </c>
      <c r="G443" s="91">
        <v>12.0</v>
      </c>
      <c r="H443" s="117"/>
    </row>
    <row r="444">
      <c r="A444" s="97">
        <v>45923.0</v>
      </c>
      <c r="B444" s="115" t="s">
        <v>1648</v>
      </c>
      <c r="C444" s="115" t="s">
        <v>1649</v>
      </c>
      <c r="D444" s="89" t="s">
        <v>700</v>
      </c>
      <c r="E444" s="89">
        <v>2028.0</v>
      </c>
      <c r="F444" s="116" t="s">
        <v>1650</v>
      </c>
      <c r="G444" s="91">
        <v>1.0</v>
      </c>
      <c r="H444" s="117"/>
    </row>
    <row r="445">
      <c r="A445" s="97">
        <v>45923.0</v>
      </c>
      <c r="B445" s="115" t="s">
        <v>1651</v>
      </c>
      <c r="C445" s="115" t="s">
        <v>1652</v>
      </c>
      <c r="D445" s="89" t="s">
        <v>700</v>
      </c>
      <c r="E445" s="89">
        <v>2028.0</v>
      </c>
      <c r="F445" s="116" t="s">
        <v>1653</v>
      </c>
      <c r="G445" s="91">
        <v>1.0</v>
      </c>
      <c r="H445" s="117"/>
    </row>
    <row r="446">
      <c r="A446" s="97">
        <v>45923.0</v>
      </c>
      <c r="B446" s="115" t="s">
        <v>1654</v>
      </c>
      <c r="C446" s="115" t="s">
        <v>1655</v>
      </c>
      <c r="D446" s="89" t="s">
        <v>722</v>
      </c>
      <c r="E446" s="89">
        <v>2029.0</v>
      </c>
      <c r="F446" s="116" t="s">
        <v>1656</v>
      </c>
      <c r="G446" s="91">
        <v>2.0</v>
      </c>
      <c r="H446" s="117"/>
    </row>
    <row r="447">
      <c r="A447" s="97">
        <v>45923.0</v>
      </c>
      <c r="B447" s="115" t="s">
        <v>1657</v>
      </c>
      <c r="C447" s="115" t="s">
        <v>1658</v>
      </c>
      <c r="D447" s="89" t="s">
        <v>700</v>
      </c>
      <c r="E447" s="89">
        <v>2029.0</v>
      </c>
      <c r="F447" s="116" t="s">
        <v>1659</v>
      </c>
      <c r="G447" s="91">
        <v>9.0</v>
      </c>
      <c r="H447" s="117"/>
    </row>
    <row r="448">
      <c r="A448" s="97">
        <v>45923.0</v>
      </c>
      <c r="B448" s="89" t="s">
        <v>1431</v>
      </c>
      <c r="C448" s="89" t="s">
        <v>1432</v>
      </c>
      <c r="D448" s="89" t="s">
        <v>506</v>
      </c>
      <c r="E448" s="89">
        <v>2026.0</v>
      </c>
      <c r="F448" s="116" t="s">
        <v>1660</v>
      </c>
      <c r="G448" s="91">
        <v>6.0</v>
      </c>
      <c r="H448" s="117"/>
    </row>
    <row r="449">
      <c r="A449" s="97">
        <v>45923.0</v>
      </c>
      <c r="B449" s="89" t="s">
        <v>1477</v>
      </c>
      <c r="C449" s="115" t="s">
        <v>1478</v>
      </c>
      <c r="D449" s="89" t="s">
        <v>784</v>
      </c>
      <c r="E449" s="89">
        <v>2027.0</v>
      </c>
      <c r="F449" s="116" t="s">
        <v>1661</v>
      </c>
      <c r="G449" s="91">
        <v>11.0</v>
      </c>
      <c r="H449" s="117"/>
    </row>
    <row r="450">
      <c r="A450" s="97">
        <v>45923.0</v>
      </c>
      <c r="B450" s="89" t="s">
        <v>1389</v>
      </c>
      <c r="C450" s="89" t="s">
        <v>1390</v>
      </c>
      <c r="D450" s="89" t="s">
        <v>784</v>
      </c>
      <c r="E450" s="89">
        <v>2027.0</v>
      </c>
      <c r="F450" s="116" t="s">
        <v>1662</v>
      </c>
      <c r="G450" s="91">
        <v>7.0</v>
      </c>
      <c r="H450" s="117"/>
    </row>
    <row r="451">
      <c r="A451" s="97">
        <v>45930.0</v>
      </c>
      <c r="B451" s="115" t="s">
        <v>1576</v>
      </c>
      <c r="C451" s="115" t="s">
        <v>1577</v>
      </c>
      <c r="D451" s="89" t="s">
        <v>711</v>
      </c>
      <c r="E451" s="89">
        <v>2029.0</v>
      </c>
      <c r="F451" s="116" t="s">
        <v>1663</v>
      </c>
      <c r="G451" s="91">
        <v>10.0</v>
      </c>
      <c r="H451" s="117"/>
    </row>
    <row r="452">
      <c r="A452" s="97">
        <v>45930.0</v>
      </c>
      <c r="B452" s="115" t="s">
        <v>1664</v>
      </c>
      <c r="C452" s="115" t="s">
        <v>1120</v>
      </c>
      <c r="D452" s="89" t="s">
        <v>506</v>
      </c>
      <c r="E452" s="89">
        <v>2026.0</v>
      </c>
      <c r="F452" s="116" t="s">
        <v>1665</v>
      </c>
      <c r="G452" s="91">
        <v>32.0</v>
      </c>
      <c r="H452" s="117"/>
    </row>
    <row r="453">
      <c r="A453" s="97">
        <v>45930.0</v>
      </c>
      <c r="B453" s="115" t="s">
        <v>1232</v>
      </c>
      <c r="C453" s="115" t="s">
        <v>1233</v>
      </c>
      <c r="D453" s="89" t="s">
        <v>704</v>
      </c>
      <c r="E453" s="89">
        <v>2029.0</v>
      </c>
      <c r="F453" s="116" t="s">
        <v>1666</v>
      </c>
      <c r="G453" s="91">
        <v>11.0</v>
      </c>
      <c r="H453" s="117"/>
    </row>
    <row r="454">
      <c r="A454" s="97">
        <v>45930.0</v>
      </c>
      <c r="B454" s="100" t="s">
        <v>1667</v>
      </c>
      <c r="C454" s="100" t="s">
        <v>906</v>
      </c>
      <c r="D454" s="101" t="s">
        <v>722</v>
      </c>
      <c r="E454" s="89">
        <v>2029.0</v>
      </c>
      <c r="F454" s="116" t="s">
        <v>1668</v>
      </c>
      <c r="G454" s="91">
        <v>14.0</v>
      </c>
      <c r="H454" s="117"/>
    </row>
    <row r="455">
      <c r="A455" s="97">
        <v>45930.0</v>
      </c>
      <c r="B455" s="89" t="s">
        <v>905</v>
      </c>
      <c r="C455" s="89" t="s">
        <v>1518</v>
      </c>
      <c r="D455" s="89" t="s">
        <v>506</v>
      </c>
      <c r="E455" s="89">
        <v>2027.0</v>
      </c>
      <c r="F455" s="116" t="s">
        <v>1669</v>
      </c>
      <c r="G455" s="91">
        <v>7.0</v>
      </c>
      <c r="H455" s="117"/>
    </row>
    <row r="456">
      <c r="A456" s="97">
        <v>45930.0</v>
      </c>
      <c r="B456" s="89" t="s">
        <v>1453</v>
      </c>
      <c r="C456" s="89" t="s">
        <v>1454</v>
      </c>
      <c r="D456" s="89" t="s">
        <v>506</v>
      </c>
      <c r="E456" s="89">
        <v>2027.0</v>
      </c>
      <c r="F456" s="116" t="s">
        <v>1670</v>
      </c>
      <c r="G456" s="91">
        <v>1.0</v>
      </c>
      <c r="H456" s="117"/>
    </row>
    <row r="457">
      <c r="A457" s="97">
        <v>45930.0</v>
      </c>
      <c r="B457" s="89" t="s">
        <v>1550</v>
      </c>
      <c r="C457" s="89" t="s">
        <v>1551</v>
      </c>
      <c r="D457" s="89" t="s">
        <v>700</v>
      </c>
      <c r="E457" s="89">
        <v>2028.0</v>
      </c>
      <c r="F457" s="116" t="s">
        <v>1671</v>
      </c>
      <c r="G457" s="118"/>
      <c r="H457" s="117"/>
    </row>
    <row r="458">
      <c r="A458" s="97">
        <v>45930.0</v>
      </c>
      <c r="B458" s="89" t="s">
        <v>1368</v>
      </c>
      <c r="C458" s="89" t="s">
        <v>1369</v>
      </c>
      <c r="D458" s="89" t="s">
        <v>700</v>
      </c>
      <c r="E458" s="89">
        <v>2028.0</v>
      </c>
      <c r="F458" s="116" t="s">
        <v>1672</v>
      </c>
      <c r="G458" s="91">
        <v>17.0</v>
      </c>
      <c r="H458" s="117"/>
    </row>
    <row r="459">
      <c r="A459" s="97">
        <v>45930.0</v>
      </c>
      <c r="B459" s="89" t="s">
        <v>1354</v>
      </c>
      <c r="C459" s="89" t="s">
        <v>1355</v>
      </c>
      <c r="D459" s="89" t="s">
        <v>784</v>
      </c>
      <c r="E459" s="89">
        <v>2026.0</v>
      </c>
      <c r="F459" s="116" t="s">
        <v>1673</v>
      </c>
      <c r="G459" s="91">
        <v>5.0</v>
      </c>
      <c r="H459" s="117"/>
    </row>
    <row r="460">
      <c r="A460" s="97">
        <v>45930.0</v>
      </c>
      <c r="B460" s="89" t="s">
        <v>1435</v>
      </c>
      <c r="C460" s="89" t="s">
        <v>1436</v>
      </c>
      <c r="D460" s="89" t="s">
        <v>700</v>
      </c>
      <c r="E460" s="89">
        <v>2026.0</v>
      </c>
      <c r="F460" s="116" t="s">
        <v>1674</v>
      </c>
      <c r="G460" s="91">
        <v>5.0</v>
      </c>
      <c r="H460" s="117"/>
    </row>
    <row r="461">
      <c r="A461" s="97">
        <v>45930.0</v>
      </c>
      <c r="B461" s="115" t="s">
        <v>1640</v>
      </c>
      <c r="C461" s="115" t="s">
        <v>1641</v>
      </c>
      <c r="D461" s="89" t="s">
        <v>700</v>
      </c>
      <c r="E461" s="89">
        <v>2029.0</v>
      </c>
      <c r="F461" s="116" t="s">
        <v>1596</v>
      </c>
      <c r="G461" s="91">
        <v>9.0</v>
      </c>
      <c r="H461" s="117"/>
    </row>
    <row r="462">
      <c r="A462" s="97">
        <v>45930.0</v>
      </c>
      <c r="B462" s="115" t="s">
        <v>1675</v>
      </c>
      <c r="C462" s="115" t="s">
        <v>1676</v>
      </c>
      <c r="D462" s="89" t="s">
        <v>784</v>
      </c>
      <c r="E462" s="89">
        <v>2027.0</v>
      </c>
      <c r="F462" s="116" t="s">
        <v>1677</v>
      </c>
      <c r="G462" s="91">
        <v>4.0</v>
      </c>
      <c r="H462" s="117"/>
    </row>
    <row r="463">
      <c r="A463" s="97">
        <v>45930.0</v>
      </c>
      <c r="B463" s="89" t="s">
        <v>1389</v>
      </c>
      <c r="C463" s="89" t="s">
        <v>1390</v>
      </c>
      <c r="D463" s="89" t="s">
        <v>784</v>
      </c>
      <c r="E463" s="89">
        <v>2027.0</v>
      </c>
      <c r="F463" s="116" t="s">
        <v>1678</v>
      </c>
      <c r="G463" s="91">
        <v>8.0</v>
      </c>
      <c r="H463" s="117"/>
    </row>
    <row r="464">
      <c r="A464" s="97">
        <v>45930.0</v>
      </c>
      <c r="B464" s="101" t="s">
        <v>1011</v>
      </c>
      <c r="C464" s="101" t="s">
        <v>1012</v>
      </c>
      <c r="D464" s="101" t="s">
        <v>722</v>
      </c>
      <c r="E464" s="89">
        <v>2029.0</v>
      </c>
      <c r="F464" s="116" t="s">
        <v>1679</v>
      </c>
      <c r="G464" s="91">
        <v>20.0</v>
      </c>
      <c r="H464" s="117"/>
    </row>
    <row r="465">
      <c r="A465" s="97">
        <v>45930.0</v>
      </c>
      <c r="B465" s="101" t="s">
        <v>1008</v>
      </c>
      <c r="C465" s="101" t="s">
        <v>1009</v>
      </c>
      <c r="D465" s="101" t="s">
        <v>722</v>
      </c>
      <c r="E465" s="89">
        <v>2029.0</v>
      </c>
      <c r="F465" s="116" t="s">
        <v>1680</v>
      </c>
      <c r="G465" s="91">
        <v>19.0</v>
      </c>
      <c r="H465" s="117"/>
    </row>
    <row r="466">
      <c r="A466" s="97">
        <v>45934.0</v>
      </c>
      <c r="B466" s="115" t="s">
        <v>1055</v>
      </c>
      <c r="C466" s="115" t="s">
        <v>1056</v>
      </c>
      <c r="D466" s="89" t="s">
        <v>715</v>
      </c>
      <c r="E466" s="89">
        <v>2026.0</v>
      </c>
      <c r="F466" s="116" t="s">
        <v>1681</v>
      </c>
      <c r="G466" s="91">
        <v>16.0</v>
      </c>
      <c r="H466" s="117"/>
    </row>
    <row r="467">
      <c r="A467" s="97">
        <v>45937.0</v>
      </c>
      <c r="B467" s="101" t="s">
        <v>766</v>
      </c>
      <c r="C467" s="101" t="s">
        <v>767</v>
      </c>
      <c r="D467" s="101" t="s">
        <v>722</v>
      </c>
      <c r="E467" s="89">
        <v>2028.0</v>
      </c>
      <c r="F467" s="116" t="s">
        <v>1682</v>
      </c>
      <c r="G467" s="91">
        <v>29.0</v>
      </c>
      <c r="H467" s="117"/>
    </row>
    <row r="468">
      <c r="A468" s="97">
        <v>45937.0</v>
      </c>
      <c r="B468" s="103" t="s">
        <v>813</v>
      </c>
      <c r="C468" s="103" t="s">
        <v>814</v>
      </c>
      <c r="D468" s="101" t="s">
        <v>722</v>
      </c>
      <c r="E468" s="89">
        <v>2029.0</v>
      </c>
      <c r="F468" s="116" t="s">
        <v>1683</v>
      </c>
      <c r="G468" s="91">
        <v>15.0</v>
      </c>
      <c r="H468" s="117"/>
    </row>
    <row r="469">
      <c r="A469" s="97">
        <v>45937.0</v>
      </c>
      <c r="B469" s="89" t="s">
        <v>1493</v>
      </c>
      <c r="C469" s="89" t="s">
        <v>1494</v>
      </c>
      <c r="D469" s="89" t="s">
        <v>711</v>
      </c>
      <c r="E469" s="89">
        <v>2026.0</v>
      </c>
      <c r="F469" s="116" t="s">
        <v>1684</v>
      </c>
      <c r="G469" s="91">
        <v>6.0</v>
      </c>
      <c r="H469" s="117"/>
    </row>
    <row r="470">
      <c r="A470" s="97">
        <v>45937.0</v>
      </c>
      <c r="B470" s="115" t="s">
        <v>1640</v>
      </c>
      <c r="C470" s="115" t="s">
        <v>1641</v>
      </c>
      <c r="D470" s="89" t="s">
        <v>700</v>
      </c>
      <c r="E470" s="89">
        <v>2029.0</v>
      </c>
      <c r="F470" s="116" t="s">
        <v>1685</v>
      </c>
      <c r="G470" s="91">
        <v>6.0</v>
      </c>
      <c r="H470" s="117"/>
    </row>
    <row r="471">
      <c r="A471" s="97">
        <v>45937.0</v>
      </c>
      <c r="B471" s="115" t="s">
        <v>1686</v>
      </c>
      <c r="C471" s="115" t="s">
        <v>1687</v>
      </c>
      <c r="D471" s="89" t="s">
        <v>700</v>
      </c>
      <c r="E471" s="89">
        <v>2029.0</v>
      </c>
      <c r="F471" s="116" t="s">
        <v>1688</v>
      </c>
      <c r="G471" s="91">
        <v>9.0</v>
      </c>
      <c r="H471" s="117"/>
    </row>
    <row r="472">
      <c r="A472" s="97">
        <v>45937.0</v>
      </c>
      <c r="B472" s="115" t="s">
        <v>1689</v>
      </c>
      <c r="C472" s="115" t="s">
        <v>1690</v>
      </c>
      <c r="D472" s="89" t="s">
        <v>722</v>
      </c>
      <c r="E472" s="89">
        <v>2029.0</v>
      </c>
      <c r="F472" s="116" t="s">
        <v>1691</v>
      </c>
      <c r="G472" s="91">
        <v>6.0</v>
      </c>
      <c r="H472" s="117"/>
    </row>
    <row r="473">
      <c r="A473" s="97">
        <v>45937.0</v>
      </c>
      <c r="B473" s="89" t="s">
        <v>1311</v>
      </c>
      <c r="C473" s="89" t="s">
        <v>1312</v>
      </c>
      <c r="D473" s="89" t="s">
        <v>704</v>
      </c>
      <c r="E473" s="89">
        <v>2029.0</v>
      </c>
      <c r="F473" s="116" t="s">
        <v>1692</v>
      </c>
      <c r="G473" s="91">
        <v>5.0</v>
      </c>
      <c r="H473" s="117"/>
    </row>
    <row r="474">
      <c r="A474" s="97">
        <v>45937.0</v>
      </c>
      <c r="B474" s="89" t="s">
        <v>1431</v>
      </c>
      <c r="C474" s="89" t="s">
        <v>1432</v>
      </c>
      <c r="D474" s="89" t="s">
        <v>506</v>
      </c>
      <c r="E474" s="89">
        <v>2026.0</v>
      </c>
      <c r="F474" s="116" t="s">
        <v>1693</v>
      </c>
      <c r="G474" s="91">
        <v>3.0</v>
      </c>
      <c r="H474" s="117"/>
    </row>
    <row r="475">
      <c r="A475" s="97">
        <v>45937.0</v>
      </c>
      <c r="B475" s="115" t="s">
        <v>1694</v>
      </c>
      <c r="C475" s="115" t="s">
        <v>1695</v>
      </c>
      <c r="D475" s="89" t="s">
        <v>711</v>
      </c>
      <c r="E475" s="89">
        <v>2028.0</v>
      </c>
      <c r="F475" s="116" t="s">
        <v>1696</v>
      </c>
      <c r="G475" s="91">
        <v>32.0</v>
      </c>
      <c r="H475" s="117"/>
    </row>
    <row r="476">
      <c r="A476" s="97">
        <v>45937.0</v>
      </c>
      <c r="B476" s="115" t="s">
        <v>1697</v>
      </c>
      <c r="C476" s="115" t="s">
        <v>1698</v>
      </c>
      <c r="D476" s="89" t="s">
        <v>700</v>
      </c>
      <c r="E476" s="89">
        <v>2028.0</v>
      </c>
      <c r="F476" s="116" t="s">
        <v>1699</v>
      </c>
      <c r="G476" s="91">
        <v>5.0</v>
      </c>
      <c r="H476" s="117"/>
    </row>
    <row r="477">
      <c r="A477" s="97">
        <v>45937.0</v>
      </c>
      <c r="B477" s="89" t="s">
        <v>1564</v>
      </c>
      <c r="C477" s="89" t="s">
        <v>1700</v>
      </c>
      <c r="D477" s="89" t="s">
        <v>506</v>
      </c>
      <c r="E477" s="89">
        <v>2027.0</v>
      </c>
      <c r="F477" s="116" t="s">
        <v>1701</v>
      </c>
      <c r="G477" s="91">
        <v>22.0</v>
      </c>
      <c r="H477" s="117"/>
    </row>
    <row r="478">
      <c r="A478" s="97">
        <v>45937.0</v>
      </c>
      <c r="B478" s="115" t="s">
        <v>944</v>
      </c>
      <c r="C478" s="115" t="s">
        <v>945</v>
      </c>
      <c r="D478" s="89" t="s">
        <v>704</v>
      </c>
      <c r="E478" s="89">
        <v>2029.0</v>
      </c>
      <c r="F478" s="116" t="s">
        <v>1702</v>
      </c>
      <c r="G478" s="91">
        <v>5.0</v>
      </c>
      <c r="H478" s="117"/>
    </row>
    <row r="479">
      <c r="A479" s="97">
        <v>45937.0</v>
      </c>
      <c r="B479" s="115" t="s">
        <v>792</v>
      </c>
      <c r="C479" s="115" t="s">
        <v>793</v>
      </c>
      <c r="D479" s="89" t="s">
        <v>704</v>
      </c>
      <c r="E479" s="89">
        <v>2029.0</v>
      </c>
      <c r="F479" s="116" t="s">
        <v>1703</v>
      </c>
      <c r="G479" s="91">
        <v>1.0</v>
      </c>
      <c r="H479" s="117"/>
    </row>
    <row r="480">
      <c r="A480" s="97">
        <v>45943.0</v>
      </c>
      <c r="B480" s="115" t="s">
        <v>1155</v>
      </c>
      <c r="C480" s="115" t="s">
        <v>1156</v>
      </c>
      <c r="D480" s="89" t="s">
        <v>722</v>
      </c>
      <c r="E480" s="89">
        <v>2029.0</v>
      </c>
      <c r="F480" s="116" t="s">
        <v>1704</v>
      </c>
      <c r="G480" s="91">
        <v>1.0</v>
      </c>
      <c r="H480" s="117"/>
    </row>
    <row r="481">
      <c r="A481" s="97">
        <v>45943.0</v>
      </c>
      <c r="B481" s="115" t="s">
        <v>1705</v>
      </c>
      <c r="C481" s="115" t="s">
        <v>1706</v>
      </c>
      <c r="D481" s="89" t="s">
        <v>700</v>
      </c>
      <c r="E481" s="89">
        <v>2028.0</v>
      </c>
      <c r="F481" s="116" t="s">
        <v>1707</v>
      </c>
      <c r="G481" s="91">
        <v>22.0</v>
      </c>
      <c r="H481" s="117"/>
    </row>
    <row r="482">
      <c r="A482" s="97">
        <v>45943.0</v>
      </c>
      <c r="B482" s="115" t="s">
        <v>1286</v>
      </c>
      <c r="C482" s="115" t="s">
        <v>1287</v>
      </c>
      <c r="D482" s="89" t="s">
        <v>700</v>
      </c>
      <c r="E482" s="89">
        <v>2028.0</v>
      </c>
      <c r="F482" s="116" t="s">
        <v>1708</v>
      </c>
      <c r="G482" s="91">
        <v>8.0</v>
      </c>
      <c r="H482" s="117"/>
    </row>
    <row r="483">
      <c r="A483" s="97">
        <v>45943.0</v>
      </c>
      <c r="B483" s="115" t="s">
        <v>1709</v>
      </c>
      <c r="C483" s="115" t="s">
        <v>1710</v>
      </c>
      <c r="D483" s="89" t="s">
        <v>700</v>
      </c>
      <c r="E483" s="89">
        <v>2028.0</v>
      </c>
      <c r="F483" s="116" t="s">
        <v>1711</v>
      </c>
      <c r="G483" s="91">
        <v>1.0</v>
      </c>
      <c r="H483" s="117"/>
    </row>
    <row r="484">
      <c r="A484" s="97">
        <v>45943.0</v>
      </c>
      <c r="B484" s="115" t="s">
        <v>1712</v>
      </c>
      <c r="C484" s="115" t="s">
        <v>1713</v>
      </c>
      <c r="D484" s="89" t="s">
        <v>506</v>
      </c>
      <c r="E484" s="89">
        <v>2028.0</v>
      </c>
      <c r="F484" s="116" t="s">
        <v>1714</v>
      </c>
      <c r="G484" s="91">
        <v>4.0</v>
      </c>
      <c r="H484" s="117"/>
    </row>
    <row r="485">
      <c r="A485" s="97">
        <v>45944.0</v>
      </c>
      <c r="B485" s="115" t="s">
        <v>1715</v>
      </c>
      <c r="C485" s="115" t="s">
        <v>1716</v>
      </c>
      <c r="D485" s="89" t="s">
        <v>700</v>
      </c>
      <c r="E485" s="89">
        <v>2028.0</v>
      </c>
      <c r="F485" s="116" t="s">
        <v>1717</v>
      </c>
      <c r="G485" s="91">
        <v>3.0</v>
      </c>
      <c r="H485" s="117"/>
    </row>
    <row r="486">
      <c r="A486" s="97">
        <v>45944.0</v>
      </c>
      <c r="B486" s="115" t="s">
        <v>1712</v>
      </c>
      <c r="C486" s="115" t="s">
        <v>1713</v>
      </c>
      <c r="D486" s="89" t="s">
        <v>506</v>
      </c>
      <c r="E486" s="89">
        <v>2028.0</v>
      </c>
      <c r="F486" s="116" t="s">
        <v>1718</v>
      </c>
      <c r="G486" s="91">
        <v>3.0</v>
      </c>
      <c r="H486" s="117"/>
    </row>
    <row r="487">
      <c r="A487" s="97">
        <v>45944.0</v>
      </c>
      <c r="B487" s="115" t="s">
        <v>1286</v>
      </c>
      <c r="C487" s="115" t="s">
        <v>1287</v>
      </c>
      <c r="D487" s="89" t="s">
        <v>700</v>
      </c>
      <c r="E487" s="89">
        <v>2028.0</v>
      </c>
      <c r="F487" s="116" t="s">
        <v>1719</v>
      </c>
      <c r="G487" s="91">
        <v>1.0</v>
      </c>
      <c r="H487" s="117"/>
    </row>
    <row r="488">
      <c r="A488" s="97">
        <v>45944.0</v>
      </c>
      <c r="B488" s="115" t="s">
        <v>1709</v>
      </c>
      <c r="C488" s="115" t="s">
        <v>1710</v>
      </c>
      <c r="D488" s="89" t="s">
        <v>700</v>
      </c>
      <c r="E488" s="89">
        <v>2028.0</v>
      </c>
      <c r="F488" s="116" t="s">
        <v>1720</v>
      </c>
      <c r="G488" s="91">
        <v>1.0</v>
      </c>
      <c r="H488" s="117"/>
    </row>
    <row r="489">
      <c r="A489" s="97">
        <v>45950.0</v>
      </c>
      <c r="B489" s="115" t="s">
        <v>1721</v>
      </c>
      <c r="C489" s="115" t="s">
        <v>1722</v>
      </c>
      <c r="D489" s="89" t="s">
        <v>695</v>
      </c>
      <c r="E489" s="89" t="s">
        <v>696</v>
      </c>
      <c r="F489" s="119" t="s">
        <v>1723</v>
      </c>
      <c r="G489" s="91">
        <v>4.0</v>
      </c>
      <c r="H489" s="117"/>
    </row>
    <row r="490">
      <c r="A490" s="97">
        <v>45951.0</v>
      </c>
      <c r="B490" s="115" t="s">
        <v>1088</v>
      </c>
      <c r="C490" s="115" t="s">
        <v>1089</v>
      </c>
      <c r="D490" s="89" t="s">
        <v>784</v>
      </c>
      <c r="E490" s="89">
        <v>2026.0</v>
      </c>
      <c r="F490" s="116" t="s">
        <v>1724</v>
      </c>
      <c r="G490" s="91">
        <v>1.0</v>
      </c>
      <c r="H490" s="117"/>
    </row>
    <row r="491">
      <c r="A491" s="97">
        <v>45951.0</v>
      </c>
      <c r="B491" s="115" t="s">
        <v>1725</v>
      </c>
      <c r="C491" s="115" t="s">
        <v>1726</v>
      </c>
      <c r="D491" s="89" t="s">
        <v>784</v>
      </c>
      <c r="E491" s="89">
        <v>2026.0</v>
      </c>
      <c r="F491" s="116" t="s">
        <v>1727</v>
      </c>
      <c r="G491" s="91">
        <v>9.0</v>
      </c>
      <c r="H491" s="117"/>
    </row>
    <row r="492">
      <c r="A492" s="97">
        <v>45951.0</v>
      </c>
      <c r="B492" s="89" t="s">
        <v>1368</v>
      </c>
      <c r="C492" s="89" t="s">
        <v>1369</v>
      </c>
      <c r="D492" s="89" t="s">
        <v>700</v>
      </c>
      <c r="E492" s="89">
        <v>2028.0</v>
      </c>
      <c r="F492" s="116" t="s">
        <v>1728</v>
      </c>
      <c r="G492" s="91">
        <v>6.0</v>
      </c>
      <c r="H492" s="117"/>
    </row>
    <row r="493">
      <c r="A493" s="97">
        <v>45951.0</v>
      </c>
      <c r="B493" s="115" t="s">
        <v>1729</v>
      </c>
      <c r="C493" s="115" t="s">
        <v>1730</v>
      </c>
      <c r="D493" s="89" t="s">
        <v>1165</v>
      </c>
      <c r="E493" s="89">
        <v>2027.0</v>
      </c>
      <c r="F493" s="116" t="s">
        <v>1731</v>
      </c>
      <c r="G493" s="91">
        <v>1.0</v>
      </c>
      <c r="H493" s="117"/>
    </row>
    <row r="494">
      <c r="A494" s="97">
        <v>45951.0</v>
      </c>
      <c r="B494" s="89" t="s">
        <v>1354</v>
      </c>
      <c r="C494" s="89" t="s">
        <v>1355</v>
      </c>
      <c r="D494" s="89" t="s">
        <v>784</v>
      </c>
      <c r="E494" s="89">
        <v>2026.0</v>
      </c>
      <c r="F494" s="116" t="s">
        <v>1732</v>
      </c>
      <c r="G494" s="91">
        <v>3.0</v>
      </c>
      <c r="H494" s="117"/>
    </row>
    <row r="495">
      <c r="A495" s="97">
        <v>45951.0</v>
      </c>
      <c r="B495" s="115" t="s">
        <v>1725</v>
      </c>
      <c r="C495" s="115" t="s">
        <v>1726</v>
      </c>
      <c r="D495" s="89" t="s">
        <v>784</v>
      </c>
      <c r="E495" s="89">
        <v>2026.0</v>
      </c>
      <c r="F495" s="116" t="s">
        <v>1733</v>
      </c>
      <c r="G495" s="91">
        <v>2.0</v>
      </c>
      <c r="H495" s="117"/>
    </row>
    <row r="496">
      <c r="A496" s="97">
        <v>45951.0</v>
      </c>
      <c r="B496" s="89" t="s">
        <v>1734</v>
      </c>
      <c r="C496" s="89" t="s">
        <v>1536</v>
      </c>
      <c r="D496" s="89" t="s">
        <v>700</v>
      </c>
      <c r="E496" s="89">
        <v>2028.0</v>
      </c>
      <c r="F496" s="116" t="s">
        <v>1735</v>
      </c>
      <c r="G496" s="91">
        <v>22.0</v>
      </c>
      <c r="H496" s="117"/>
    </row>
    <row r="497">
      <c r="A497" s="97">
        <v>45951.0</v>
      </c>
      <c r="B497" s="115" t="s">
        <v>1736</v>
      </c>
      <c r="C497" s="115" t="s">
        <v>1737</v>
      </c>
      <c r="D497" s="89" t="s">
        <v>700</v>
      </c>
      <c r="E497" s="89">
        <v>2028.0</v>
      </c>
      <c r="F497" s="116" t="s">
        <v>1738</v>
      </c>
      <c r="G497" s="91">
        <v>1.0</v>
      </c>
      <c r="H497" s="117"/>
    </row>
    <row r="498">
      <c r="A498" s="97">
        <v>45951.0</v>
      </c>
      <c r="B498" s="89" t="s">
        <v>1533</v>
      </c>
      <c r="C498" s="89" t="s">
        <v>1534</v>
      </c>
      <c r="D498" s="89" t="s">
        <v>711</v>
      </c>
      <c r="E498" s="89">
        <v>2029.0</v>
      </c>
      <c r="F498" s="116" t="s">
        <v>1739</v>
      </c>
      <c r="G498" s="91">
        <v>9.0</v>
      </c>
      <c r="H498" s="117"/>
    </row>
    <row r="499">
      <c r="A499" s="97">
        <v>45951.0</v>
      </c>
      <c r="B499" s="115" t="s">
        <v>1740</v>
      </c>
      <c r="C499" s="115" t="s">
        <v>1741</v>
      </c>
      <c r="D499" s="89" t="s">
        <v>711</v>
      </c>
      <c r="E499" s="89">
        <v>2029.0</v>
      </c>
      <c r="F499" s="116" t="s">
        <v>1742</v>
      </c>
      <c r="G499" s="91">
        <v>12.0</v>
      </c>
      <c r="H499" s="117"/>
    </row>
    <row r="500">
      <c r="A500" s="97">
        <v>45951.0</v>
      </c>
      <c r="B500" s="89" t="s">
        <v>1389</v>
      </c>
      <c r="C500" s="89" t="s">
        <v>1390</v>
      </c>
      <c r="D500" s="89" t="s">
        <v>784</v>
      </c>
      <c r="E500" s="89">
        <v>2027.0</v>
      </c>
      <c r="F500" s="119" t="s">
        <v>1743</v>
      </c>
      <c r="G500" s="91">
        <v>11.0</v>
      </c>
      <c r="H500" s="117"/>
    </row>
    <row r="501">
      <c r="A501" s="97">
        <v>45954.0</v>
      </c>
      <c r="B501" s="115" t="s">
        <v>1371</v>
      </c>
      <c r="C501" s="115" t="s">
        <v>1372</v>
      </c>
      <c r="D501" s="89" t="s">
        <v>700</v>
      </c>
      <c r="E501" s="89">
        <v>2026.0</v>
      </c>
      <c r="F501" s="116" t="s">
        <v>1744</v>
      </c>
      <c r="G501" s="91">
        <v>13.0</v>
      </c>
      <c r="H501" s="117"/>
    </row>
    <row r="502">
      <c r="A502" s="97">
        <v>45954.0</v>
      </c>
      <c r="B502" s="115" t="s">
        <v>1338</v>
      </c>
      <c r="C502" s="115" t="s">
        <v>1339</v>
      </c>
      <c r="D502" s="89" t="s">
        <v>700</v>
      </c>
      <c r="E502" s="89">
        <v>2028.0</v>
      </c>
      <c r="F502" s="116" t="s">
        <v>1745</v>
      </c>
      <c r="G502" s="91">
        <v>7.0</v>
      </c>
      <c r="H502" s="117"/>
    </row>
    <row r="503">
      <c r="A503" s="97">
        <v>45954.0</v>
      </c>
      <c r="B503" s="115" t="s">
        <v>1746</v>
      </c>
      <c r="C503" s="115" t="s">
        <v>1747</v>
      </c>
      <c r="D503" s="89" t="s">
        <v>715</v>
      </c>
      <c r="E503" s="89">
        <v>2027.0</v>
      </c>
      <c r="F503" s="116" t="s">
        <v>1748</v>
      </c>
      <c r="G503" s="91">
        <v>5.0</v>
      </c>
      <c r="H503" s="117"/>
    </row>
    <row r="504">
      <c r="A504" s="97">
        <v>45954.0</v>
      </c>
      <c r="B504" s="115" t="s">
        <v>698</v>
      </c>
      <c r="C504" s="115" t="s">
        <v>699</v>
      </c>
      <c r="D504" s="89" t="s">
        <v>700</v>
      </c>
      <c r="E504" s="89">
        <v>2028.0</v>
      </c>
      <c r="F504" s="116" t="s">
        <v>1749</v>
      </c>
      <c r="G504" s="91">
        <v>12.0</v>
      </c>
      <c r="H504" s="117"/>
    </row>
    <row r="505">
      <c r="A505" s="97">
        <v>45954.0</v>
      </c>
      <c r="B505" s="115" t="s">
        <v>1750</v>
      </c>
      <c r="C505" s="115" t="s">
        <v>1751</v>
      </c>
      <c r="D505" s="89" t="s">
        <v>506</v>
      </c>
      <c r="E505" s="89">
        <v>2027.0</v>
      </c>
      <c r="F505" s="116" t="s">
        <v>1752</v>
      </c>
      <c r="G505" s="91">
        <v>5.0</v>
      </c>
      <c r="H505" s="117"/>
    </row>
    <row r="506">
      <c r="A506" s="97">
        <v>45954.0</v>
      </c>
      <c r="B506" s="115" t="s">
        <v>1328</v>
      </c>
      <c r="C506" s="115" t="s">
        <v>1753</v>
      </c>
      <c r="D506" s="89" t="s">
        <v>1305</v>
      </c>
      <c r="E506" s="89">
        <v>2028.0</v>
      </c>
      <c r="F506" s="119" t="s">
        <v>1754</v>
      </c>
      <c r="G506" s="91">
        <v>9.0</v>
      </c>
      <c r="H506" s="117"/>
    </row>
    <row r="507">
      <c r="A507" s="97">
        <v>45954.0</v>
      </c>
      <c r="B507" s="115" t="s">
        <v>1755</v>
      </c>
      <c r="C507" s="115" t="s">
        <v>1308</v>
      </c>
      <c r="D507" s="89" t="s">
        <v>722</v>
      </c>
      <c r="E507" s="89">
        <v>2029.0</v>
      </c>
      <c r="F507" s="116" t="s">
        <v>1756</v>
      </c>
      <c r="G507" s="91">
        <v>1.0</v>
      </c>
      <c r="H507" s="117"/>
    </row>
    <row r="508">
      <c r="A508" s="97">
        <v>45954.0</v>
      </c>
      <c r="B508" s="115" t="s">
        <v>1757</v>
      </c>
      <c r="C508" s="115" t="s">
        <v>1332</v>
      </c>
      <c r="D508" s="89" t="s">
        <v>1305</v>
      </c>
      <c r="E508" s="89">
        <v>2028.0</v>
      </c>
      <c r="F508" s="116" t="s">
        <v>1758</v>
      </c>
      <c r="G508" s="91">
        <v>6.0</v>
      </c>
      <c r="H508" s="117"/>
    </row>
    <row r="509">
      <c r="A509" s="97">
        <v>45954.0</v>
      </c>
      <c r="B509" s="115" t="s">
        <v>1439</v>
      </c>
      <c r="C509" s="115" t="s">
        <v>1440</v>
      </c>
      <c r="D509" s="89" t="s">
        <v>506</v>
      </c>
      <c r="E509" s="89">
        <v>2027.0</v>
      </c>
      <c r="F509" s="116" t="s">
        <v>1759</v>
      </c>
      <c r="G509" s="91">
        <v>27.0</v>
      </c>
      <c r="H509" s="117"/>
    </row>
    <row r="510">
      <c r="A510" s="97">
        <v>45955.0</v>
      </c>
      <c r="B510" s="115" t="s">
        <v>748</v>
      </c>
      <c r="C510" s="115" t="s">
        <v>749</v>
      </c>
      <c r="D510" s="89" t="s">
        <v>711</v>
      </c>
      <c r="E510" s="89">
        <v>2029.0</v>
      </c>
      <c r="F510" s="116" t="s">
        <v>1760</v>
      </c>
      <c r="G510" s="91">
        <v>24.0</v>
      </c>
      <c r="H510" s="117"/>
    </row>
    <row r="511">
      <c r="A511" s="97">
        <v>45955.0</v>
      </c>
      <c r="B511" s="115" t="s">
        <v>1270</v>
      </c>
      <c r="C511" s="115" t="s">
        <v>1761</v>
      </c>
      <c r="D511" s="89" t="s">
        <v>715</v>
      </c>
      <c r="E511" s="89">
        <v>2026.0</v>
      </c>
      <c r="F511" s="116" t="s">
        <v>1762</v>
      </c>
      <c r="G511" s="91">
        <v>34.0</v>
      </c>
      <c r="H511" s="117"/>
    </row>
    <row r="512">
      <c r="A512" s="97">
        <v>45955.0</v>
      </c>
      <c r="B512" s="115" t="s">
        <v>673</v>
      </c>
      <c r="C512" s="115" t="s">
        <v>558</v>
      </c>
      <c r="D512" s="89" t="s">
        <v>700</v>
      </c>
      <c r="E512" s="89">
        <v>2024.0</v>
      </c>
      <c r="F512" s="119" t="s">
        <v>1763</v>
      </c>
      <c r="G512" s="91">
        <v>14.0</v>
      </c>
      <c r="H512" s="117"/>
    </row>
    <row r="513">
      <c r="A513" s="97">
        <v>45958.0</v>
      </c>
      <c r="B513" s="115" t="s">
        <v>1675</v>
      </c>
      <c r="C513" s="115" t="s">
        <v>1676</v>
      </c>
      <c r="D513" s="89" t="s">
        <v>784</v>
      </c>
      <c r="E513" s="89">
        <v>2027.0</v>
      </c>
      <c r="F513" s="116" t="s">
        <v>1764</v>
      </c>
      <c r="G513" s="91">
        <v>13.0</v>
      </c>
      <c r="H513" s="117"/>
    </row>
    <row r="514">
      <c r="A514" s="97">
        <v>45958.0</v>
      </c>
      <c r="B514" s="89" t="s">
        <v>1371</v>
      </c>
      <c r="C514" s="89" t="s">
        <v>1372</v>
      </c>
      <c r="D514" s="89" t="s">
        <v>700</v>
      </c>
      <c r="E514" s="89">
        <v>2026.0</v>
      </c>
      <c r="F514" s="116" t="s">
        <v>1765</v>
      </c>
      <c r="G514" s="91">
        <v>5.0</v>
      </c>
      <c r="H514" s="117"/>
    </row>
    <row r="515">
      <c r="A515" s="97">
        <v>45958.0</v>
      </c>
      <c r="B515" s="89" t="s">
        <v>1493</v>
      </c>
      <c r="C515" s="89" t="s">
        <v>1494</v>
      </c>
      <c r="D515" s="89" t="s">
        <v>711</v>
      </c>
      <c r="E515" s="89">
        <v>2026.0</v>
      </c>
      <c r="F515" s="116" t="s">
        <v>1766</v>
      </c>
      <c r="G515" s="91">
        <v>4.0</v>
      </c>
      <c r="H515" s="117"/>
    </row>
    <row r="516">
      <c r="A516" s="97">
        <v>45958.0</v>
      </c>
      <c r="B516" s="115" t="s">
        <v>1767</v>
      </c>
      <c r="C516" s="115" t="s">
        <v>918</v>
      </c>
      <c r="D516" s="89" t="s">
        <v>704</v>
      </c>
      <c r="E516" s="89">
        <v>2029.0</v>
      </c>
      <c r="F516" s="116" t="s">
        <v>1768</v>
      </c>
      <c r="G516" s="91">
        <v>13.0</v>
      </c>
      <c r="H516" s="117"/>
    </row>
    <row r="517">
      <c r="A517" s="97">
        <v>45958.0</v>
      </c>
      <c r="B517" s="115" t="s">
        <v>1769</v>
      </c>
      <c r="C517" s="115" t="s">
        <v>1770</v>
      </c>
      <c r="D517" s="89" t="s">
        <v>506</v>
      </c>
      <c r="E517" s="89">
        <v>2027.0</v>
      </c>
      <c r="F517" s="116" t="s">
        <v>1771</v>
      </c>
      <c r="G517" s="91">
        <v>5.0</v>
      </c>
      <c r="H517" s="117"/>
    </row>
    <row r="518">
      <c r="A518" s="97">
        <v>45958.0</v>
      </c>
      <c r="B518" s="115" t="s">
        <v>1694</v>
      </c>
      <c r="C518" s="115" t="s">
        <v>1695</v>
      </c>
      <c r="D518" s="89" t="s">
        <v>711</v>
      </c>
      <c r="E518" s="89">
        <v>2028.0</v>
      </c>
      <c r="F518" s="116" t="s">
        <v>1772</v>
      </c>
      <c r="G518" s="91">
        <v>1.0</v>
      </c>
      <c r="H518" s="117"/>
    </row>
    <row r="519">
      <c r="A519" s="97">
        <v>45958.0</v>
      </c>
      <c r="B519" s="89" t="s">
        <v>1489</v>
      </c>
      <c r="C519" s="89" t="s">
        <v>1490</v>
      </c>
      <c r="D519" s="89" t="s">
        <v>506</v>
      </c>
      <c r="E519" s="89">
        <v>2028.0</v>
      </c>
      <c r="F519" s="116" t="s">
        <v>1773</v>
      </c>
      <c r="G519" s="91">
        <v>1.0</v>
      </c>
      <c r="H519" s="117"/>
    </row>
    <row r="520">
      <c r="A520" s="97">
        <v>45958.0</v>
      </c>
      <c r="B520" s="89" t="s">
        <v>1480</v>
      </c>
      <c r="C520" s="89" t="s">
        <v>1481</v>
      </c>
      <c r="D520" s="89" t="s">
        <v>700</v>
      </c>
      <c r="E520" s="89">
        <v>2028.0</v>
      </c>
      <c r="F520" s="116" t="s">
        <v>1774</v>
      </c>
      <c r="G520" s="91">
        <v>9.0</v>
      </c>
      <c r="H520" s="117"/>
    </row>
    <row r="521">
      <c r="A521" s="97">
        <v>45958.0</v>
      </c>
      <c r="B521" s="89" t="s">
        <v>1477</v>
      </c>
      <c r="C521" s="89" t="s">
        <v>1478</v>
      </c>
      <c r="D521" s="89" t="s">
        <v>784</v>
      </c>
      <c r="E521" s="89">
        <v>2027.0</v>
      </c>
      <c r="F521" s="116" t="s">
        <v>1775</v>
      </c>
      <c r="G521" s="91">
        <v>7.0</v>
      </c>
      <c r="H521" s="117"/>
    </row>
    <row r="522">
      <c r="A522" s="97">
        <v>45958.0</v>
      </c>
      <c r="B522" s="89" t="s">
        <v>1389</v>
      </c>
      <c r="C522" s="89" t="s">
        <v>1390</v>
      </c>
      <c r="D522" s="89" t="s">
        <v>784</v>
      </c>
      <c r="E522" s="89">
        <v>2027.0</v>
      </c>
      <c r="F522" s="116" t="s">
        <v>1776</v>
      </c>
      <c r="G522" s="91">
        <v>8.0</v>
      </c>
      <c r="H522" s="117"/>
    </row>
    <row r="523">
      <c r="A523" s="97">
        <v>45958.0</v>
      </c>
      <c r="B523" s="115" t="s">
        <v>1777</v>
      </c>
      <c r="C523" s="115" t="s">
        <v>1778</v>
      </c>
      <c r="D523" s="89" t="s">
        <v>506</v>
      </c>
      <c r="E523" s="89">
        <v>2026.0</v>
      </c>
      <c r="F523" s="116" t="s">
        <v>1779</v>
      </c>
      <c r="G523" s="91">
        <v>16.0</v>
      </c>
      <c r="H523" s="117"/>
    </row>
    <row r="524">
      <c r="A524" s="109">
        <v>45961.0</v>
      </c>
      <c r="B524" s="115" t="s">
        <v>772</v>
      </c>
      <c r="C524" s="115" t="s">
        <v>773</v>
      </c>
      <c r="D524" s="89" t="s">
        <v>704</v>
      </c>
      <c r="E524" s="89">
        <v>2029.0</v>
      </c>
      <c r="F524" s="116" t="s">
        <v>1780</v>
      </c>
      <c r="G524" s="91">
        <v>2.0</v>
      </c>
      <c r="H524" s="117"/>
    </row>
    <row r="525">
      <c r="A525" s="109">
        <v>45961.0</v>
      </c>
      <c r="B525" s="115" t="s">
        <v>1781</v>
      </c>
      <c r="C525" s="115" t="s">
        <v>954</v>
      </c>
      <c r="D525" s="89" t="s">
        <v>722</v>
      </c>
      <c r="E525" s="89">
        <v>2029.0</v>
      </c>
      <c r="F525" s="116" t="s">
        <v>1782</v>
      </c>
      <c r="G525" s="91">
        <v>16.0</v>
      </c>
      <c r="H525" s="117"/>
    </row>
    <row r="526">
      <c r="A526" s="109">
        <v>45961.0</v>
      </c>
      <c r="B526" s="89" t="s">
        <v>1371</v>
      </c>
      <c r="C526" s="89" t="s">
        <v>1372</v>
      </c>
      <c r="D526" s="89" t="s">
        <v>700</v>
      </c>
      <c r="E526" s="89">
        <v>2026.0</v>
      </c>
      <c r="F526" s="116" t="s">
        <v>1783</v>
      </c>
      <c r="G526" s="91">
        <v>20.0</v>
      </c>
      <c r="H526" s="117"/>
    </row>
    <row r="527">
      <c r="A527" s="109">
        <v>45961.0</v>
      </c>
      <c r="B527" s="115" t="s">
        <v>1784</v>
      </c>
      <c r="C527" s="115" t="s">
        <v>1024</v>
      </c>
      <c r="D527" s="89" t="s">
        <v>711</v>
      </c>
      <c r="E527" s="89">
        <v>2029.0</v>
      </c>
      <c r="F527" s="116" t="s">
        <v>1785</v>
      </c>
      <c r="G527" s="91">
        <v>15.0</v>
      </c>
      <c r="H527" s="117"/>
    </row>
    <row r="528">
      <c r="A528" s="109">
        <v>45961.0</v>
      </c>
      <c r="B528" s="115" t="s">
        <v>1786</v>
      </c>
      <c r="C528" s="115" t="s">
        <v>1787</v>
      </c>
      <c r="D528" s="89" t="s">
        <v>700</v>
      </c>
      <c r="E528" s="89">
        <v>2029.0</v>
      </c>
      <c r="F528" s="116" t="s">
        <v>1788</v>
      </c>
      <c r="G528" s="91">
        <v>2.0</v>
      </c>
      <c r="H528" s="117"/>
    </row>
    <row r="529">
      <c r="A529" s="109">
        <v>45961.0</v>
      </c>
      <c r="B529" s="115" t="s">
        <v>1789</v>
      </c>
      <c r="C529" s="115" t="s">
        <v>1790</v>
      </c>
      <c r="D529" s="89" t="s">
        <v>506</v>
      </c>
      <c r="E529" s="89">
        <v>2027.0</v>
      </c>
      <c r="F529" s="116" t="s">
        <v>1791</v>
      </c>
      <c r="G529" s="91">
        <v>6.0</v>
      </c>
      <c r="H529" s="117"/>
    </row>
    <row r="530">
      <c r="A530" s="109">
        <v>45961.0</v>
      </c>
      <c r="B530" s="115" t="s">
        <v>1792</v>
      </c>
      <c r="C530" s="89" t="s">
        <v>1355</v>
      </c>
      <c r="D530" s="89" t="s">
        <v>784</v>
      </c>
      <c r="E530" s="89">
        <v>2026.0</v>
      </c>
      <c r="F530" s="116" t="s">
        <v>1793</v>
      </c>
      <c r="G530" s="91">
        <v>4.0</v>
      </c>
      <c r="H530" s="117"/>
    </row>
    <row r="531">
      <c r="A531" s="109">
        <v>45961.0</v>
      </c>
      <c r="B531" s="115" t="s">
        <v>947</v>
      </c>
      <c r="C531" s="115" t="s">
        <v>948</v>
      </c>
      <c r="D531" s="89" t="s">
        <v>711</v>
      </c>
      <c r="E531" s="89">
        <v>2029.0</v>
      </c>
      <c r="F531" s="116" t="s">
        <v>1794</v>
      </c>
      <c r="G531" s="91">
        <v>2.0</v>
      </c>
      <c r="H531" s="117"/>
    </row>
    <row r="532">
      <c r="A532" s="97">
        <v>45961.0</v>
      </c>
      <c r="B532" s="115" t="s">
        <v>1757</v>
      </c>
      <c r="C532" s="115" t="s">
        <v>1332</v>
      </c>
      <c r="D532" s="89" t="s">
        <v>1305</v>
      </c>
      <c r="E532" s="89">
        <v>2028.0</v>
      </c>
      <c r="F532" s="116" t="s">
        <v>1795</v>
      </c>
      <c r="G532" s="91">
        <v>13.0</v>
      </c>
      <c r="H532" s="117"/>
    </row>
    <row r="533">
      <c r="A533" s="97">
        <v>45965.0</v>
      </c>
      <c r="B533" s="115" t="s">
        <v>1582</v>
      </c>
      <c r="C533" s="115" t="s">
        <v>936</v>
      </c>
      <c r="D533" s="89" t="s">
        <v>722</v>
      </c>
      <c r="E533" s="89">
        <v>2029.0</v>
      </c>
      <c r="F533" s="116" t="s">
        <v>1796</v>
      </c>
      <c r="G533" s="91">
        <v>2.0</v>
      </c>
      <c r="H533" s="117"/>
    </row>
    <row r="534">
      <c r="A534" s="97">
        <v>45965.0</v>
      </c>
      <c r="B534" s="89" t="s">
        <v>1477</v>
      </c>
      <c r="C534" s="89" t="s">
        <v>1478</v>
      </c>
      <c r="D534" s="89" t="s">
        <v>784</v>
      </c>
      <c r="E534" s="89">
        <v>2027.0</v>
      </c>
      <c r="F534" s="116" t="s">
        <v>1797</v>
      </c>
      <c r="G534" s="91">
        <v>50.0</v>
      </c>
      <c r="H534" s="117"/>
    </row>
    <row r="535">
      <c r="A535" s="97">
        <v>45965.0</v>
      </c>
      <c r="B535" s="115" t="s">
        <v>1798</v>
      </c>
      <c r="C535" s="115" t="s">
        <v>1799</v>
      </c>
      <c r="D535" s="89" t="s">
        <v>711</v>
      </c>
      <c r="E535" s="89">
        <v>2026.0</v>
      </c>
      <c r="F535" s="116" t="s">
        <v>1800</v>
      </c>
      <c r="G535" s="91">
        <v>1.0</v>
      </c>
      <c r="H535" s="117"/>
    </row>
    <row r="536">
      <c r="A536" s="97">
        <v>45965.0</v>
      </c>
      <c r="B536" s="115" t="s">
        <v>1801</v>
      </c>
      <c r="C536" s="115" t="s">
        <v>1802</v>
      </c>
      <c r="D536" s="89" t="s">
        <v>784</v>
      </c>
      <c r="E536" s="89">
        <v>2027.0</v>
      </c>
      <c r="F536" s="116" t="s">
        <v>1803</v>
      </c>
      <c r="G536" s="91">
        <v>6.0</v>
      </c>
      <c r="H536" s="117"/>
    </row>
    <row r="537">
      <c r="A537" s="97">
        <v>45965.0</v>
      </c>
      <c r="B537" s="89" t="s">
        <v>1493</v>
      </c>
      <c r="C537" s="89" t="s">
        <v>1494</v>
      </c>
      <c r="D537" s="89" t="s">
        <v>711</v>
      </c>
      <c r="E537" s="89">
        <v>2026.0</v>
      </c>
      <c r="F537" s="116" t="s">
        <v>1804</v>
      </c>
      <c r="G537" s="91">
        <v>2.0</v>
      </c>
      <c r="H537" s="117"/>
    </row>
    <row r="538">
      <c r="A538" s="97">
        <v>45969.0</v>
      </c>
      <c r="B538" s="89" t="s">
        <v>1328</v>
      </c>
      <c r="C538" s="89" t="s">
        <v>1753</v>
      </c>
      <c r="D538" s="89" t="s">
        <v>1305</v>
      </c>
      <c r="E538" s="89">
        <v>2028.0</v>
      </c>
      <c r="F538" s="116" t="s">
        <v>1805</v>
      </c>
      <c r="G538" s="91">
        <v>4.0</v>
      </c>
      <c r="H538" s="117"/>
    </row>
    <row r="539">
      <c r="A539" s="97">
        <v>45969.0</v>
      </c>
      <c r="B539" s="115" t="s">
        <v>1588</v>
      </c>
      <c r="C539" s="115" t="s">
        <v>817</v>
      </c>
      <c r="D539" s="89" t="s">
        <v>704</v>
      </c>
      <c r="E539" s="89">
        <v>2029.0</v>
      </c>
      <c r="F539" s="116" t="s">
        <v>1806</v>
      </c>
      <c r="G539" s="91">
        <v>10.0</v>
      </c>
      <c r="H539" s="117"/>
    </row>
    <row r="540">
      <c r="A540" s="120">
        <v>45969.0</v>
      </c>
      <c r="B540" s="121" t="s">
        <v>520</v>
      </c>
      <c r="C540" s="121" t="s">
        <v>521</v>
      </c>
      <c r="D540" s="89" t="s">
        <v>506</v>
      </c>
      <c r="E540" s="89">
        <v>2027.0</v>
      </c>
      <c r="F540" s="116" t="s">
        <v>1807</v>
      </c>
      <c r="G540" s="91">
        <v>20.0</v>
      </c>
      <c r="H540" s="117"/>
    </row>
    <row r="541">
      <c r="A541" s="97">
        <v>45972.0</v>
      </c>
      <c r="B541" s="122" t="s">
        <v>1493</v>
      </c>
      <c r="C541" s="122" t="s">
        <v>1494</v>
      </c>
      <c r="D541" s="123" t="s">
        <v>711</v>
      </c>
      <c r="E541" s="124">
        <v>2026.0</v>
      </c>
      <c r="F541" s="116" t="s">
        <v>1808</v>
      </c>
      <c r="G541" s="91">
        <v>2.0</v>
      </c>
      <c r="H541" s="117"/>
    </row>
    <row r="542">
      <c r="A542" s="97">
        <v>45972.0</v>
      </c>
      <c r="B542" s="115" t="s">
        <v>1809</v>
      </c>
      <c r="C542" s="115" t="s">
        <v>1810</v>
      </c>
      <c r="D542" s="89" t="s">
        <v>784</v>
      </c>
      <c r="E542" s="89">
        <v>2027.0</v>
      </c>
      <c r="F542" s="116" t="s">
        <v>1811</v>
      </c>
      <c r="G542" s="91">
        <v>5.0</v>
      </c>
      <c r="H542" s="117"/>
    </row>
    <row r="543">
      <c r="A543" s="97">
        <v>45972.0</v>
      </c>
      <c r="B543" s="115" t="s">
        <v>1812</v>
      </c>
      <c r="C543" s="115" t="s">
        <v>1813</v>
      </c>
      <c r="D543" s="89" t="s">
        <v>700</v>
      </c>
      <c r="E543" s="89">
        <v>2028.0</v>
      </c>
      <c r="F543" s="116" t="s">
        <v>1814</v>
      </c>
      <c r="G543" s="91">
        <v>47.0</v>
      </c>
      <c r="H543" s="117"/>
    </row>
    <row r="544">
      <c r="A544" s="97">
        <v>45972.0</v>
      </c>
      <c r="B544" s="89" t="s">
        <v>1431</v>
      </c>
      <c r="C544" s="89" t="s">
        <v>1432</v>
      </c>
      <c r="D544" s="89" t="s">
        <v>506</v>
      </c>
      <c r="E544" s="89">
        <v>2026.0</v>
      </c>
      <c r="F544" s="125" t="s">
        <v>1815</v>
      </c>
      <c r="G544" s="91">
        <v>5.0</v>
      </c>
      <c r="H544" s="117"/>
    </row>
    <row r="545">
      <c r="A545" s="97">
        <v>45972.0</v>
      </c>
      <c r="B545" s="115" t="s">
        <v>1816</v>
      </c>
      <c r="C545" s="115" t="s">
        <v>1817</v>
      </c>
      <c r="D545" s="89" t="s">
        <v>711</v>
      </c>
      <c r="E545" s="89">
        <v>2029.0</v>
      </c>
      <c r="F545" s="116" t="s">
        <v>1818</v>
      </c>
      <c r="G545" s="91">
        <v>7.0</v>
      </c>
      <c r="H545" s="117"/>
    </row>
    <row r="546">
      <c r="A546" s="97">
        <v>45972.0</v>
      </c>
      <c r="B546" s="115" t="s">
        <v>1161</v>
      </c>
      <c r="C546" s="115" t="s">
        <v>1162</v>
      </c>
      <c r="D546" s="89" t="s">
        <v>722</v>
      </c>
      <c r="E546" s="89">
        <v>2029.0</v>
      </c>
      <c r="F546" s="116" t="s">
        <v>1819</v>
      </c>
      <c r="G546" s="91">
        <v>8.0</v>
      </c>
      <c r="H546" s="117"/>
    </row>
    <row r="547">
      <c r="A547" s="97">
        <v>45972.0</v>
      </c>
      <c r="B547" s="89" t="s">
        <v>1368</v>
      </c>
      <c r="C547" s="89" t="s">
        <v>1369</v>
      </c>
      <c r="D547" s="89" t="s">
        <v>700</v>
      </c>
      <c r="E547" s="89">
        <v>2028.0</v>
      </c>
      <c r="F547" s="116" t="s">
        <v>1820</v>
      </c>
      <c r="G547" s="91">
        <v>13.0</v>
      </c>
      <c r="H547" s="117"/>
    </row>
    <row r="548">
      <c r="A548" s="97">
        <v>45972.0</v>
      </c>
      <c r="B548" s="115" t="s">
        <v>1675</v>
      </c>
      <c r="C548" s="115" t="s">
        <v>1676</v>
      </c>
      <c r="D548" s="89" t="s">
        <v>784</v>
      </c>
      <c r="E548" s="89">
        <v>2027.0</v>
      </c>
      <c r="F548" s="116" t="s">
        <v>1821</v>
      </c>
      <c r="G548" s="91">
        <v>1.0</v>
      </c>
      <c r="H548" s="117"/>
    </row>
    <row r="549">
      <c r="A549" s="97">
        <v>45975.0</v>
      </c>
      <c r="B549" s="115" t="s">
        <v>1822</v>
      </c>
      <c r="C549" s="115" t="s">
        <v>1823</v>
      </c>
      <c r="D549" s="89" t="s">
        <v>700</v>
      </c>
      <c r="E549" s="89">
        <v>2029.0</v>
      </c>
      <c r="F549" s="116" t="s">
        <v>1824</v>
      </c>
      <c r="G549" s="91">
        <v>5.0</v>
      </c>
      <c r="H549" s="117"/>
    </row>
    <row r="550">
      <c r="A550" s="97">
        <v>45975.0</v>
      </c>
      <c r="B550" s="115" t="s">
        <v>1398</v>
      </c>
      <c r="C550" s="115" t="s">
        <v>1399</v>
      </c>
      <c r="D550" s="89" t="s">
        <v>700</v>
      </c>
      <c r="E550" s="89">
        <v>2028.0</v>
      </c>
      <c r="F550" s="116" t="s">
        <v>1825</v>
      </c>
      <c r="G550" s="91">
        <v>9.0</v>
      </c>
      <c r="H550" s="117"/>
    </row>
    <row r="551">
      <c r="A551" s="97">
        <v>45975.0</v>
      </c>
      <c r="B551" s="115" t="s">
        <v>1368</v>
      </c>
      <c r="C551" s="115" t="s">
        <v>1369</v>
      </c>
      <c r="D551" s="89" t="s">
        <v>700</v>
      </c>
      <c r="E551" s="89">
        <v>2028.0</v>
      </c>
      <c r="F551" s="116" t="s">
        <v>1826</v>
      </c>
      <c r="G551" s="91">
        <v>7.0</v>
      </c>
      <c r="H551" s="117"/>
    </row>
    <row r="552">
      <c r="A552" s="97">
        <v>45975.0</v>
      </c>
      <c r="B552" s="115" t="s">
        <v>1827</v>
      </c>
      <c r="C552" s="115" t="s">
        <v>1828</v>
      </c>
      <c r="D552" s="89" t="s">
        <v>700</v>
      </c>
      <c r="E552" s="89">
        <v>2026.0</v>
      </c>
      <c r="F552" s="116" t="s">
        <v>1829</v>
      </c>
      <c r="G552" s="91">
        <v>3.0</v>
      </c>
      <c r="H552" s="117"/>
    </row>
    <row r="553">
      <c r="A553" s="97">
        <v>45975.0</v>
      </c>
      <c r="B553" s="115" t="s">
        <v>1830</v>
      </c>
      <c r="C553" s="115" t="s">
        <v>1355</v>
      </c>
      <c r="D553" s="89" t="s">
        <v>700</v>
      </c>
      <c r="E553" s="89">
        <v>2026.0</v>
      </c>
      <c r="F553" s="116" t="s">
        <v>1831</v>
      </c>
      <c r="G553" s="91">
        <v>8.0</v>
      </c>
      <c r="H553" s="117"/>
    </row>
    <row r="554">
      <c r="A554" s="97">
        <v>45975.0</v>
      </c>
      <c r="B554" s="115" t="s">
        <v>1832</v>
      </c>
      <c r="C554" s="115" t="s">
        <v>1387</v>
      </c>
      <c r="D554" s="89" t="s">
        <v>700</v>
      </c>
      <c r="E554" s="89">
        <v>2026.0</v>
      </c>
      <c r="F554" s="116" t="s">
        <v>1833</v>
      </c>
      <c r="G554" s="91">
        <v>27.0</v>
      </c>
      <c r="H554" s="117"/>
    </row>
    <row r="555">
      <c r="A555" s="97">
        <v>45975.0</v>
      </c>
      <c r="B555" s="115" t="s">
        <v>1834</v>
      </c>
      <c r="C555" s="89" t="s">
        <v>1372</v>
      </c>
      <c r="D555" s="89" t="s">
        <v>700</v>
      </c>
      <c r="E555" s="89">
        <v>2026.0</v>
      </c>
      <c r="F555" s="116" t="s">
        <v>1835</v>
      </c>
      <c r="G555" s="91">
        <v>6.0</v>
      </c>
      <c r="H555" s="117"/>
    </row>
    <row r="556">
      <c r="A556" s="97">
        <v>45975.0</v>
      </c>
      <c r="B556" s="115" t="s">
        <v>1757</v>
      </c>
      <c r="C556" s="115" t="s">
        <v>1332</v>
      </c>
      <c r="D556" s="89" t="s">
        <v>1305</v>
      </c>
      <c r="E556" s="89">
        <v>2028.0</v>
      </c>
      <c r="F556" s="116" t="s">
        <v>1836</v>
      </c>
      <c r="G556" s="91">
        <v>5.0</v>
      </c>
      <c r="H556" s="117"/>
    </row>
    <row r="557">
      <c r="A557" s="97">
        <v>45976.0</v>
      </c>
      <c r="B557" s="115" t="s">
        <v>1368</v>
      </c>
      <c r="C557" s="115" t="s">
        <v>1369</v>
      </c>
      <c r="D557" s="89" t="s">
        <v>700</v>
      </c>
      <c r="E557" s="89">
        <v>2028.0</v>
      </c>
      <c r="F557" s="116" t="s">
        <v>1837</v>
      </c>
      <c r="G557" s="91">
        <v>4.0</v>
      </c>
      <c r="H557" s="117"/>
    </row>
    <row r="558">
      <c r="A558" s="97">
        <v>45976.0</v>
      </c>
      <c r="B558" s="115" t="s">
        <v>1834</v>
      </c>
      <c r="C558" s="89" t="s">
        <v>1372</v>
      </c>
      <c r="D558" s="89" t="s">
        <v>700</v>
      </c>
      <c r="E558" s="89">
        <v>2026.0</v>
      </c>
      <c r="F558" s="116" t="s">
        <v>1838</v>
      </c>
      <c r="G558" s="91">
        <v>3.0</v>
      </c>
      <c r="H558" s="117"/>
    </row>
    <row r="559">
      <c r="A559" s="97">
        <v>45979.0</v>
      </c>
      <c r="B559" s="115" t="s">
        <v>1389</v>
      </c>
      <c r="C559" s="115" t="s">
        <v>1390</v>
      </c>
      <c r="D559" s="89" t="s">
        <v>784</v>
      </c>
      <c r="E559" s="89">
        <v>2027.0</v>
      </c>
      <c r="F559" s="116" t="s">
        <v>1839</v>
      </c>
      <c r="G559" s="91">
        <v>38.0</v>
      </c>
      <c r="H559" s="117"/>
    </row>
    <row r="560">
      <c r="A560" s="97">
        <v>45979.0</v>
      </c>
      <c r="B560" s="89" t="s">
        <v>1347</v>
      </c>
      <c r="C560" s="89" t="s">
        <v>1348</v>
      </c>
      <c r="D560" s="89" t="s">
        <v>715</v>
      </c>
      <c r="E560" s="89">
        <v>2027.0</v>
      </c>
      <c r="F560" s="116" t="s">
        <v>1840</v>
      </c>
      <c r="G560" s="91">
        <v>7.0</v>
      </c>
      <c r="H560" s="117"/>
    </row>
    <row r="561">
      <c r="A561" s="97">
        <v>45979.0</v>
      </c>
      <c r="B561" s="115" t="s">
        <v>1841</v>
      </c>
      <c r="C561" s="115" t="s">
        <v>1842</v>
      </c>
      <c r="D561" s="89" t="s">
        <v>700</v>
      </c>
      <c r="E561" s="89">
        <v>2028.0</v>
      </c>
      <c r="F561" s="116" t="s">
        <v>1843</v>
      </c>
      <c r="G561" s="91">
        <v>16.0</v>
      </c>
      <c r="H561" s="117"/>
    </row>
    <row r="562">
      <c r="A562" s="97">
        <v>45979.0</v>
      </c>
      <c r="B562" s="101" t="s">
        <v>999</v>
      </c>
      <c r="C562" s="101" t="s">
        <v>1000</v>
      </c>
      <c r="D562" s="101" t="s">
        <v>704</v>
      </c>
      <c r="E562" s="89">
        <v>2029.0</v>
      </c>
      <c r="F562" s="116" t="s">
        <v>1844</v>
      </c>
      <c r="G562" s="91">
        <v>4.0</v>
      </c>
      <c r="H562" s="117"/>
    </row>
    <row r="563">
      <c r="A563" s="97">
        <v>45979.0</v>
      </c>
      <c r="B563" s="89" t="s">
        <v>1311</v>
      </c>
      <c r="C563" s="89" t="s">
        <v>1312</v>
      </c>
      <c r="D563" s="89" t="s">
        <v>704</v>
      </c>
      <c r="E563" s="89">
        <v>2029.0</v>
      </c>
      <c r="F563" s="116" t="s">
        <v>1845</v>
      </c>
      <c r="G563" s="91">
        <v>7.0</v>
      </c>
      <c r="H563" s="117"/>
    </row>
    <row r="564">
      <c r="A564" s="97">
        <v>45979.0</v>
      </c>
      <c r="B564" s="103" t="s">
        <v>813</v>
      </c>
      <c r="C564" s="103" t="s">
        <v>814</v>
      </c>
      <c r="D564" s="101" t="s">
        <v>722</v>
      </c>
      <c r="E564" s="89">
        <v>2029.0</v>
      </c>
      <c r="F564" s="116" t="s">
        <v>1846</v>
      </c>
      <c r="G564" s="91">
        <v>4.0</v>
      </c>
      <c r="H564" s="117"/>
    </row>
    <row r="565">
      <c r="A565" s="97">
        <v>45979.0</v>
      </c>
      <c r="B565" s="115" t="s">
        <v>1101</v>
      </c>
      <c r="C565" s="115" t="s">
        <v>1102</v>
      </c>
      <c r="D565" s="89" t="s">
        <v>722</v>
      </c>
      <c r="E565" s="89">
        <v>2029.0</v>
      </c>
      <c r="F565" s="116" t="s">
        <v>1847</v>
      </c>
      <c r="G565" s="91">
        <v>9.0</v>
      </c>
      <c r="H565" s="117"/>
    </row>
    <row r="566">
      <c r="A566" s="97">
        <v>45979.0</v>
      </c>
      <c r="B566" s="115" t="s">
        <v>702</v>
      </c>
      <c r="C566" s="115" t="s">
        <v>703</v>
      </c>
      <c r="D566" s="89" t="s">
        <v>704</v>
      </c>
      <c r="E566" s="89">
        <v>2029.0</v>
      </c>
      <c r="F566" s="116" t="s">
        <v>1848</v>
      </c>
      <c r="G566" s="91">
        <v>3.0</v>
      </c>
      <c r="H566" s="117"/>
    </row>
    <row r="567">
      <c r="A567" s="97">
        <v>45979.0</v>
      </c>
      <c r="B567" s="115" t="s">
        <v>1849</v>
      </c>
      <c r="C567" s="115" t="s">
        <v>1850</v>
      </c>
      <c r="D567" s="89" t="s">
        <v>506</v>
      </c>
      <c r="E567" s="89">
        <v>2027.0</v>
      </c>
      <c r="F567" s="116" t="s">
        <v>1851</v>
      </c>
      <c r="G567" s="91">
        <v>3.0</v>
      </c>
      <c r="H567" s="117"/>
    </row>
    <row r="568">
      <c r="A568" s="97">
        <v>45979.0</v>
      </c>
      <c r="B568" s="89" t="s">
        <v>1354</v>
      </c>
      <c r="C568" s="89" t="s">
        <v>1355</v>
      </c>
      <c r="D568" s="89" t="s">
        <v>784</v>
      </c>
      <c r="E568" s="89">
        <v>2026.0</v>
      </c>
      <c r="F568" s="116" t="s">
        <v>1852</v>
      </c>
      <c r="G568" s="91">
        <v>4.0</v>
      </c>
      <c r="H568" s="117"/>
    </row>
    <row r="569">
      <c r="A569" s="97">
        <v>45979.0</v>
      </c>
      <c r="B569" s="115" t="s">
        <v>1445</v>
      </c>
      <c r="C569" s="115" t="s">
        <v>1446</v>
      </c>
      <c r="D569" s="89" t="s">
        <v>700</v>
      </c>
      <c r="E569" s="89">
        <v>2028.0</v>
      </c>
      <c r="F569" s="116" t="s">
        <v>1853</v>
      </c>
      <c r="G569" s="91">
        <v>6.0</v>
      </c>
      <c r="H569" s="117"/>
    </row>
    <row r="570">
      <c r="A570" s="97">
        <v>45979.0</v>
      </c>
      <c r="B570" s="115" t="s">
        <v>920</v>
      </c>
      <c r="C570" s="115" t="s">
        <v>921</v>
      </c>
      <c r="D570" s="89" t="s">
        <v>700</v>
      </c>
      <c r="E570" s="89">
        <v>2029.0</v>
      </c>
      <c r="F570" s="116" t="s">
        <v>1854</v>
      </c>
      <c r="G570" s="91">
        <v>3.0</v>
      </c>
      <c r="H570" s="117"/>
    </row>
    <row r="571">
      <c r="A571" s="97">
        <v>45979.0</v>
      </c>
      <c r="B571" s="115" t="s">
        <v>1786</v>
      </c>
      <c r="C571" s="115" t="s">
        <v>1787</v>
      </c>
      <c r="D571" s="89" t="s">
        <v>700</v>
      </c>
      <c r="E571" s="89">
        <v>2029.0</v>
      </c>
      <c r="F571" s="116" t="s">
        <v>1855</v>
      </c>
      <c r="G571" s="91">
        <v>4.0</v>
      </c>
      <c r="H571" s="117"/>
    </row>
    <row r="572">
      <c r="A572" s="97">
        <v>45979.0</v>
      </c>
      <c r="B572" s="115" t="s">
        <v>966</v>
      </c>
      <c r="C572" s="115" t="s">
        <v>967</v>
      </c>
      <c r="D572" s="89" t="s">
        <v>722</v>
      </c>
      <c r="E572" s="89">
        <v>2029.0</v>
      </c>
      <c r="F572" s="116" t="s">
        <v>1856</v>
      </c>
      <c r="G572" s="91">
        <v>11.0</v>
      </c>
      <c r="H572" s="117"/>
    </row>
    <row r="573">
      <c r="A573" s="97">
        <v>45979.0</v>
      </c>
      <c r="B573" s="89" t="s">
        <v>1439</v>
      </c>
      <c r="C573" s="89" t="s">
        <v>1440</v>
      </c>
      <c r="D573" s="89" t="s">
        <v>506</v>
      </c>
      <c r="E573" s="89">
        <v>2027.0</v>
      </c>
      <c r="F573" s="116" t="s">
        <v>1857</v>
      </c>
      <c r="G573" s="91">
        <v>8.0</v>
      </c>
      <c r="H573" s="117"/>
    </row>
    <row r="574">
      <c r="A574" s="97">
        <v>45979.0</v>
      </c>
      <c r="B574" s="115" t="s">
        <v>1858</v>
      </c>
      <c r="C574" s="115" t="s">
        <v>1859</v>
      </c>
      <c r="D574" s="89" t="s">
        <v>784</v>
      </c>
      <c r="E574" s="89">
        <v>2027.0</v>
      </c>
      <c r="F574" s="116" t="s">
        <v>1860</v>
      </c>
      <c r="G574" s="91">
        <v>1.0</v>
      </c>
      <c r="H574" s="117"/>
    </row>
    <row r="575">
      <c r="A575" s="97">
        <v>45979.0</v>
      </c>
      <c r="B575" s="115" t="s">
        <v>1809</v>
      </c>
      <c r="C575" s="115" t="s">
        <v>1810</v>
      </c>
      <c r="D575" s="89" t="s">
        <v>784</v>
      </c>
      <c r="E575" s="89">
        <v>2027.0</v>
      </c>
      <c r="F575" s="116" t="s">
        <v>1861</v>
      </c>
      <c r="G575" s="91">
        <v>2.0</v>
      </c>
      <c r="H575" s="117"/>
    </row>
    <row r="576">
      <c r="A576" s="97">
        <v>45982.0</v>
      </c>
      <c r="B576" s="115" t="s">
        <v>978</v>
      </c>
      <c r="C576" s="115" t="s">
        <v>979</v>
      </c>
      <c r="D576" s="89" t="s">
        <v>506</v>
      </c>
      <c r="E576" s="89">
        <v>2026.0</v>
      </c>
      <c r="F576" s="116" t="s">
        <v>1862</v>
      </c>
      <c r="G576" s="91">
        <v>9.0</v>
      </c>
      <c r="H576" s="117"/>
    </row>
    <row r="577">
      <c r="A577" s="97">
        <v>45982.0</v>
      </c>
      <c r="B577" s="115" t="s">
        <v>1757</v>
      </c>
      <c r="C577" s="115" t="s">
        <v>1332</v>
      </c>
      <c r="D577" s="89" t="s">
        <v>1305</v>
      </c>
      <c r="E577" s="89">
        <v>2028.0</v>
      </c>
      <c r="F577" s="116" t="s">
        <v>1863</v>
      </c>
      <c r="G577" s="91">
        <v>3.0</v>
      </c>
      <c r="H577" s="117"/>
    </row>
    <row r="578">
      <c r="A578" s="97">
        <v>45983.0</v>
      </c>
      <c r="B578" s="115" t="s">
        <v>1328</v>
      </c>
      <c r="C578" s="115" t="s">
        <v>1753</v>
      </c>
      <c r="D578" s="89" t="s">
        <v>1305</v>
      </c>
      <c r="E578" s="89">
        <v>2028.0</v>
      </c>
      <c r="F578" s="116" t="s">
        <v>1864</v>
      </c>
      <c r="G578" s="91">
        <v>6.0</v>
      </c>
      <c r="H578" s="117"/>
    </row>
    <row r="579">
      <c r="A579" s="97">
        <v>45983.0</v>
      </c>
      <c r="B579" s="115" t="s">
        <v>978</v>
      </c>
      <c r="C579" s="115" t="s">
        <v>979</v>
      </c>
      <c r="D579" s="89" t="s">
        <v>506</v>
      </c>
      <c r="E579" s="89">
        <v>2026.0</v>
      </c>
      <c r="F579" s="116" t="s">
        <v>1865</v>
      </c>
      <c r="G579" s="91">
        <v>17.0</v>
      </c>
      <c r="H579" s="117"/>
    </row>
    <row r="580">
      <c r="A580" s="97">
        <v>45993.0</v>
      </c>
      <c r="B580" s="115" t="s">
        <v>1812</v>
      </c>
      <c r="C580" s="115" t="s">
        <v>1813</v>
      </c>
      <c r="D580" s="89" t="s">
        <v>700</v>
      </c>
      <c r="E580" s="89">
        <v>2028.0</v>
      </c>
      <c r="F580" s="116" t="s">
        <v>1866</v>
      </c>
      <c r="G580" s="91">
        <v>5.0</v>
      </c>
      <c r="H580" s="117"/>
    </row>
    <row r="581">
      <c r="A581" s="97">
        <v>45993.0</v>
      </c>
      <c r="B581" s="89" t="s">
        <v>1270</v>
      </c>
      <c r="C581" s="89" t="s">
        <v>1271</v>
      </c>
      <c r="D581" s="89" t="s">
        <v>715</v>
      </c>
      <c r="E581" s="89">
        <v>2026.0</v>
      </c>
      <c r="F581" s="116" t="s">
        <v>1867</v>
      </c>
      <c r="G581" s="91">
        <v>14.0</v>
      </c>
      <c r="H581" s="117"/>
    </row>
    <row r="582">
      <c r="A582" s="97">
        <v>45993.0</v>
      </c>
      <c r="B582" s="100" t="s">
        <v>1667</v>
      </c>
      <c r="C582" s="100" t="s">
        <v>906</v>
      </c>
      <c r="D582" s="101" t="s">
        <v>722</v>
      </c>
      <c r="E582" s="89">
        <v>2029.0</v>
      </c>
      <c r="F582" s="116" t="s">
        <v>1868</v>
      </c>
      <c r="G582" s="91">
        <v>9.0</v>
      </c>
      <c r="H582" s="117"/>
    </row>
    <row r="583">
      <c r="A583" s="97">
        <v>45993.0</v>
      </c>
      <c r="B583" s="89" t="s">
        <v>529</v>
      </c>
      <c r="C583" s="89" t="s">
        <v>530</v>
      </c>
      <c r="D583" s="89" t="s">
        <v>506</v>
      </c>
      <c r="E583" s="89">
        <v>2027.0</v>
      </c>
      <c r="F583" s="116" t="s">
        <v>1869</v>
      </c>
      <c r="G583" s="91">
        <v>2.0</v>
      </c>
      <c r="H583" s="117"/>
    </row>
    <row r="584">
      <c r="A584" s="97">
        <v>45993.0</v>
      </c>
      <c r="B584" s="115" t="s">
        <v>581</v>
      </c>
      <c r="C584" s="115" t="s">
        <v>582</v>
      </c>
      <c r="D584" s="89" t="s">
        <v>1165</v>
      </c>
      <c r="E584" s="89">
        <v>2027.0</v>
      </c>
      <c r="F584" s="116" t="s">
        <v>1870</v>
      </c>
      <c r="G584" s="91">
        <v>8.0</v>
      </c>
      <c r="H584" s="117"/>
    </row>
    <row r="585">
      <c r="A585" s="97">
        <v>45993.0</v>
      </c>
      <c r="B585" s="115" t="s">
        <v>1199</v>
      </c>
      <c r="C585" s="115" t="s">
        <v>1871</v>
      </c>
      <c r="D585" s="89" t="s">
        <v>784</v>
      </c>
      <c r="E585" s="89">
        <v>2027.0</v>
      </c>
      <c r="F585" s="116" t="s">
        <v>1872</v>
      </c>
      <c r="G585" s="91">
        <v>5.0</v>
      </c>
      <c r="H585" s="117"/>
    </row>
    <row r="586">
      <c r="A586" s="97">
        <v>45993.0</v>
      </c>
      <c r="B586" s="89" t="s">
        <v>1734</v>
      </c>
      <c r="C586" s="89" t="s">
        <v>1536</v>
      </c>
      <c r="D586" s="89" t="s">
        <v>700</v>
      </c>
      <c r="E586" s="89">
        <v>2028.0</v>
      </c>
      <c r="F586" s="116" t="s">
        <v>1699</v>
      </c>
      <c r="G586" s="91">
        <v>5.0</v>
      </c>
      <c r="H586" s="117"/>
    </row>
    <row r="587">
      <c r="A587" s="97">
        <v>45993.0</v>
      </c>
      <c r="B587" s="115" t="s">
        <v>1368</v>
      </c>
      <c r="C587" s="115" t="s">
        <v>1369</v>
      </c>
      <c r="D587" s="89" t="s">
        <v>700</v>
      </c>
      <c r="E587" s="89">
        <v>2028.0</v>
      </c>
      <c r="F587" s="116" t="s">
        <v>1873</v>
      </c>
      <c r="G587" s="91">
        <v>11.0</v>
      </c>
      <c r="H587" s="117"/>
    </row>
    <row r="588">
      <c r="A588" s="97">
        <v>45993.0</v>
      </c>
      <c r="B588" s="89" t="s">
        <v>1550</v>
      </c>
      <c r="C588" s="89" t="s">
        <v>1551</v>
      </c>
      <c r="D588" s="89" t="s">
        <v>700</v>
      </c>
      <c r="E588" s="89">
        <v>2028.0</v>
      </c>
      <c r="F588" s="116" t="s">
        <v>1874</v>
      </c>
      <c r="G588" s="91">
        <v>9.0</v>
      </c>
      <c r="H588" s="117"/>
    </row>
    <row r="589">
      <c r="A589" s="97">
        <v>45993.0</v>
      </c>
      <c r="B589" s="115" t="s">
        <v>1875</v>
      </c>
      <c r="C589" s="115" t="s">
        <v>1876</v>
      </c>
      <c r="D589" s="89" t="s">
        <v>506</v>
      </c>
      <c r="E589" s="89">
        <v>2027.0</v>
      </c>
      <c r="F589" s="116" t="s">
        <v>1877</v>
      </c>
      <c r="G589" s="91">
        <v>9.0</v>
      </c>
      <c r="H589" s="117"/>
    </row>
    <row r="590">
      <c r="A590" s="97">
        <v>45993.0</v>
      </c>
      <c r="B590" s="89" t="s">
        <v>1431</v>
      </c>
      <c r="C590" s="89" t="s">
        <v>1432</v>
      </c>
      <c r="D590" s="89" t="s">
        <v>506</v>
      </c>
      <c r="E590" s="89">
        <v>2026.0</v>
      </c>
      <c r="F590" s="116" t="s">
        <v>1878</v>
      </c>
      <c r="G590" s="91">
        <v>2.0</v>
      </c>
      <c r="H590" s="117"/>
    </row>
    <row r="591">
      <c r="A591" s="97">
        <v>45993.0</v>
      </c>
      <c r="B591" s="115" t="s">
        <v>1675</v>
      </c>
      <c r="C591" s="115" t="s">
        <v>1676</v>
      </c>
      <c r="D591" s="89" t="s">
        <v>784</v>
      </c>
      <c r="E591" s="89">
        <v>2027.0</v>
      </c>
      <c r="F591" s="116" t="s">
        <v>1879</v>
      </c>
      <c r="G591" s="91">
        <v>6.0</v>
      </c>
      <c r="H591" s="117"/>
    </row>
    <row r="592">
      <c r="A592" s="97">
        <v>45993.0</v>
      </c>
      <c r="B592" s="115" t="s">
        <v>1389</v>
      </c>
      <c r="C592" s="115" t="s">
        <v>1390</v>
      </c>
      <c r="D592" s="89" t="s">
        <v>784</v>
      </c>
      <c r="E592" s="89">
        <v>2027.0</v>
      </c>
      <c r="F592" s="116" t="s">
        <v>1880</v>
      </c>
      <c r="G592" s="91">
        <v>7.0</v>
      </c>
      <c r="H592" s="117"/>
    </row>
    <row r="593">
      <c r="A593" s="97">
        <v>45996.0</v>
      </c>
      <c r="B593" s="115" t="s">
        <v>1881</v>
      </c>
      <c r="C593" s="115" t="s">
        <v>1882</v>
      </c>
      <c r="D593" s="89" t="s">
        <v>506</v>
      </c>
      <c r="E593" s="89">
        <v>2026.0</v>
      </c>
      <c r="F593" s="116" t="s">
        <v>1883</v>
      </c>
      <c r="G593" s="91">
        <v>7.0</v>
      </c>
      <c r="H593" s="117"/>
    </row>
    <row r="594">
      <c r="A594" s="97">
        <v>45996.0</v>
      </c>
      <c r="B594" s="115" t="s">
        <v>1884</v>
      </c>
      <c r="C594" s="115" t="s">
        <v>841</v>
      </c>
      <c r="D594" s="101" t="s">
        <v>700</v>
      </c>
      <c r="E594" s="89">
        <v>2029.0</v>
      </c>
      <c r="F594" s="116" t="s">
        <v>1885</v>
      </c>
      <c r="G594" s="91">
        <v>4.0</v>
      </c>
      <c r="H594" s="117"/>
    </row>
    <row r="595">
      <c r="A595" s="97">
        <v>45996.0</v>
      </c>
      <c r="B595" s="115" t="s">
        <v>1328</v>
      </c>
      <c r="C595" s="115" t="s">
        <v>1753</v>
      </c>
      <c r="D595" s="89" t="s">
        <v>1305</v>
      </c>
      <c r="E595" s="89">
        <v>2028.0</v>
      </c>
      <c r="F595" s="116" t="s">
        <v>1886</v>
      </c>
      <c r="G595" s="91">
        <v>6.0</v>
      </c>
      <c r="H595" s="117"/>
    </row>
    <row r="596">
      <c r="A596" s="97">
        <v>45996.0</v>
      </c>
      <c r="B596" s="115" t="s">
        <v>1887</v>
      </c>
      <c r="C596" s="115" t="s">
        <v>1888</v>
      </c>
      <c r="D596" s="92"/>
      <c r="E596" s="89">
        <v>2028.0</v>
      </c>
      <c r="F596" s="116" t="s">
        <v>1889</v>
      </c>
      <c r="G596" s="91">
        <v>5.0</v>
      </c>
      <c r="H596" s="117"/>
    </row>
    <row r="597">
      <c r="A597" s="97">
        <v>45996.0</v>
      </c>
      <c r="B597" s="89" t="s">
        <v>539</v>
      </c>
      <c r="C597" s="89" t="s">
        <v>540</v>
      </c>
      <c r="D597" s="89" t="s">
        <v>506</v>
      </c>
      <c r="E597" s="89">
        <v>2026.0</v>
      </c>
      <c r="F597" s="116" t="s">
        <v>1890</v>
      </c>
      <c r="G597" s="91">
        <v>33.0</v>
      </c>
      <c r="H597" s="117"/>
    </row>
    <row r="598">
      <c r="A598" s="97">
        <v>45996.0</v>
      </c>
      <c r="B598" s="115" t="s">
        <v>1891</v>
      </c>
      <c r="C598" s="115" t="s">
        <v>1828</v>
      </c>
      <c r="D598" s="89" t="s">
        <v>700</v>
      </c>
      <c r="E598" s="89">
        <v>2026.0</v>
      </c>
      <c r="F598" s="116" t="s">
        <v>1892</v>
      </c>
      <c r="G598" s="91">
        <v>4.0</v>
      </c>
      <c r="H598" s="117"/>
    </row>
    <row r="599">
      <c r="A599" s="97">
        <v>45996.0</v>
      </c>
      <c r="B599" s="89" t="s">
        <v>1357</v>
      </c>
      <c r="C599" s="89" t="s">
        <v>1358</v>
      </c>
      <c r="D599" s="89" t="s">
        <v>784</v>
      </c>
      <c r="E599" s="89">
        <v>2026.0</v>
      </c>
      <c r="F599" s="116" t="s">
        <v>1893</v>
      </c>
      <c r="G599" s="91">
        <v>3.0</v>
      </c>
      <c r="H599" s="117"/>
    </row>
    <row r="600">
      <c r="A600" s="97">
        <v>45996.0</v>
      </c>
      <c r="B600" s="89" t="s">
        <v>1354</v>
      </c>
      <c r="C600" s="89" t="s">
        <v>1355</v>
      </c>
      <c r="D600" s="89" t="s">
        <v>784</v>
      </c>
      <c r="E600" s="89">
        <v>2026.0</v>
      </c>
      <c r="F600" s="116" t="s">
        <v>1894</v>
      </c>
      <c r="G600" s="91">
        <v>1.0</v>
      </c>
      <c r="H600" s="117"/>
    </row>
    <row r="601">
      <c r="A601" s="97">
        <v>45996.0</v>
      </c>
      <c r="B601" s="115" t="s">
        <v>1328</v>
      </c>
      <c r="C601" s="115" t="s">
        <v>1753</v>
      </c>
      <c r="D601" s="89" t="s">
        <v>1305</v>
      </c>
      <c r="E601" s="89">
        <v>2028.0</v>
      </c>
      <c r="F601" s="116" t="s">
        <v>1895</v>
      </c>
      <c r="G601" s="91">
        <v>1.0</v>
      </c>
      <c r="H601" s="117"/>
    </row>
    <row r="602">
      <c r="A602" s="97">
        <v>45996.0</v>
      </c>
      <c r="B602" s="89" t="s">
        <v>1371</v>
      </c>
      <c r="C602" s="89" t="s">
        <v>1372</v>
      </c>
      <c r="D602" s="89" t="s">
        <v>700</v>
      </c>
      <c r="E602" s="89">
        <v>2026.0</v>
      </c>
      <c r="F602" s="116" t="s">
        <v>1896</v>
      </c>
      <c r="G602" s="91">
        <v>9.0</v>
      </c>
      <c r="H602" s="117"/>
    </row>
    <row r="603">
      <c r="A603" s="97">
        <v>45996.0</v>
      </c>
      <c r="B603" s="89" t="s">
        <v>1456</v>
      </c>
      <c r="C603" s="89" t="s">
        <v>1457</v>
      </c>
      <c r="D603" s="89" t="s">
        <v>883</v>
      </c>
      <c r="E603" s="89">
        <v>2026.0</v>
      </c>
      <c r="F603" s="116" t="s">
        <v>1897</v>
      </c>
      <c r="G603" s="91">
        <v>36.0</v>
      </c>
      <c r="H603" s="117"/>
    </row>
    <row r="604">
      <c r="A604" s="97">
        <v>45997.0</v>
      </c>
      <c r="B604" s="115" t="s">
        <v>1898</v>
      </c>
      <c r="C604" s="115" t="s">
        <v>1899</v>
      </c>
      <c r="D604" s="89" t="s">
        <v>506</v>
      </c>
      <c r="E604" s="89">
        <v>2026.0</v>
      </c>
      <c r="F604" s="116" t="s">
        <v>1900</v>
      </c>
      <c r="G604" s="91">
        <v>16.0</v>
      </c>
      <c r="H604" s="117"/>
    </row>
    <row r="605">
      <c r="A605" s="97">
        <v>45997.0</v>
      </c>
      <c r="B605" s="115" t="s">
        <v>1576</v>
      </c>
      <c r="C605" s="115" t="s">
        <v>1577</v>
      </c>
      <c r="D605" s="89" t="s">
        <v>711</v>
      </c>
      <c r="E605" s="89">
        <v>2029.0</v>
      </c>
      <c r="F605" s="116" t="s">
        <v>1901</v>
      </c>
      <c r="G605" s="91">
        <v>3.0</v>
      </c>
      <c r="H605" s="117"/>
    </row>
    <row r="606">
      <c r="A606" s="97">
        <v>45997.0</v>
      </c>
      <c r="B606" s="89" t="s">
        <v>681</v>
      </c>
      <c r="C606" s="89" t="s">
        <v>682</v>
      </c>
      <c r="D606" s="89" t="s">
        <v>506</v>
      </c>
      <c r="E606" s="89">
        <v>2027.0</v>
      </c>
      <c r="F606" s="116" t="s">
        <v>1902</v>
      </c>
      <c r="G606" s="91">
        <v>5.0</v>
      </c>
      <c r="H606" s="117"/>
    </row>
    <row r="607">
      <c r="A607" s="97">
        <v>45997.0</v>
      </c>
      <c r="B607" s="89" t="s">
        <v>681</v>
      </c>
      <c r="C607" s="89" t="s">
        <v>682</v>
      </c>
      <c r="D607" s="89" t="s">
        <v>506</v>
      </c>
      <c r="E607" s="89">
        <v>2027.0</v>
      </c>
      <c r="F607" s="116" t="s">
        <v>1903</v>
      </c>
      <c r="G607" s="91">
        <v>1.0</v>
      </c>
      <c r="H607" s="117"/>
    </row>
    <row r="608">
      <c r="A608" s="97">
        <v>46000.0</v>
      </c>
      <c r="B608" s="101" t="s">
        <v>978</v>
      </c>
      <c r="C608" s="101" t="s">
        <v>979</v>
      </c>
      <c r="D608" s="101" t="s">
        <v>506</v>
      </c>
      <c r="E608" s="89">
        <v>2026.0</v>
      </c>
      <c r="F608" s="116" t="s">
        <v>1904</v>
      </c>
      <c r="G608" s="91">
        <v>9.0</v>
      </c>
      <c r="H608" s="117"/>
    </row>
    <row r="609">
      <c r="A609" s="97">
        <v>46000.0</v>
      </c>
      <c r="B609" s="115" t="s">
        <v>1905</v>
      </c>
      <c r="C609" s="115" t="s">
        <v>1906</v>
      </c>
      <c r="D609" s="89" t="s">
        <v>506</v>
      </c>
      <c r="E609" s="89">
        <v>2026.0</v>
      </c>
      <c r="F609" s="116" t="s">
        <v>1907</v>
      </c>
      <c r="G609" s="91">
        <v>2.0</v>
      </c>
      <c r="H609" s="117"/>
    </row>
    <row r="610">
      <c r="A610" s="97">
        <v>46000.0</v>
      </c>
      <c r="B610" s="115" t="s">
        <v>1241</v>
      </c>
      <c r="C610" s="115" t="s">
        <v>1242</v>
      </c>
      <c r="D610" s="89" t="s">
        <v>695</v>
      </c>
      <c r="E610" s="89" t="s">
        <v>1908</v>
      </c>
      <c r="F610" s="116" t="s">
        <v>1909</v>
      </c>
      <c r="G610" s="91">
        <v>8.0</v>
      </c>
      <c r="H610" s="117"/>
    </row>
    <row r="611">
      <c r="A611" s="97">
        <v>46000.0</v>
      </c>
      <c r="B611" s="89" t="s">
        <v>539</v>
      </c>
      <c r="C611" s="89" t="s">
        <v>540</v>
      </c>
      <c r="D611" s="89" t="s">
        <v>506</v>
      </c>
      <c r="E611" s="89">
        <v>2026.0</v>
      </c>
      <c r="F611" s="116" t="s">
        <v>1910</v>
      </c>
      <c r="G611" s="91">
        <v>20.0</v>
      </c>
      <c r="H611" s="117"/>
    </row>
    <row r="612">
      <c r="A612" s="97">
        <v>46000.0</v>
      </c>
      <c r="B612" s="115" t="s">
        <v>678</v>
      </c>
      <c r="C612" s="115" t="s">
        <v>679</v>
      </c>
      <c r="D612" s="89" t="s">
        <v>1645</v>
      </c>
      <c r="E612" s="89">
        <v>2027.0</v>
      </c>
      <c r="F612" s="116" t="s">
        <v>1911</v>
      </c>
      <c r="G612" s="91">
        <v>5.0</v>
      </c>
      <c r="H612" s="117"/>
    </row>
    <row r="613">
      <c r="A613" s="97">
        <v>46000.0</v>
      </c>
      <c r="B613" s="89" t="s">
        <v>1368</v>
      </c>
      <c r="C613" s="89" t="s">
        <v>1369</v>
      </c>
      <c r="D613" s="89" t="s">
        <v>700</v>
      </c>
      <c r="E613" s="89">
        <v>2028.0</v>
      </c>
      <c r="F613" s="116" t="s">
        <v>1912</v>
      </c>
      <c r="G613" s="126">
        <v>5.0</v>
      </c>
      <c r="H613" s="117"/>
    </row>
    <row r="614">
      <c r="A614" s="97">
        <v>46000.0</v>
      </c>
      <c r="B614" s="115" t="s">
        <v>1675</v>
      </c>
      <c r="C614" s="115" t="s">
        <v>1676</v>
      </c>
      <c r="D614" s="89" t="s">
        <v>784</v>
      </c>
      <c r="E614" s="89">
        <v>2027.0</v>
      </c>
      <c r="F614" s="116" t="s">
        <v>1913</v>
      </c>
      <c r="G614" s="126">
        <v>2.0</v>
      </c>
      <c r="H614" s="117"/>
    </row>
    <row r="615">
      <c r="A615" s="97">
        <v>46003.0</v>
      </c>
      <c r="B615" s="115" t="s">
        <v>1371</v>
      </c>
      <c r="C615" s="115" t="s">
        <v>1372</v>
      </c>
      <c r="D615" s="89" t="s">
        <v>700</v>
      </c>
      <c r="E615" s="89">
        <v>2026.0</v>
      </c>
      <c r="F615" s="116" t="s">
        <v>1914</v>
      </c>
      <c r="G615" s="127"/>
      <c r="H615" s="117"/>
    </row>
    <row r="616">
      <c r="A616" s="97">
        <v>46003.0</v>
      </c>
      <c r="B616" s="115" t="s">
        <v>1905</v>
      </c>
      <c r="C616" s="115" t="s">
        <v>1915</v>
      </c>
      <c r="D616" s="89" t="s">
        <v>506</v>
      </c>
      <c r="E616" s="89">
        <v>2026.0</v>
      </c>
      <c r="F616" s="116" t="s">
        <v>1916</v>
      </c>
      <c r="G616" s="127"/>
      <c r="H616" s="117"/>
    </row>
    <row r="617">
      <c r="A617" s="97">
        <v>46003.0</v>
      </c>
      <c r="B617" s="115" t="s">
        <v>1917</v>
      </c>
      <c r="C617" s="115" t="s">
        <v>1918</v>
      </c>
      <c r="D617" s="89" t="s">
        <v>715</v>
      </c>
      <c r="E617" s="89">
        <v>2026.0</v>
      </c>
      <c r="F617" s="116" t="s">
        <v>1919</v>
      </c>
      <c r="G617" s="127"/>
      <c r="H617" s="117"/>
    </row>
    <row r="618">
      <c r="A618" s="109">
        <v>46003.0</v>
      </c>
      <c r="B618" s="115" t="s">
        <v>1920</v>
      </c>
      <c r="C618" s="115" t="s">
        <v>1921</v>
      </c>
      <c r="D618" s="89" t="s">
        <v>506</v>
      </c>
      <c r="E618" s="89">
        <v>2026.0</v>
      </c>
      <c r="F618" s="116" t="s">
        <v>1922</v>
      </c>
      <c r="G618" s="127"/>
      <c r="H618" s="117"/>
    </row>
    <row r="619">
      <c r="A619" s="97">
        <v>46004.0</v>
      </c>
      <c r="B619" s="122" t="s">
        <v>960</v>
      </c>
      <c r="C619" s="122" t="s">
        <v>961</v>
      </c>
      <c r="D619" s="128" t="s">
        <v>506</v>
      </c>
      <c r="E619" s="129">
        <v>2026.0</v>
      </c>
      <c r="F619" s="116" t="s">
        <v>1923</v>
      </c>
      <c r="G619" s="126">
        <v>6.0</v>
      </c>
      <c r="H619" s="117"/>
    </row>
    <row r="620">
      <c r="A620" s="97">
        <v>46004.0</v>
      </c>
      <c r="B620" s="115" t="s">
        <v>1389</v>
      </c>
      <c r="C620" s="115" t="s">
        <v>1390</v>
      </c>
      <c r="D620" s="89" t="s">
        <v>784</v>
      </c>
      <c r="E620" s="89">
        <v>2027.0</v>
      </c>
      <c r="F620" s="116" t="s">
        <v>1924</v>
      </c>
      <c r="G620" s="126">
        <v>4.0</v>
      </c>
      <c r="H620" s="117"/>
    </row>
    <row r="621">
      <c r="A621" s="97"/>
      <c r="B621" s="117"/>
      <c r="C621" s="117"/>
      <c r="D621" s="92"/>
      <c r="E621" s="92"/>
      <c r="F621" s="130"/>
      <c r="G621" s="127"/>
      <c r="H621" s="117"/>
    </row>
    <row r="622">
      <c r="A622" s="97"/>
      <c r="B622" s="117"/>
      <c r="C622" s="117"/>
      <c r="D622" s="92"/>
      <c r="E622" s="92"/>
      <c r="F622" s="130"/>
      <c r="G622" s="127"/>
      <c r="H622" s="117"/>
    </row>
    <row r="623">
      <c r="A623" s="97"/>
      <c r="B623" s="117"/>
      <c r="C623" s="117"/>
      <c r="D623" s="92"/>
      <c r="E623" s="92"/>
      <c r="F623" s="130"/>
      <c r="G623" s="127"/>
      <c r="H623" s="117"/>
    </row>
    <row r="624">
      <c r="A624" s="97"/>
      <c r="B624" s="117"/>
      <c r="C624" s="117"/>
      <c r="D624" s="92"/>
      <c r="E624" s="92"/>
      <c r="F624" s="130"/>
      <c r="G624" s="127"/>
      <c r="H624" s="117"/>
    </row>
    <row r="625">
      <c r="A625" s="97"/>
      <c r="B625" s="117"/>
      <c r="C625" s="117"/>
      <c r="D625" s="92"/>
      <c r="E625" s="92"/>
      <c r="F625" s="130"/>
      <c r="G625" s="127"/>
      <c r="H625" s="117"/>
    </row>
    <row r="626">
      <c r="A626" s="97"/>
      <c r="B626" s="117"/>
      <c r="C626" s="117"/>
      <c r="D626" s="92"/>
      <c r="E626" s="92"/>
      <c r="F626" s="130"/>
      <c r="G626" s="127"/>
      <c r="H626" s="117"/>
    </row>
    <row r="627">
      <c r="A627" s="97"/>
      <c r="B627" s="117"/>
      <c r="C627" s="117"/>
      <c r="D627" s="92"/>
      <c r="E627" s="92"/>
      <c r="F627" s="130"/>
      <c r="G627" s="127"/>
      <c r="H627" s="117"/>
    </row>
    <row r="628">
      <c r="A628" s="97"/>
      <c r="B628" s="117"/>
      <c r="C628" s="117"/>
      <c r="D628" s="92"/>
      <c r="E628" s="92"/>
      <c r="F628" s="130"/>
      <c r="G628" s="127"/>
      <c r="H628" s="117"/>
    </row>
    <row r="629">
      <c r="A629" s="97"/>
      <c r="B629" s="117"/>
      <c r="C629" s="117"/>
      <c r="D629" s="92"/>
      <c r="E629" s="92"/>
      <c r="F629" s="130"/>
      <c r="G629" s="127"/>
      <c r="H629" s="117"/>
    </row>
    <row r="630">
      <c r="A630" s="97"/>
      <c r="B630" s="117"/>
      <c r="C630" s="117"/>
      <c r="D630" s="92"/>
      <c r="E630" s="92"/>
      <c r="F630" s="130"/>
      <c r="G630" s="127"/>
      <c r="H630" s="117"/>
    </row>
    <row r="631">
      <c r="A631" s="97"/>
      <c r="B631" s="117"/>
      <c r="C631" s="117"/>
      <c r="D631" s="92"/>
      <c r="E631" s="92"/>
      <c r="F631" s="130"/>
      <c r="G631" s="127"/>
      <c r="H631" s="117"/>
    </row>
    <row r="632">
      <c r="A632" s="97"/>
      <c r="B632" s="117"/>
      <c r="C632" s="117"/>
      <c r="D632" s="92"/>
      <c r="E632" s="92"/>
      <c r="F632" s="130"/>
      <c r="G632" s="127"/>
      <c r="H632" s="117"/>
    </row>
    <row r="633">
      <c r="A633" s="97"/>
      <c r="B633" s="117"/>
      <c r="C633" s="117"/>
      <c r="D633" s="92"/>
      <c r="E633" s="92"/>
      <c r="F633" s="130"/>
      <c r="G633" s="127"/>
      <c r="H633" s="117"/>
    </row>
    <row r="634">
      <c r="A634" s="97"/>
      <c r="B634" s="117"/>
      <c r="C634" s="117"/>
      <c r="D634" s="92"/>
      <c r="E634" s="92"/>
      <c r="F634" s="130"/>
      <c r="G634" s="127"/>
      <c r="H634" s="117"/>
    </row>
    <row r="635">
      <c r="A635" s="97"/>
      <c r="B635" s="117"/>
      <c r="C635" s="117"/>
      <c r="D635" s="92"/>
      <c r="E635" s="92"/>
      <c r="F635" s="130"/>
      <c r="G635" s="127"/>
      <c r="H635" s="117"/>
    </row>
    <row r="636">
      <c r="A636" s="97"/>
      <c r="B636" s="117"/>
      <c r="C636" s="117"/>
      <c r="D636" s="92"/>
      <c r="E636" s="92"/>
      <c r="F636" s="130"/>
      <c r="G636" s="127"/>
      <c r="H636" s="117"/>
    </row>
    <row r="637">
      <c r="A637" s="97"/>
      <c r="B637" s="117"/>
      <c r="C637" s="117"/>
      <c r="D637" s="92"/>
      <c r="E637" s="92"/>
      <c r="F637" s="130"/>
      <c r="G637" s="127"/>
      <c r="H637" s="117"/>
    </row>
    <row r="638">
      <c r="A638" s="97"/>
      <c r="B638" s="117"/>
      <c r="C638" s="117"/>
      <c r="D638" s="92"/>
      <c r="E638" s="92"/>
      <c r="F638" s="130"/>
      <c r="G638" s="127"/>
      <c r="H638" s="117"/>
    </row>
    <row r="639">
      <c r="A639" s="97"/>
      <c r="B639" s="117"/>
      <c r="C639" s="117"/>
      <c r="D639" s="92"/>
      <c r="E639" s="92"/>
      <c r="F639" s="130"/>
      <c r="G639" s="127"/>
      <c r="H639" s="117"/>
    </row>
    <row r="640">
      <c r="A640" s="97"/>
      <c r="B640" s="117"/>
      <c r="C640" s="117"/>
      <c r="D640" s="92"/>
      <c r="E640" s="92"/>
      <c r="F640" s="130"/>
      <c r="G640" s="127"/>
      <c r="H640" s="117"/>
    </row>
    <row r="641">
      <c r="A641" s="97"/>
      <c r="B641" s="117"/>
      <c r="C641" s="117"/>
      <c r="D641" s="92"/>
      <c r="E641" s="92"/>
      <c r="F641" s="130"/>
      <c r="G641" s="127"/>
      <c r="H641" s="117"/>
    </row>
    <row r="642">
      <c r="A642" s="117"/>
      <c r="B642" s="117"/>
      <c r="C642" s="117"/>
      <c r="D642" s="92"/>
      <c r="E642" s="92"/>
      <c r="F642" s="130"/>
      <c r="G642" s="118" t="s">
        <v>1925</v>
      </c>
      <c r="H642" s="92">
        <f>SUM(G2:G641)</f>
        <v>6077</v>
      </c>
    </row>
    <row r="643">
      <c r="F643" s="131"/>
    </row>
    <row r="644">
      <c r="F644" s="131"/>
    </row>
    <row r="645">
      <c r="F645" s="131"/>
    </row>
    <row r="646">
      <c r="F646" s="131"/>
    </row>
    <row r="647">
      <c r="F647" s="131"/>
    </row>
    <row r="648">
      <c r="F648" s="131"/>
    </row>
    <row r="649">
      <c r="F649" s="131"/>
    </row>
    <row r="650">
      <c r="F650" s="131"/>
    </row>
    <row r="651">
      <c r="F651" s="131"/>
    </row>
    <row r="652">
      <c r="F652" s="131"/>
    </row>
    <row r="653">
      <c r="F653" s="131"/>
    </row>
    <row r="654">
      <c r="F654" s="131"/>
    </row>
    <row r="655">
      <c r="F655" s="131"/>
    </row>
    <row r="656">
      <c r="F656" s="131"/>
    </row>
    <row r="657">
      <c r="F657" s="131"/>
    </row>
    <row r="658">
      <c r="F658" s="131"/>
    </row>
    <row r="659">
      <c r="F659" s="131"/>
    </row>
    <row r="660">
      <c r="F660" s="131"/>
    </row>
    <row r="661">
      <c r="F661" s="131"/>
    </row>
    <row r="662">
      <c r="F662" s="131"/>
    </row>
    <row r="663">
      <c r="F663" s="131"/>
    </row>
    <row r="664">
      <c r="F664" s="131"/>
    </row>
    <row r="665">
      <c r="F665" s="131"/>
    </row>
    <row r="666">
      <c r="F666" s="131"/>
    </row>
    <row r="667">
      <c r="F667" s="131"/>
    </row>
    <row r="668">
      <c r="F668" s="131"/>
    </row>
    <row r="669">
      <c r="F669" s="131"/>
    </row>
    <row r="670">
      <c r="F670" s="131"/>
    </row>
    <row r="671">
      <c r="F671" s="131"/>
    </row>
    <row r="672">
      <c r="F672" s="131"/>
    </row>
    <row r="673">
      <c r="F673" s="131"/>
    </row>
    <row r="674">
      <c r="F674" s="131"/>
    </row>
    <row r="675">
      <c r="F675" s="131"/>
    </row>
    <row r="676">
      <c r="F676" s="131"/>
    </row>
    <row r="677">
      <c r="F677" s="131"/>
    </row>
    <row r="678">
      <c r="F678" s="131"/>
    </row>
    <row r="679">
      <c r="F679" s="131"/>
    </row>
    <row r="680" ht="15.75" customHeight="1">
      <c r="F680" s="131"/>
    </row>
    <row r="681" ht="15.75" customHeight="1">
      <c r="F681" s="131"/>
    </row>
    <row r="682" ht="15.75" customHeight="1">
      <c r="F682" s="131"/>
    </row>
    <row r="683" ht="15.75" customHeight="1">
      <c r="F683" s="131"/>
    </row>
    <row r="684" ht="15.75" customHeight="1">
      <c r="F684" s="131"/>
    </row>
    <row r="685" ht="15.75" customHeight="1">
      <c r="A685" s="97">
        <v>45904.0</v>
      </c>
      <c r="F685" s="131"/>
    </row>
  </sheetData>
  <conditionalFormatting sqref="G21:G685">
    <cfRule type="cellIs" dxfId="1" priority="1" operator="equal">
      <formula>0</formula>
    </cfRule>
  </conditionalFormatting>
  <dataValidations>
    <dataValidation type="list" allowBlank="1" sqref="D2:D642">
      <formula1>"HCA,Kim/Tritton,Barclay,Gummere,Lloyd,Leeds,North Dorms,Staff/Faculty Office,Off Campus,Q House,Cadbury,Yarnall,Drinker,LCC (Latinx),Railroad,Ira Reid,Club,Bryn Mawr,BCC (Black Cultural Center),710 College Ave"</formula1>
    </dataValidation>
    <dataValidation type="list" allowBlank="1" sqref="E2:E68 E70:E642">
      <formula1>"2021,2022,2023,2024,2025,2026,2027,2028,2029,Staff,Faculty"</formula1>
    </dataValidation>
    <dataValidation type="custom" allowBlank="1" showDropDown="1" showErrorMessage="1" sqref="A3:A4">
      <formula1>OR(NOT(ISERROR(DATEVALUE(A3))), AND(ISNUMBER(A3), LEFT(CELL("format", A3))="D"))</formula1>
    </dataValidation>
    <dataValidation type="custom" allowBlank="1" showDropDown="1" sqref="A2 A5:A641 A685">
      <formula1>OR(NOT(ISERROR(DATEVALUE(A2))), AND(ISNUMBER(A2), LEFT(CELL("format", A2))="D"))</formula1>
    </dataValidation>
    <dataValidation type="list" allowBlank="1" sqref="E69">
      <formula1>"2021,2022,2023,2024,2025,2026,2027,2028,Staff,Faculty,2029"</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1.0"/>
    <col customWidth="1" min="2" max="2" width="34.0"/>
    <col customWidth="1" min="3" max="3" width="25.0"/>
    <col customWidth="1" min="4" max="4" width="21.13"/>
    <col customWidth="1" min="5" max="5" width="13.75"/>
    <col customWidth="1" min="6" max="6" width="13.0"/>
    <col customWidth="1" min="7" max="9" width="9.88"/>
    <col customWidth="1" min="10" max="10" width="12.25"/>
  </cols>
  <sheetData>
    <row r="1" ht="35.25" customHeight="1">
      <c r="A1" s="132" t="s">
        <v>7</v>
      </c>
      <c r="B1" s="132" t="s">
        <v>1926</v>
      </c>
      <c r="C1" s="132" t="s">
        <v>498</v>
      </c>
      <c r="D1" s="132" t="s">
        <v>499</v>
      </c>
      <c r="E1" s="133" t="s">
        <v>500</v>
      </c>
      <c r="F1" s="134" t="s">
        <v>1927</v>
      </c>
      <c r="G1" s="134" t="s">
        <v>1324</v>
      </c>
      <c r="H1" s="134" t="s">
        <v>1928</v>
      </c>
      <c r="I1" s="134" t="s">
        <v>1704</v>
      </c>
      <c r="J1" s="134" t="s">
        <v>1929</v>
      </c>
    </row>
    <row r="2" ht="22.5" customHeight="1">
      <c r="A2" s="135"/>
      <c r="B2" s="136" t="s">
        <v>908</v>
      </c>
      <c r="C2" s="137"/>
      <c r="D2" s="137"/>
      <c r="E2" s="138"/>
      <c r="F2" s="139" t="b">
        <v>0</v>
      </c>
      <c r="G2" s="139" t="b">
        <v>0</v>
      </c>
      <c r="H2" s="139" t="b">
        <v>0</v>
      </c>
      <c r="I2" s="140" t="b">
        <v>1</v>
      </c>
      <c r="J2" s="141" t="s">
        <v>889</v>
      </c>
    </row>
    <row r="3" ht="22.5" customHeight="1">
      <c r="A3" s="135"/>
      <c r="B3" s="137"/>
      <c r="C3" s="137"/>
      <c r="D3" s="137"/>
      <c r="E3" s="138"/>
      <c r="F3" s="139" t="b">
        <v>0</v>
      </c>
      <c r="G3" s="139" t="b">
        <v>0</v>
      </c>
      <c r="H3" s="139" t="b">
        <v>0</v>
      </c>
      <c r="I3" s="139" t="b">
        <v>0</v>
      </c>
      <c r="J3" s="142"/>
    </row>
    <row r="4" ht="22.5" customHeight="1">
      <c r="A4" s="135"/>
      <c r="B4" s="137"/>
      <c r="C4" s="137"/>
      <c r="D4" s="137"/>
      <c r="E4" s="138"/>
      <c r="F4" s="139" t="b">
        <v>0</v>
      </c>
      <c r="G4" s="139" t="b">
        <v>0</v>
      </c>
      <c r="H4" s="139" t="b">
        <v>0</v>
      </c>
      <c r="I4" s="139" t="b">
        <v>0</v>
      </c>
      <c r="J4" s="142"/>
    </row>
    <row r="5" ht="22.5" customHeight="1">
      <c r="A5" s="135"/>
      <c r="B5" s="137"/>
      <c r="C5" s="137"/>
      <c r="D5" s="137"/>
      <c r="E5" s="138"/>
      <c r="F5" s="139" t="b">
        <v>0</v>
      </c>
      <c r="G5" s="139" t="b">
        <v>0</v>
      </c>
      <c r="H5" s="139" t="b">
        <v>0</v>
      </c>
      <c r="I5" s="139" t="b">
        <v>0</v>
      </c>
      <c r="J5" s="142"/>
    </row>
    <row r="6" ht="22.5" customHeight="1">
      <c r="A6" s="135"/>
      <c r="B6" s="137"/>
      <c r="C6" s="137"/>
      <c r="D6" s="137"/>
      <c r="E6" s="138"/>
      <c r="F6" s="139" t="b">
        <v>0</v>
      </c>
      <c r="G6" s="139" t="b">
        <v>0</v>
      </c>
      <c r="H6" s="139" t="b">
        <v>0</v>
      </c>
      <c r="I6" s="139" t="b">
        <v>0</v>
      </c>
      <c r="J6" s="142"/>
    </row>
    <row r="7" ht="22.5" customHeight="1">
      <c r="A7" s="135"/>
      <c r="B7" s="137"/>
      <c r="C7" s="137"/>
      <c r="D7" s="137"/>
      <c r="E7" s="138"/>
      <c r="F7" s="139" t="b">
        <v>0</v>
      </c>
      <c r="G7" s="139" t="b">
        <v>0</v>
      </c>
      <c r="H7" s="139" t="b">
        <v>0</v>
      </c>
      <c r="I7" s="139" t="b">
        <v>0</v>
      </c>
      <c r="J7" s="142"/>
    </row>
    <row r="8" ht="22.5" customHeight="1">
      <c r="A8" s="135"/>
      <c r="B8" s="137"/>
      <c r="C8" s="137"/>
      <c r="D8" s="137"/>
      <c r="E8" s="138"/>
      <c r="F8" s="139" t="b">
        <v>0</v>
      </c>
      <c r="G8" s="139" t="b">
        <v>0</v>
      </c>
      <c r="H8" s="139" t="b">
        <v>0</v>
      </c>
      <c r="I8" s="139" t="b">
        <v>0</v>
      </c>
      <c r="J8" s="142"/>
    </row>
    <row r="9" ht="22.5" customHeight="1">
      <c r="A9" s="135"/>
      <c r="B9" s="137"/>
      <c r="C9" s="137"/>
      <c r="D9" s="137"/>
      <c r="E9" s="138"/>
      <c r="F9" s="139" t="b">
        <v>0</v>
      </c>
      <c r="G9" s="139" t="b">
        <v>0</v>
      </c>
      <c r="H9" s="139" t="b">
        <v>0</v>
      </c>
      <c r="I9" s="139" t="b">
        <v>0</v>
      </c>
      <c r="J9" s="142"/>
    </row>
    <row r="10" ht="22.5" customHeight="1">
      <c r="A10" s="135"/>
      <c r="B10" s="137"/>
      <c r="C10" s="137"/>
      <c r="D10" s="137"/>
      <c r="E10" s="138"/>
      <c r="F10" s="139" t="b">
        <v>0</v>
      </c>
      <c r="G10" s="139" t="b">
        <v>0</v>
      </c>
      <c r="H10" s="139" t="b">
        <v>0</v>
      </c>
      <c r="I10" s="139" t="b">
        <v>0</v>
      </c>
      <c r="J10" s="142"/>
    </row>
    <row r="11" ht="22.5" customHeight="1">
      <c r="A11" s="135"/>
      <c r="B11" s="137"/>
      <c r="C11" s="137"/>
      <c r="D11" s="137"/>
      <c r="E11" s="138"/>
      <c r="F11" s="139" t="b">
        <v>0</v>
      </c>
      <c r="G11" s="139" t="b">
        <v>0</v>
      </c>
      <c r="H11" s="139" t="b">
        <v>0</v>
      </c>
      <c r="I11" s="139" t="b">
        <v>0</v>
      </c>
      <c r="J11" s="142"/>
    </row>
    <row r="12" ht="22.5" customHeight="1">
      <c r="A12" s="135"/>
      <c r="B12" s="137"/>
      <c r="C12" s="137"/>
      <c r="D12" s="137"/>
      <c r="E12" s="138"/>
      <c r="F12" s="139" t="b">
        <v>0</v>
      </c>
      <c r="G12" s="139" t="b">
        <v>0</v>
      </c>
      <c r="H12" s="139" t="b">
        <v>0</v>
      </c>
      <c r="I12" s="139" t="b">
        <v>0</v>
      </c>
      <c r="J12" s="142"/>
    </row>
    <row r="13" ht="22.5" customHeight="1">
      <c r="A13" s="135"/>
      <c r="B13" s="137"/>
      <c r="C13" s="137"/>
      <c r="D13" s="137"/>
      <c r="E13" s="138"/>
      <c r="F13" s="139" t="b">
        <v>0</v>
      </c>
      <c r="G13" s="139" t="b">
        <v>0</v>
      </c>
      <c r="H13" s="139" t="b">
        <v>0</v>
      </c>
      <c r="I13" s="139" t="b">
        <v>0</v>
      </c>
      <c r="J13" s="142"/>
    </row>
    <row r="14" ht="22.5" customHeight="1">
      <c r="A14" s="135"/>
      <c r="B14" s="137"/>
      <c r="C14" s="137"/>
      <c r="D14" s="137"/>
      <c r="E14" s="138"/>
      <c r="F14" s="139" t="b">
        <v>0</v>
      </c>
      <c r="G14" s="139" t="b">
        <v>0</v>
      </c>
      <c r="H14" s="139" t="b">
        <v>0</v>
      </c>
      <c r="I14" s="139" t="b">
        <v>0</v>
      </c>
      <c r="J14" s="142"/>
    </row>
    <row r="15" ht="22.5" customHeight="1">
      <c r="A15" s="135"/>
      <c r="B15" s="137"/>
      <c r="C15" s="137"/>
      <c r="D15" s="137"/>
      <c r="E15" s="138"/>
      <c r="F15" s="139" t="b">
        <v>0</v>
      </c>
      <c r="G15" s="139" t="b">
        <v>0</v>
      </c>
      <c r="H15" s="139" t="b">
        <v>0</v>
      </c>
      <c r="I15" s="139" t="b">
        <v>0</v>
      </c>
      <c r="J15" s="142"/>
    </row>
    <row r="16" ht="22.5" customHeight="1">
      <c r="A16" s="135"/>
      <c r="B16" s="137"/>
      <c r="C16" s="137"/>
      <c r="D16" s="137"/>
      <c r="E16" s="138"/>
      <c r="F16" s="139" t="b">
        <v>0</v>
      </c>
      <c r="G16" s="139" t="b">
        <v>0</v>
      </c>
      <c r="H16" s="139" t="b">
        <v>0</v>
      </c>
      <c r="I16" s="139" t="b">
        <v>0</v>
      </c>
      <c r="J16" s="142"/>
    </row>
    <row r="17" ht="22.5" customHeight="1">
      <c r="A17" s="135"/>
      <c r="B17" s="137"/>
      <c r="C17" s="137"/>
      <c r="D17" s="137"/>
      <c r="E17" s="138"/>
      <c r="F17" s="139" t="b">
        <v>0</v>
      </c>
      <c r="G17" s="139" t="b">
        <v>0</v>
      </c>
      <c r="H17" s="139" t="b">
        <v>0</v>
      </c>
      <c r="I17" s="139" t="b">
        <v>0</v>
      </c>
      <c r="J17" s="142"/>
    </row>
    <row r="18" ht="22.5" customHeight="1">
      <c r="A18" s="135"/>
      <c r="B18" s="137"/>
      <c r="C18" s="137"/>
      <c r="D18" s="137"/>
      <c r="E18" s="138"/>
      <c r="F18" s="139" t="b">
        <v>0</v>
      </c>
      <c r="G18" s="139" t="b">
        <v>0</v>
      </c>
      <c r="H18" s="139" t="b">
        <v>0</v>
      </c>
      <c r="I18" s="139" t="b">
        <v>0</v>
      </c>
      <c r="J18" s="142"/>
    </row>
    <row r="19" ht="22.5" customHeight="1">
      <c r="A19" s="135"/>
      <c r="B19" s="137"/>
      <c r="C19" s="137"/>
      <c r="D19" s="137"/>
      <c r="E19" s="138"/>
      <c r="F19" s="139" t="b">
        <v>0</v>
      </c>
      <c r="G19" s="139" t="b">
        <v>0</v>
      </c>
      <c r="H19" s="139" t="b">
        <v>0</v>
      </c>
      <c r="I19" s="139" t="b">
        <v>0</v>
      </c>
      <c r="J19" s="142"/>
    </row>
    <row r="20" ht="22.5" customHeight="1">
      <c r="A20" s="135"/>
      <c r="B20" s="137"/>
      <c r="C20" s="137"/>
      <c r="D20" s="137"/>
      <c r="E20" s="138"/>
      <c r="F20" s="139" t="b">
        <v>0</v>
      </c>
      <c r="G20" s="139" t="b">
        <v>0</v>
      </c>
      <c r="H20" s="139" t="b">
        <v>0</v>
      </c>
      <c r="I20" s="139" t="b">
        <v>0</v>
      </c>
      <c r="J20" s="142"/>
    </row>
    <row r="21" ht="22.5" customHeight="1">
      <c r="A21" s="135"/>
      <c r="B21" s="137"/>
      <c r="C21" s="137"/>
      <c r="D21" s="137"/>
      <c r="E21" s="138"/>
      <c r="F21" s="139" t="b">
        <v>0</v>
      </c>
      <c r="G21" s="139" t="b">
        <v>0</v>
      </c>
      <c r="H21" s="139" t="b">
        <v>0</v>
      </c>
      <c r="I21" s="139" t="b">
        <v>0</v>
      </c>
      <c r="J21" s="142"/>
    </row>
    <row r="22" ht="22.5" customHeight="1">
      <c r="A22" s="135"/>
      <c r="B22" s="137"/>
      <c r="C22" s="137"/>
      <c r="D22" s="137"/>
      <c r="E22" s="138"/>
      <c r="F22" s="139" t="b">
        <v>0</v>
      </c>
      <c r="G22" s="139" t="b">
        <v>0</v>
      </c>
      <c r="H22" s="139" t="b">
        <v>0</v>
      </c>
      <c r="I22" s="139" t="b">
        <v>0</v>
      </c>
      <c r="J22" s="142"/>
    </row>
    <row r="23" ht="22.5" customHeight="1">
      <c r="A23" s="135"/>
      <c r="B23" s="137"/>
      <c r="C23" s="137"/>
      <c r="D23" s="137"/>
      <c r="E23" s="138"/>
      <c r="F23" s="139" t="b">
        <v>0</v>
      </c>
      <c r="G23" s="139" t="b">
        <v>0</v>
      </c>
      <c r="H23" s="139" t="b">
        <v>0</v>
      </c>
      <c r="I23" s="139" t="b">
        <v>0</v>
      </c>
      <c r="J23" s="142"/>
    </row>
    <row r="24" ht="22.5" customHeight="1">
      <c r="A24" s="135"/>
      <c r="B24" s="137"/>
      <c r="C24" s="137"/>
      <c r="D24" s="137"/>
      <c r="E24" s="138"/>
      <c r="F24" s="139" t="b">
        <v>0</v>
      </c>
      <c r="G24" s="139" t="b">
        <v>0</v>
      </c>
      <c r="H24" s="139" t="b">
        <v>0</v>
      </c>
      <c r="I24" s="139" t="b">
        <v>0</v>
      </c>
      <c r="J24" s="142"/>
    </row>
    <row r="25" ht="22.5" customHeight="1">
      <c r="A25" s="135"/>
      <c r="B25" s="137"/>
      <c r="C25" s="137"/>
      <c r="D25" s="137"/>
      <c r="E25" s="138"/>
      <c r="F25" s="139" t="b">
        <v>0</v>
      </c>
      <c r="G25" s="139" t="b">
        <v>0</v>
      </c>
      <c r="H25" s="139" t="b">
        <v>0</v>
      </c>
      <c r="I25" s="139" t="b">
        <v>0</v>
      </c>
      <c r="J25" s="142"/>
    </row>
    <row r="26" ht="22.5" customHeight="1">
      <c r="A26" s="135"/>
      <c r="B26" s="137"/>
      <c r="C26" s="137"/>
      <c r="D26" s="137"/>
      <c r="E26" s="138"/>
      <c r="F26" s="139" t="b">
        <v>0</v>
      </c>
      <c r="G26" s="139" t="b">
        <v>0</v>
      </c>
      <c r="H26" s="139" t="b">
        <v>0</v>
      </c>
      <c r="I26" s="139" t="b">
        <v>0</v>
      </c>
      <c r="J26" s="142"/>
    </row>
    <row r="27" ht="22.5" customHeight="1">
      <c r="A27" s="135"/>
      <c r="B27" s="137"/>
      <c r="C27" s="137"/>
      <c r="D27" s="137"/>
      <c r="E27" s="138"/>
      <c r="F27" s="139" t="b">
        <v>0</v>
      </c>
      <c r="G27" s="139" t="b">
        <v>0</v>
      </c>
      <c r="H27" s="139" t="b">
        <v>0</v>
      </c>
      <c r="I27" s="139" t="b">
        <v>0</v>
      </c>
      <c r="J27" s="142"/>
    </row>
    <row r="28" ht="22.5" customHeight="1">
      <c r="A28" s="135"/>
      <c r="B28" s="137"/>
      <c r="C28" s="137"/>
      <c r="D28" s="137"/>
      <c r="E28" s="138"/>
      <c r="F28" s="139" t="b">
        <v>0</v>
      </c>
      <c r="G28" s="139" t="b">
        <v>0</v>
      </c>
      <c r="H28" s="139" t="b">
        <v>0</v>
      </c>
      <c r="I28" s="139" t="b">
        <v>0</v>
      </c>
      <c r="J28" s="142"/>
    </row>
    <row r="29" ht="22.5" customHeight="1">
      <c r="A29" s="135"/>
      <c r="B29" s="137"/>
      <c r="C29" s="137"/>
      <c r="D29" s="137"/>
      <c r="E29" s="138"/>
      <c r="F29" s="139" t="b">
        <v>0</v>
      </c>
      <c r="G29" s="139" t="b">
        <v>0</v>
      </c>
      <c r="H29" s="139" t="b">
        <v>0</v>
      </c>
      <c r="I29" s="139" t="b">
        <v>0</v>
      </c>
      <c r="J29" s="142"/>
    </row>
    <row r="30" ht="22.5" customHeight="1">
      <c r="A30" s="135"/>
      <c r="B30" s="137"/>
      <c r="C30" s="137"/>
      <c r="D30" s="137"/>
      <c r="E30" s="138"/>
      <c r="F30" s="139" t="b">
        <v>0</v>
      </c>
      <c r="G30" s="139" t="b">
        <v>0</v>
      </c>
      <c r="H30" s="139" t="b">
        <v>0</v>
      </c>
      <c r="I30" s="139" t="b">
        <v>0</v>
      </c>
      <c r="J30" s="142"/>
    </row>
    <row r="31" ht="22.5" customHeight="1">
      <c r="A31" s="135"/>
      <c r="B31" s="137"/>
      <c r="C31" s="137"/>
      <c r="D31" s="137"/>
      <c r="E31" s="138"/>
      <c r="F31" s="139" t="b">
        <v>0</v>
      </c>
      <c r="G31" s="139" t="b">
        <v>0</v>
      </c>
      <c r="H31" s="139" t="b">
        <v>0</v>
      </c>
      <c r="I31" s="139" t="b">
        <v>0</v>
      </c>
      <c r="J31" s="142"/>
    </row>
    <row r="32" ht="22.5" customHeight="1">
      <c r="A32" s="135"/>
      <c r="B32" s="137"/>
      <c r="C32" s="137"/>
      <c r="D32" s="137"/>
      <c r="E32" s="138"/>
      <c r="F32" s="139" t="b">
        <v>0</v>
      </c>
      <c r="G32" s="139" t="b">
        <v>0</v>
      </c>
      <c r="H32" s="139" t="b">
        <v>0</v>
      </c>
      <c r="I32" s="139" t="b">
        <v>0</v>
      </c>
      <c r="J32" s="142"/>
    </row>
    <row r="33" ht="22.5" customHeight="1">
      <c r="A33" s="135"/>
      <c r="B33" s="137"/>
      <c r="C33" s="137"/>
      <c r="D33" s="137"/>
      <c r="E33" s="138"/>
      <c r="F33" s="139" t="b">
        <v>0</v>
      </c>
      <c r="G33" s="139" t="b">
        <v>0</v>
      </c>
      <c r="H33" s="139" t="b">
        <v>0</v>
      </c>
      <c r="I33" s="139" t="b">
        <v>0</v>
      </c>
      <c r="J33" s="142"/>
    </row>
    <row r="34" ht="22.5" customHeight="1">
      <c r="A34" s="135"/>
      <c r="B34" s="137"/>
      <c r="C34" s="137"/>
      <c r="D34" s="137"/>
      <c r="E34" s="138"/>
      <c r="F34" s="139" t="b">
        <v>0</v>
      </c>
      <c r="G34" s="139" t="b">
        <v>0</v>
      </c>
      <c r="H34" s="139" t="b">
        <v>0</v>
      </c>
      <c r="I34" s="139" t="b">
        <v>0</v>
      </c>
      <c r="J34" s="142"/>
    </row>
    <row r="35" ht="22.5" customHeight="1">
      <c r="A35" s="135"/>
      <c r="B35" s="143"/>
      <c r="C35" s="143"/>
      <c r="D35" s="143"/>
      <c r="E35" s="144"/>
      <c r="F35" s="139" t="b">
        <v>0</v>
      </c>
      <c r="G35" s="139" t="b">
        <v>0</v>
      </c>
      <c r="H35" s="139" t="b">
        <v>0</v>
      </c>
      <c r="I35" s="139" t="b">
        <v>0</v>
      </c>
      <c r="J35" s="142"/>
    </row>
    <row r="36" ht="22.5" customHeight="1">
      <c r="A36" s="135"/>
      <c r="B36" s="137"/>
      <c r="C36" s="137"/>
      <c r="D36" s="137"/>
      <c r="E36" s="138"/>
      <c r="F36" s="139" t="b">
        <v>0</v>
      </c>
      <c r="G36" s="139" t="b">
        <v>0</v>
      </c>
      <c r="H36" s="139" t="b">
        <v>0</v>
      </c>
      <c r="I36" s="139" t="b">
        <v>0</v>
      </c>
      <c r="J36" s="142"/>
    </row>
    <row r="37" ht="22.5" customHeight="1">
      <c r="A37" s="135"/>
      <c r="B37" s="137"/>
      <c r="C37" s="137"/>
      <c r="D37" s="137"/>
      <c r="E37" s="138"/>
      <c r="F37" s="139" t="b">
        <v>0</v>
      </c>
      <c r="G37" s="139" t="b">
        <v>0</v>
      </c>
      <c r="H37" s="139" t="b">
        <v>0</v>
      </c>
      <c r="I37" s="139" t="b">
        <v>0</v>
      </c>
      <c r="J37" s="142"/>
    </row>
    <row r="38" ht="22.5" customHeight="1">
      <c r="A38" s="135"/>
      <c r="B38" s="137"/>
      <c r="C38" s="137"/>
      <c r="D38" s="137"/>
      <c r="E38" s="138"/>
      <c r="F38" s="139" t="b">
        <v>0</v>
      </c>
      <c r="G38" s="139" t="b">
        <v>0</v>
      </c>
      <c r="H38" s="139" t="b">
        <v>0</v>
      </c>
      <c r="I38" s="139" t="b">
        <v>0</v>
      </c>
      <c r="J38" s="142"/>
    </row>
    <row r="39" ht="22.5" customHeight="1">
      <c r="A39" s="135"/>
      <c r="B39" s="137"/>
      <c r="C39" s="137"/>
      <c r="D39" s="137"/>
      <c r="E39" s="138"/>
      <c r="F39" s="139" t="b">
        <v>0</v>
      </c>
      <c r="G39" s="139" t="b">
        <v>0</v>
      </c>
      <c r="H39" s="139" t="b">
        <v>0</v>
      </c>
      <c r="I39" s="139" t="b">
        <v>0</v>
      </c>
      <c r="J39" s="142"/>
    </row>
    <row r="40" ht="22.5" customHeight="1">
      <c r="A40" s="135"/>
      <c r="B40" s="137"/>
      <c r="C40" s="137"/>
      <c r="D40" s="137"/>
      <c r="E40" s="138"/>
      <c r="F40" s="139" t="b">
        <v>0</v>
      </c>
      <c r="G40" s="139" t="b">
        <v>0</v>
      </c>
      <c r="H40" s="139" t="b">
        <v>0</v>
      </c>
      <c r="I40" s="139" t="b">
        <v>0</v>
      </c>
      <c r="J40" s="142"/>
    </row>
    <row r="41" ht="22.5" customHeight="1">
      <c r="A41" s="135"/>
      <c r="B41" s="137"/>
      <c r="C41" s="137"/>
      <c r="D41" s="137"/>
      <c r="E41" s="138"/>
      <c r="F41" s="139" t="b">
        <v>0</v>
      </c>
      <c r="G41" s="139" t="b">
        <v>0</v>
      </c>
      <c r="H41" s="139" t="b">
        <v>0</v>
      </c>
      <c r="I41" s="139" t="b">
        <v>0</v>
      </c>
      <c r="J41" s="142"/>
    </row>
    <row r="42" ht="22.5" customHeight="1">
      <c r="A42" s="135"/>
      <c r="B42" s="135"/>
      <c r="C42" s="135"/>
      <c r="D42" s="135"/>
      <c r="E42" s="145"/>
      <c r="F42" s="146" t="str">
        <f t="shared" ref="F42:I42" si="1">COUNTIF(F2:F43,TRUE)</f>
        <v>#REF!</v>
      </c>
      <c r="G42" s="146" t="str">
        <f t="shared" si="1"/>
        <v>#REF!</v>
      </c>
      <c r="H42" s="146" t="str">
        <f t="shared" si="1"/>
        <v>#REF!</v>
      </c>
      <c r="I42" s="146" t="str">
        <f t="shared" si="1"/>
        <v>#REF!</v>
      </c>
      <c r="J42" s="142"/>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35">
      <formula1>"HCA,Kim/Tritton,Barclay,Gummere,Lloyd,Leeds,North Dorms,Staff/Faculty Office,Off Campus,Q House,Cadbury,Yarnall,Drinker,LCC,Railroad,Ira Reid,Club,Bryn Mawr"</formula1>
    </dataValidation>
    <dataValidation type="list" allowBlank="1" sqref="E2:E42">
      <formula1>"2021,2022,2023,2024,2025,2026,2027,2028,Staff,Faculty"</formula1>
    </dataValidation>
    <dataValidation type="custom" allowBlank="1" showDropDown="1" sqref="A2:A42">
      <formula1>OR(NOT(ISERROR(DATEVALUE(A2))), AND(ISNUMBER(A2), LEFT(CELL("format", A2))="D"))</formula1>
    </dataValidation>
    <dataValidation type="list" allowBlank="1" sqref="D2:D34 D36:D42">
      <formula1>"HCA,Kim/Tritton,Barclay,Gummere,Lloyd,Leeds,North Dorms,Staff/Faculty Office"</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5.13"/>
    <col customWidth="1" min="2" max="2" width="15.38"/>
  </cols>
  <sheetData>
    <row r="1" ht="15.75" customHeight="1">
      <c r="A1" s="147" t="s">
        <v>1930</v>
      </c>
      <c r="B1" s="147" t="s">
        <v>1931</v>
      </c>
      <c r="C1" s="147" t="s">
        <v>1932</v>
      </c>
    </row>
    <row r="2" ht="22.5" customHeight="1">
      <c r="A2" s="81" t="s">
        <v>1933</v>
      </c>
      <c r="B2" s="81" t="s">
        <v>1934</v>
      </c>
      <c r="C2" s="148" t="str">
        <f t="shared" ref="C2:C15" si="1">IF(B2="","",LEFT(ADDRESS(1,MATCH(B2,INDIRECT("'"&amp;A2&amp;"'!$1:$1"),FALSE),4)))</f>
        <v>#N/A</v>
      </c>
    </row>
    <row r="3" ht="22.5" customHeight="1">
      <c r="A3" s="81" t="s">
        <v>1933</v>
      </c>
      <c r="B3" s="81" t="s">
        <v>2</v>
      </c>
      <c r="C3" s="148" t="str">
        <f t="shared" si="1"/>
        <v>D</v>
      </c>
    </row>
    <row r="4" ht="22.5" customHeight="1">
      <c r="A4" s="81" t="s">
        <v>1935</v>
      </c>
      <c r="B4" s="81" t="s">
        <v>0</v>
      </c>
      <c r="C4" s="148" t="str">
        <f t="shared" si="1"/>
        <v>A</v>
      </c>
    </row>
    <row r="5" ht="22.5" customHeight="1">
      <c r="A5" s="81" t="s">
        <v>1935</v>
      </c>
      <c r="B5" s="81" t="s">
        <v>2</v>
      </c>
      <c r="C5" s="148" t="str">
        <f t="shared" si="1"/>
        <v>D</v>
      </c>
    </row>
    <row r="6" ht="22.5" customHeight="1">
      <c r="A6" s="81" t="s">
        <v>1936</v>
      </c>
      <c r="B6" s="149" t="str">
        <f>'Current inventory list'!B1</f>
        <v>Item name</v>
      </c>
      <c r="C6" s="148" t="str">
        <f t="shared" si="1"/>
        <v>B</v>
      </c>
    </row>
    <row r="7" ht="22.5" customHeight="1">
      <c r="A7" s="81" t="s">
        <v>1936</v>
      </c>
      <c r="B7" s="81" t="str">
        <f>'Current inventory list'!D1</f>
        <v>Check-in total</v>
      </c>
      <c r="C7" s="148" t="str">
        <f t="shared" si="1"/>
        <v>D</v>
      </c>
    </row>
    <row r="8" ht="22.5" customHeight="1">
      <c r="A8" s="81"/>
      <c r="B8" s="81"/>
      <c r="C8" s="148" t="str">
        <f t="shared" si="1"/>
        <v/>
      </c>
    </row>
    <row r="9" ht="22.5" customHeight="1">
      <c r="A9" s="81"/>
      <c r="B9" s="81"/>
      <c r="C9" s="148" t="str">
        <f t="shared" si="1"/>
        <v/>
      </c>
    </row>
    <row r="10" ht="22.5" customHeight="1">
      <c r="A10" s="81"/>
      <c r="B10" s="81"/>
      <c r="C10" s="148" t="str">
        <f t="shared" si="1"/>
        <v/>
      </c>
    </row>
    <row r="11" ht="22.5" customHeight="1">
      <c r="A11" s="81"/>
      <c r="B11" s="81"/>
      <c r="C11" s="148" t="str">
        <f t="shared" si="1"/>
        <v/>
      </c>
    </row>
    <row r="12" ht="22.5" customHeight="1">
      <c r="A12" s="81"/>
      <c r="B12" s="81"/>
      <c r="C12" s="148" t="str">
        <f t="shared" si="1"/>
        <v/>
      </c>
    </row>
    <row r="13" ht="22.5" customHeight="1">
      <c r="A13" s="81"/>
      <c r="B13" s="81"/>
      <c r="C13" s="148" t="str">
        <f t="shared" si="1"/>
        <v/>
      </c>
    </row>
    <row r="14" ht="22.5" customHeight="1">
      <c r="A14" s="81"/>
      <c r="B14" s="81"/>
      <c r="C14" s="148" t="str">
        <f t="shared" si="1"/>
        <v/>
      </c>
    </row>
    <row r="15" ht="22.5" customHeight="1">
      <c r="A15" s="81"/>
      <c r="B15" s="81"/>
      <c r="C15" s="148" t="str">
        <f t="shared" si="1"/>
        <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sheetData>
    <row r="1" ht="15.75" customHeight="1">
      <c r="A1" s="150" t="str">
        <f>IFERROR(__xludf.DUMMYFUNCTION("QUERY('Check-out'!A:Z,""SELECT ""&amp;Parameters!C4&amp;"",SUM(""&amp;Parameters!C5&amp;"") WHERE ""&amp;Parameters!C5&amp;""&gt;0 GROUP BY ""&amp;Parameters!C4&amp;"" LABEL SUM(""&amp;Parameters!C5&amp;"") 'Total quantity'"")"),"Check-out date")</f>
        <v>Check-out date</v>
      </c>
      <c r="B1" s="151" t="str">
        <f>IFERROR(__xludf.DUMMYFUNCTION("""COMPUTED_VALUE"""),"Total quantity")</f>
        <v>Total quantity</v>
      </c>
      <c r="C1" s="152" t="str">
        <f t="array" ref="C1:C1001">IF(ROW(A1:A1001)=1,"Weekday",IF(A1:A1001="","",CHOOSE(WEEKDAY(A1:A1001,2),"Monday","Tuesday","Wednesday","Thursday","Friday","Saturday","Sunday")))</f>
        <v>Weekday</v>
      </c>
      <c r="D1" s="151" t="s">
        <v>1937</v>
      </c>
      <c r="E1" s="151" t="s">
        <v>1938</v>
      </c>
    </row>
    <row r="2" ht="15.75" customHeight="1">
      <c r="A2" s="153"/>
      <c r="B2" s="153">
        <f>IFERROR(__xludf.DUMMYFUNCTION("""COMPUTED_VALUE"""),1.0)</f>
        <v>1</v>
      </c>
      <c r="C2" s="154" t="s">
        <v>6</v>
      </c>
      <c r="D2" s="153" t="s">
        <v>1939</v>
      </c>
      <c r="E2" s="155" t="str">
        <f t="shared" ref="E2:E8" si="1">AVERAGEIF(C:C,D2,B:B)</f>
        <v>#DIV/0!</v>
      </c>
    </row>
    <row r="3" ht="15.75" customHeight="1">
      <c r="A3" s="153"/>
      <c r="B3" s="153"/>
      <c r="C3" s="154" t="s">
        <v>6</v>
      </c>
      <c r="D3" s="153" t="s">
        <v>1940</v>
      </c>
      <c r="E3" s="155" t="str">
        <f t="shared" si="1"/>
        <v>#DIV/0!</v>
      </c>
    </row>
    <row r="4" ht="15.75" customHeight="1">
      <c r="A4" s="153"/>
      <c r="B4" s="153"/>
      <c r="C4" s="154" t="s">
        <v>6</v>
      </c>
      <c r="D4" s="153" t="s">
        <v>1941</v>
      </c>
      <c r="E4" s="155" t="str">
        <f t="shared" si="1"/>
        <v>#DIV/0!</v>
      </c>
    </row>
    <row r="5" ht="15.75" customHeight="1">
      <c r="A5" s="153"/>
      <c r="B5" s="153"/>
      <c r="C5" s="154" t="s">
        <v>6</v>
      </c>
      <c r="D5" s="153" t="s">
        <v>1942</v>
      </c>
      <c r="E5" s="155" t="str">
        <f t="shared" si="1"/>
        <v>#DIV/0!</v>
      </c>
    </row>
    <row r="6" ht="15.75" customHeight="1">
      <c r="A6" s="153"/>
      <c r="B6" s="153"/>
      <c r="C6" s="154" t="s">
        <v>6</v>
      </c>
      <c r="D6" s="153" t="s">
        <v>1943</v>
      </c>
      <c r="E6" s="155" t="str">
        <f t="shared" si="1"/>
        <v>#DIV/0!</v>
      </c>
    </row>
    <row r="7" ht="15.75" customHeight="1">
      <c r="A7" s="153"/>
      <c r="B7" s="153"/>
      <c r="C7" s="154" t="s">
        <v>6</v>
      </c>
      <c r="D7" s="153" t="s">
        <v>1944</v>
      </c>
      <c r="E7" s="155" t="str">
        <f t="shared" si="1"/>
        <v>#DIV/0!</v>
      </c>
    </row>
    <row r="8" ht="15.75" customHeight="1">
      <c r="A8" s="153"/>
      <c r="B8" s="153"/>
      <c r="C8" s="154" t="s">
        <v>6</v>
      </c>
      <c r="D8" s="153" t="s">
        <v>1945</v>
      </c>
      <c r="E8" s="155" t="str">
        <f t="shared" si="1"/>
        <v>#DIV/0!</v>
      </c>
    </row>
    <row r="9" ht="15.75" customHeight="1">
      <c r="A9" s="153"/>
      <c r="B9" s="153"/>
      <c r="C9" s="154" t="s">
        <v>6</v>
      </c>
      <c r="D9" s="153"/>
      <c r="E9" s="153"/>
    </row>
    <row r="10" ht="15.75" customHeight="1">
      <c r="A10" s="153"/>
      <c r="B10" s="153"/>
      <c r="C10" s="154" t="s">
        <v>6</v>
      </c>
      <c r="D10" s="153"/>
      <c r="E10" s="153"/>
    </row>
    <row r="11" ht="15.75" customHeight="1">
      <c r="A11" s="153"/>
      <c r="B11" s="153"/>
      <c r="C11" s="154" t="s">
        <v>6</v>
      </c>
      <c r="D11" s="153"/>
      <c r="E11" s="153"/>
    </row>
    <row r="12" ht="15.75" customHeight="1">
      <c r="A12" s="153"/>
      <c r="B12" s="153"/>
      <c r="C12" s="154" t="s">
        <v>6</v>
      </c>
      <c r="D12" s="153"/>
      <c r="E12" s="153"/>
    </row>
    <row r="13" ht="15.75" customHeight="1">
      <c r="A13" s="153"/>
      <c r="B13" s="153"/>
      <c r="C13" s="154" t="s">
        <v>6</v>
      </c>
      <c r="D13" s="153"/>
      <c r="E13" s="153"/>
    </row>
    <row r="14" ht="15.75" customHeight="1">
      <c r="A14" s="153"/>
      <c r="B14" s="153"/>
      <c r="C14" s="154" t="s">
        <v>6</v>
      </c>
      <c r="D14" s="153"/>
      <c r="E14" s="153"/>
    </row>
    <row r="15" ht="15.75" customHeight="1">
      <c r="A15" s="153"/>
      <c r="B15" s="153"/>
      <c r="C15" s="154" t="s">
        <v>6</v>
      </c>
      <c r="D15" s="153"/>
      <c r="E15" s="153"/>
    </row>
    <row r="16" ht="15.75" customHeight="1">
      <c r="A16" s="153"/>
      <c r="B16" s="153"/>
      <c r="C16" s="154" t="s">
        <v>6</v>
      </c>
      <c r="D16" s="153"/>
      <c r="E16" s="153"/>
    </row>
    <row r="17" ht="15.75" customHeight="1">
      <c r="A17" s="153"/>
      <c r="B17" s="153"/>
      <c r="C17" s="154" t="s">
        <v>6</v>
      </c>
      <c r="D17" s="153"/>
      <c r="E17" s="153"/>
    </row>
    <row r="18" ht="15.75" customHeight="1">
      <c r="A18" s="153"/>
      <c r="B18" s="153"/>
      <c r="C18" s="154" t="s">
        <v>6</v>
      </c>
      <c r="D18" s="153"/>
      <c r="E18" s="153"/>
    </row>
    <row r="19" ht="15.75" customHeight="1">
      <c r="A19" s="153"/>
      <c r="B19" s="153"/>
      <c r="C19" s="154" t="s">
        <v>6</v>
      </c>
      <c r="D19" s="153"/>
      <c r="E19" s="153"/>
    </row>
    <row r="20" ht="15.75" customHeight="1">
      <c r="A20" s="153"/>
      <c r="B20" s="153"/>
      <c r="C20" s="154" t="s">
        <v>6</v>
      </c>
      <c r="D20" s="153"/>
      <c r="E20" s="153"/>
    </row>
    <row r="21" ht="15.75" customHeight="1">
      <c r="A21" s="153"/>
      <c r="B21" s="153"/>
      <c r="C21" s="154" t="s">
        <v>6</v>
      </c>
      <c r="D21" s="153"/>
      <c r="E21" s="153"/>
    </row>
    <row r="22" ht="15.75" customHeight="1">
      <c r="A22" s="153"/>
      <c r="B22" s="153"/>
      <c r="C22" s="154" t="s">
        <v>6</v>
      </c>
      <c r="D22" s="153"/>
      <c r="E22" s="153"/>
    </row>
    <row r="23" ht="15.75" customHeight="1">
      <c r="A23" s="153"/>
      <c r="B23" s="153"/>
      <c r="C23" s="154" t="s">
        <v>6</v>
      </c>
      <c r="D23" s="153"/>
      <c r="E23" s="153"/>
    </row>
    <row r="24" ht="15.75" customHeight="1">
      <c r="A24" s="153"/>
      <c r="B24" s="153"/>
      <c r="C24" s="154" t="s">
        <v>6</v>
      </c>
      <c r="D24" s="153"/>
      <c r="E24" s="153"/>
    </row>
    <row r="25" ht="15.75" customHeight="1">
      <c r="A25" s="153"/>
      <c r="B25" s="153"/>
      <c r="C25" s="154" t="s">
        <v>6</v>
      </c>
      <c r="D25" s="153"/>
      <c r="E25" s="153"/>
    </row>
    <row r="26" ht="15.75" customHeight="1">
      <c r="A26" s="153"/>
      <c r="B26" s="153"/>
      <c r="C26" s="154" t="s">
        <v>6</v>
      </c>
      <c r="D26" s="153"/>
      <c r="E26" s="153"/>
    </row>
    <row r="27" ht="15.75" customHeight="1">
      <c r="A27" s="153"/>
      <c r="B27" s="153"/>
      <c r="C27" s="154" t="s">
        <v>6</v>
      </c>
      <c r="D27" s="153"/>
      <c r="E27" s="153"/>
    </row>
    <row r="28" ht="15.75" customHeight="1">
      <c r="A28" s="153"/>
      <c r="B28" s="153"/>
      <c r="C28" s="154" t="s">
        <v>6</v>
      </c>
      <c r="D28" s="153"/>
      <c r="E28" s="153"/>
    </row>
    <row r="29" ht="15.75" customHeight="1">
      <c r="A29" s="153"/>
      <c r="B29" s="153"/>
      <c r="C29" s="154" t="s">
        <v>6</v>
      </c>
      <c r="D29" s="153"/>
      <c r="E29" s="153"/>
    </row>
    <row r="30" ht="15.75" customHeight="1">
      <c r="A30" s="153"/>
      <c r="B30" s="153"/>
      <c r="C30" s="154" t="s">
        <v>6</v>
      </c>
      <c r="D30" s="153"/>
      <c r="E30" s="153"/>
    </row>
    <row r="31" ht="15.75" customHeight="1">
      <c r="A31" s="153"/>
      <c r="B31" s="153"/>
      <c r="C31" s="154" t="s">
        <v>6</v>
      </c>
      <c r="D31" s="153"/>
      <c r="E31" s="153"/>
    </row>
    <row r="32" ht="15.75" customHeight="1">
      <c r="A32" s="153"/>
      <c r="B32" s="153"/>
      <c r="C32" s="154" t="s">
        <v>6</v>
      </c>
      <c r="D32" s="153"/>
      <c r="E32" s="153"/>
    </row>
    <row r="33" ht="15.75" customHeight="1">
      <c r="A33" s="153"/>
      <c r="B33" s="153"/>
      <c r="C33" s="154" t="s">
        <v>6</v>
      </c>
      <c r="D33" s="153"/>
      <c r="E33" s="153"/>
    </row>
    <row r="34" ht="15.75" customHeight="1">
      <c r="A34" s="153"/>
      <c r="B34" s="153"/>
      <c r="C34" s="154" t="s">
        <v>6</v>
      </c>
      <c r="D34" s="153"/>
      <c r="E34" s="153"/>
    </row>
    <row r="35" ht="15.75" customHeight="1">
      <c r="A35" s="153"/>
      <c r="B35" s="153"/>
      <c r="C35" s="154" t="s">
        <v>6</v>
      </c>
      <c r="D35" s="153"/>
      <c r="E35" s="153"/>
    </row>
    <row r="36" ht="15.75" customHeight="1">
      <c r="A36" s="153"/>
      <c r="B36" s="153"/>
      <c r="C36" s="154" t="s">
        <v>6</v>
      </c>
      <c r="D36" s="153"/>
      <c r="E36" s="153"/>
    </row>
    <row r="37" ht="15.75" customHeight="1">
      <c r="A37" s="153"/>
      <c r="B37" s="153"/>
      <c r="C37" s="154" t="s">
        <v>6</v>
      </c>
      <c r="D37" s="153"/>
      <c r="E37" s="153"/>
    </row>
    <row r="38" ht="15.75" customHeight="1">
      <c r="A38" s="153"/>
      <c r="B38" s="153"/>
      <c r="C38" s="154" t="s">
        <v>6</v>
      </c>
      <c r="D38" s="153"/>
      <c r="E38" s="153"/>
    </row>
    <row r="39" ht="15.75" customHeight="1">
      <c r="A39" s="153"/>
      <c r="B39" s="153"/>
      <c r="C39" s="154" t="s">
        <v>6</v>
      </c>
      <c r="D39" s="153"/>
      <c r="E39" s="153"/>
    </row>
    <row r="40" ht="15.75" customHeight="1">
      <c r="A40" s="153"/>
      <c r="B40" s="153"/>
      <c r="C40" s="154" t="s">
        <v>6</v>
      </c>
      <c r="D40" s="153"/>
      <c r="E40" s="153"/>
    </row>
    <row r="41" ht="15.75" customHeight="1">
      <c r="A41" s="153"/>
      <c r="B41" s="153"/>
      <c r="C41" s="154" t="s">
        <v>6</v>
      </c>
      <c r="D41" s="153"/>
      <c r="E41" s="153"/>
    </row>
    <row r="42" ht="15.75" customHeight="1">
      <c r="A42" s="153"/>
      <c r="B42" s="153"/>
      <c r="C42" s="154" t="s">
        <v>6</v>
      </c>
      <c r="D42" s="153"/>
      <c r="E42" s="153"/>
    </row>
    <row r="43" ht="15.75" customHeight="1">
      <c r="A43" s="153"/>
      <c r="B43" s="153"/>
      <c r="C43" s="154" t="s">
        <v>6</v>
      </c>
      <c r="D43" s="153"/>
      <c r="E43" s="153"/>
    </row>
    <row r="44" ht="15.75" customHeight="1">
      <c r="A44" s="153"/>
      <c r="B44" s="153"/>
      <c r="C44" s="154" t="s">
        <v>6</v>
      </c>
      <c r="D44" s="153"/>
      <c r="E44" s="153"/>
    </row>
    <row r="45" ht="15.75" customHeight="1">
      <c r="A45" s="153"/>
      <c r="B45" s="153"/>
      <c r="C45" s="154" t="s">
        <v>6</v>
      </c>
      <c r="D45" s="153"/>
      <c r="E45" s="153"/>
    </row>
    <row r="46" ht="15.75" customHeight="1">
      <c r="A46" s="153"/>
      <c r="B46" s="153"/>
      <c r="C46" s="154" t="s">
        <v>6</v>
      </c>
      <c r="D46" s="153"/>
      <c r="E46" s="153"/>
    </row>
    <row r="47" ht="15.75" customHeight="1">
      <c r="A47" s="153"/>
      <c r="B47" s="153"/>
      <c r="C47" s="154" t="s">
        <v>6</v>
      </c>
      <c r="D47" s="153"/>
      <c r="E47" s="153"/>
    </row>
    <row r="48" ht="15.75" customHeight="1">
      <c r="A48" s="153"/>
      <c r="B48" s="153"/>
      <c r="C48" s="154" t="s">
        <v>6</v>
      </c>
      <c r="D48" s="153"/>
      <c r="E48" s="153"/>
    </row>
    <row r="49" ht="15.75" customHeight="1">
      <c r="A49" s="153"/>
      <c r="B49" s="153"/>
      <c r="C49" s="154" t="s">
        <v>6</v>
      </c>
      <c r="D49" s="153"/>
      <c r="E49" s="153"/>
    </row>
    <row r="50" ht="15.75" customHeight="1">
      <c r="A50" s="153"/>
      <c r="B50" s="153"/>
      <c r="C50" s="154" t="s">
        <v>6</v>
      </c>
      <c r="D50" s="153"/>
      <c r="E50" s="153"/>
    </row>
    <row r="51" ht="15.75" customHeight="1">
      <c r="A51" s="153"/>
      <c r="B51" s="153"/>
      <c r="C51" s="154" t="s">
        <v>6</v>
      </c>
      <c r="D51" s="153"/>
      <c r="E51" s="153"/>
    </row>
    <row r="52" ht="15.75" customHeight="1">
      <c r="A52" s="153"/>
      <c r="B52" s="153"/>
      <c r="C52" s="154" t="s">
        <v>6</v>
      </c>
      <c r="D52" s="153"/>
      <c r="E52" s="153"/>
    </row>
    <row r="53" ht="15.75" customHeight="1">
      <c r="A53" s="153"/>
      <c r="B53" s="153"/>
      <c r="C53" s="154" t="s">
        <v>6</v>
      </c>
      <c r="D53" s="153"/>
      <c r="E53" s="153"/>
    </row>
    <row r="54" ht="15.75" customHeight="1">
      <c r="A54" s="153"/>
      <c r="B54" s="153"/>
      <c r="C54" s="154" t="s">
        <v>6</v>
      </c>
      <c r="D54" s="153"/>
      <c r="E54" s="153"/>
    </row>
    <row r="55" ht="15.75" customHeight="1">
      <c r="A55" s="153"/>
      <c r="B55" s="153"/>
      <c r="C55" s="154" t="s">
        <v>6</v>
      </c>
      <c r="D55" s="153"/>
      <c r="E55" s="153"/>
    </row>
    <row r="56" ht="15.75" customHeight="1">
      <c r="A56" s="153"/>
      <c r="B56" s="153"/>
      <c r="C56" s="154" t="s">
        <v>6</v>
      </c>
      <c r="D56" s="153"/>
      <c r="E56" s="153"/>
    </row>
    <row r="57" ht="15.75" customHeight="1">
      <c r="A57" s="153"/>
      <c r="B57" s="153"/>
      <c r="C57" s="154" t="s">
        <v>6</v>
      </c>
      <c r="D57" s="153"/>
      <c r="E57" s="153"/>
    </row>
    <row r="58" ht="15.75" customHeight="1">
      <c r="A58" s="153"/>
      <c r="B58" s="153"/>
      <c r="C58" s="154" t="s">
        <v>6</v>
      </c>
      <c r="D58" s="153"/>
      <c r="E58" s="153"/>
    </row>
    <row r="59" ht="15.75" customHeight="1">
      <c r="A59" s="153"/>
      <c r="B59" s="153"/>
      <c r="C59" s="154" t="s">
        <v>6</v>
      </c>
      <c r="D59" s="153"/>
      <c r="E59" s="153"/>
    </row>
    <row r="60" ht="15.75" customHeight="1">
      <c r="A60" s="153"/>
      <c r="B60" s="153"/>
      <c r="C60" s="154" t="s">
        <v>6</v>
      </c>
      <c r="D60" s="153"/>
      <c r="E60" s="153"/>
    </row>
    <row r="61" ht="15.75" customHeight="1">
      <c r="A61" s="153"/>
      <c r="B61" s="153"/>
      <c r="C61" s="154" t="s">
        <v>6</v>
      </c>
      <c r="D61" s="153"/>
      <c r="E61" s="153"/>
    </row>
    <row r="62" ht="15.75" customHeight="1">
      <c r="A62" s="153"/>
      <c r="B62" s="153"/>
      <c r="C62" s="154" t="s">
        <v>6</v>
      </c>
      <c r="D62" s="153"/>
      <c r="E62" s="153"/>
    </row>
    <row r="63" ht="15.75" customHeight="1">
      <c r="A63" s="153"/>
      <c r="B63" s="153"/>
      <c r="C63" s="154" t="s">
        <v>6</v>
      </c>
      <c r="D63" s="153"/>
      <c r="E63" s="153"/>
    </row>
    <row r="64" ht="15.75" customHeight="1">
      <c r="A64" s="153"/>
      <c r="B64" s="153"/>
      <c r="C64" s="154" t="s">
        <v>6</v>
      </c>
      <c r="D64" s="153"/>
      <c r="E64" s="153"/>
    </row>
    <row r="65" ht="15.75" customHeight="1">
      <c r="A65" s="153"/>
      <c r="B65" s="153"/>
      <c r="C65" s="154" t="s">
        <v>6</v>
      </c>
      <c r="D65" s="153"/>
      <c r="E65" s="153"/>
    </row>
    <row r="66" ht="15.75" customHeight="1">
      <c r="A66" s="153"/>
      <c r="B66" s="153"/>
      <c r="C66" s="154" t="s">
        <v>6</v>
      </c>
      <c r="D66" s="153"/>
      <c r="E66" s="153"/>
    </row>
    <row r="67" ht="15.75" customHeight="1">
      <c r="A67" s="153"/>
      <c r="B67" s="153"/>
      <c r="C67" s="154" t="s">
        <v>6</v>
      </c>
      <c r="D67" s="153"/>
      <c r="E67" s="153"/>
    </row>
    <row r="68" ht="15.75" customHeight="1">
      <c r="A68" s="153"/>
      <c r="B68" s="153"/>
      <c r="C68" s="154" t="s">
        <v>6</v>
      </c>
      <c r="D68" s="153"/>
      <c r="E68" s="153"/>
    </row>
    <row r="69" ht="15.75" customHeight="1">
      <c r="A69" s="153"/>
      <c r="B69" s="153"/>
      <c r="C69" s="154" t="s">
        <v>6</v>
      </c>
      <c r="D69" s="153"/>
      <c r="E69" s="153"/>
    </row>
    <row r="70" ht="15.75" customHeight="1">
      <c r="A70" s="153"/>
      <c r="B70" s="153"/>
      <c r="C70" s="154" t="s">
        <v>6</v>
      </c>
      <c r="D70" s="153"/>
      <c r="E70" s="153"/>
    </row>
    <row r="71" ht="15.75" customHeight="1">
      <c r="A71" s="153"/>
      <c r="B71" s="153"/>
      <c r="C71" s="154" t="s">
        <v>6</v>
      </c>
      <c r="D71" s="153"/>
      <c r="E71" s="153"/>
    </row>
    <row r="72" ht="15.75" customHeight="1">
      <c r="A72" s="153"/>
      <c r="B72" s="153"/>
      <c r="C72" s="154" t="s">
        <v>6</v>
      </c>
      <c r="D72" s="153"/>
      <c r="E72" s="153"/>
    </row>
    <row r="73" ht="15.75" customHeight="1">
      <c r="A73" s="153"/>
      <c r="B73" s="153"/>
      <c r="C73" s="154" t="s">
        <v>6</v>
      </c>
      <c r="D73" s="153"/>
      <c r="E73" s="153"/>
    </row>
    <row r="74" ht="15.75" customHeight="1">
      <c r="A74" s="153"/>
      <c r="B74" s="153"/>
      <c r="C74" s="154" t="s">
        <v>6</v>
      </c>
      <c r="D74" s="153"/>
      <c r="E74" s="153"/>
    </row>
    <row r="75" ht="15.75" customHeight="1">
      <c r="A75" s="153"/>
      <c r="B75" s="153"/>
      <c r="C75" s="154" t="s">
        <v>6</v>
      </c>
      <c r="D75" s="153"/>
      <c r="E75" s="153"/>
    </row>
    <row r="76" ht="15.75" customHeight="1">
      <c r="A76" s="153"/>
      <c r="B76" s="153"/>
      <c r="C76" s="154" t="s">
        <v>6</v>
      </c>
      <c r="D76" s="153"/>
      <c r="E76" s="153"/>
    </row>
    <row r="77" ht="15.75" customHeight="1">
      <c r="A77" s="153"/>
      <c r="B77" s="153"/>
      <c r="C77" s="154" t="s">
        <v>6</v>
      </c>
      <c r="D77" s="153"/>
      <c r="E77" s="153"/>
    </row>
    <row r="78" ht="15.75" customHeight="1">
      <c r="A78" s="153"/>
      <c r="B78" s="153"/>
      <c r="C78" s="154" t="s">
        <v>6</v>
      </c>
      <c r="D78" s="153"/>
      <c r="E78" s="153"/>
    </row>
    <row r="79" ht="15.75" customHeight="1">
      <c r="A79" s="153"/>
      <c r="B79" s="153"/>
      <c r="C79" s="154" t="s">
        <v>6</v>
      </c>
      <c r="D79" s="153"/>
      <c r="E79" s="153"/>
    </row>
    <row r="80" ht="15.75" customHeight="1">
      <c r="A80" s="153"/>
      <c r="B80" s="153"/>
      <c r="C80" s="154" t="s">
        <v>6</v>
      </c>
      <c r="D80" s="153"/>
      <c r="E80" s="153"/>
    </row>
    <row r="81" ht="15.75" customHeight="1">
      <c r="A81" s="153"/>
      <c r="B81" s="153"/>
      <c r="C81" s="154" t="s">
        <v>6</v>
      </c>
      <c r="D81" s="153"/>
      <c r="E81" s="153"/>
    </row>
    <row r="82" ht="15.75" customHeight="1">
      <c r="A82" s="153"/>
      <c r="B82" s="153"/>
      <c r="C82" s="154" t="s">
        <v>6</v>
      </c>
      <c r="D82" s="153"/>
      <c r="E82" s="153"/>
    </row>
    <row r="83" ht="15.75" customHeight="1">
      <c r="A83" s="153"/>
      <c r="B83" s="153"/>
      <c r="C83" s="154" t="s">
        <v>6</v>
      </c>
      <c r="D83" s="153"/>
      <c r="E83" s="153"/>
    </row>
    <row r="84" ht="15.75" customHeight="1">
      <c r="A84" s="153"/>
      <c r="B84" s="153"/>
      <c r="C84" s="154" t="s">
        <v>6</v>
      </c>
      <c r="D84" s="153"/>
      <c r="E84" s="153"/>
    </row>
    <row r="85" ht="15.75" customHeight="1">
      <c r="A85" s="153"/>
      <c r="B85" s="153"/>
      <c r="C85" s="154" t="s">
        <v>6</v>
      </c>
      <c r="D85" s="153"/>
      <c r="E85" s="153"/>
    </row>
    <row r="86" ht="15.75" customHeight="1">
      <c r="A86" s="153"/>
      <c r="B86" s="153"/>
      <c r="C86" s="154" t="s">
        <v>6</v>
      </c>
      <c r="D86" s="153"/>
      <c r="E86" s="153"/>
    </row>
    <row r="87" ht="15.75" customHeight="1">
      <c r="A87" s="153"/>
      <c r="B87" s="153"/>
      <c r="C87" s="154" t="s">
        <v>6</v>
      </c>
      <c r="D87" s="153"/>
      <c r="E87" s="153"/>
    </row>
    <row r="88" ht="15.75" customHeight="1">
      <c r="A88" s="153"/>
      <c r="B88" s="153"/>
      <c r="C88" s="154" t="s">
        <v>6</v>
      </c>
      <c r="D88" s="153"/>
      <c r="E88" s="153"/>
    </row>
    <row r="89" ht="15.75" customHeight="1">
      <c r="A89" s="153"/>
      <c r="B89" s="153"/>
      <c r="C89" s="154" t="s">
        <v>6</v>
      </c>
      <c r="D89" s="153"/>
      <c r="E89" s="153"/>
    </row>
    <row r="90" ht="15.75" customHeight="1">
      <c r="A90" s="153"/>
      <c r="B90" s="153"/>
      <c r="C90" s="154" t="s">
        <v>6</v>
      </c>
      <c r="D90" s="153"/>
      <c r="E90" s="153"/>
    </row>
    <row r="91" ht="15.75" customHeight="1">
      <c r="A91" s="153"/>
      <c r="B91" s="153"/>
      <c r="C91" s="154" t="s">
        <v>6</v>
      </c>
      <c r="D91" s="153"/>
      <c r="E91" s="153"/>
    </row>
    <row r="92" ht="15.75" customHeight="1">
      <c r="A92" s="153"/>
      <c r="B92" s="153"/>
      <c r="C92" s="154" t="s">
        <v>6</v>
      </c>
      <c r="D92" s="153"/>
      <c r="E92" s="153"/>
    </row>
    <row r="93" ht="15.75" customHeight="1">
      <c r="A93" s="153"/>
      <c r="B93" s="153"/>
      <c r="C93" s="154" t="s">
        <v>6</v>
      </c>
      <c r="D93" s="153"/>
      <c r="E93" s="153"/>
    </row>
    <row r="94" ht="15.75" customHeight="1">
      <c r="A94" s="153"/>
      <c r="B94" s="153"/>
      <c r="C94" s="154" t="s">
        <v>6</v>
      </c>
      <c r="D94" s="153"/>
      <c r="E94" s="153"/>
    </row>
    <row r="95" ht="15.75" customHeight="1">
      <c r="A95" s="153"/>
      <c r="B95" s="153"/>
      <c r="C95" s="154" t="s">
        <v>6</v>
      </c>
      <c r="D95" s="153"/>
      <c r="E95" s="153"/>
    </row>
    <row r="96" ht="15.75" customHeight="1">
      <c r="A96" s="153"/>
      <c r="B96" s="153"/>
      <c r="C96" s="154" t="s">
        <v>6</v>
      </c>
      <c r="D96" s="153"/>
      <c r="E96" s="153"/>
    </row>
    <row r="97" ht="15.75" customHeight="1">
      <c r="A97" s="153"/>
      <c r="B97" s="153"/>
      <c r="C97" s="154" t="s">
        <v>6</v>
      </c>
      <c r="D97" s="153"/>
      <c r="E97" s="153"/>
    </row>
    <row r="98" ht="15.75" customHeight="1">
      <c r="A98" s="153"/>
      <c r="B98" s="153"/>
      <c r="C98" s="154" t="s">
        <v>6</v>
      </c>
      <c r="D98" s="153"/>
      <c r="E98" s="153"/>
    </row>
    <row r="99" ht="15.75" customHeight="1">
      <c r="A99" s="153"/>
      <c r="B99" s="153"/>
      <c r="C99" s="154" t="s">
        <v>6</v>
      </c>
      <c r="D99" s="153"/>
      <c r="E99" s="153"/>
    </row>
    <row r="100" ht="15.75" customHeight="1">
      <c r="A100" s="153"/>
      <c r="B100" s="153"/>
      <c r="C100" s="154" t="s">
        <v>6</v>
      </c>
      <c r="D100" s="153"/>
      <c r="E100" s="153"/>
    </row>
    <row r="101" ht="15.75" customHeight="1">
      <c r="A101" s="153"/>
      <c r="B101" s="153"/>
      <c r="C101" s="154" t="s">
        <v>6</v>
      </c>
      <c r="D101" s="153"/>
      <c r="E101" s="153"/>
    </row>
    <row r="102" ht="15.75" customHeight="1">
      <c r="A102" s="153"/>
      <c r="B102" s="153"/>
      <c r="C102" s="154" t="s">
        <v>6</v>
      </c>
      <c r="D102" s="153"/>
      <c r="E102" s="153"/>
    </row>
    <row r="103" ht="15.75" customHeight="1">
      <c r="A103" s="153"/>
      <c r="B103" s="153"/>
      <c r="C103" s="154" t="s">
        <v>6</v>
      </c>
      <c r="D103" s="153"/>
      <c r="E103" s="153"/>
    </row>
    <row r="104" ht="15.75" customHeight="1">
      <c r="A104" s="153"/>
      <c r="B104" s="153"/>
      <c r="C104" s="154" t="s">
        <v>6</v>
      </c>
      <c r="D104" s="153"/>
      <c r="E104" s="153"/>
    </row>
    <row r="105" ht="15.75" customHeight="1">
      <c r="A105" s="153"/>
      <c r="B105" s="153"/>
      <c r="C105" s="154" t="s">
        <v>6</v>
      </c>
      <c r="D105" s="153"/>
      <c r="E105" s="153"/>
    </row>
    <row r="106" ht="15.75" customHeight="1">
      <c r="A106" s="153"/>
      <c r="B106" s="153"/>
      <c r="C106" s="154" t="s">
        <v>6</v>
      </c>
      <c r="D106" s="153"/>
      <c r="E106" s="153"/>
    </row>
    <row r="107" ht="15.75" customHeight="1">
      <c r="A107" s="153"/>
      <c r="B107" s="153"/>
      <c r="C107" s="154" t="s">
        <v>6</v>
      </c>
      <c r="D107" s="153"/>
      <c r="E107" s="153"/>
    </row>
    <row r="108" ht="15.75" customHeight="1">
      <c r="A108" s="153"/>
      <c r="B108" s="153"/>
      <c r="C108" s="154" t="s">
        <v>6</v>
      </c>
      <c r="D108" s="153"/>
      <c r="E108" s="153"/>
    </row>
    <row r="109" ht="15.75" customHeight="1">
      <c r="A109" s="153"/>
      <c r="B109" s="153"/>
      <c r="C109" s="154" t="s">
        <v>6</v>
      </c>
      <c r="D109" s="153"/>
      <c r="E109" s="153"/>
    </row>
    <row r="110" ht="15.75" customHeight="1">
      <c r="A110" s="153"/>
      <c r="B110" s="153"/>
      <c r="C110" s="154" t="s">
        <v>6</v>
      </c>
      <c r="D110" s="153"/>
      <c r="E110" s="153"/>
    </row>
    <row r="111" ht="15.75" customHeight="1">
      <c r="A111" s="153"/>
      <c r="B111" s="153"/>
      <c r="C111" s="154" t="s">
        <v>6</v>
      </c>
      <c r="D111" s="153"/>
      <c r="E111" s="153"/>
    </row>
    <row r="112" ht="15.75" customHeight="1">
      <c r="A112" s="153"/>
      <c r="B112" s="153"/>
      <c r="C112" s="154" t="s">
        <v>6</v>
      </c>
      <c r="D112" s="153"/>
      <c r="E112" s="153"/>
    </row>
    <row r="113" ht="15.75" customHeight="1">
      <c r="A113" s="153"/>
      <c r="B113" s="153"/>
      <c r="C113" s="154" t="s">
        <v>6</v>
      </c>
      <c r="D113" s="153"/>
      <c r="E113" s="153"/>
    </row>
    <row r="114" ht="15.75" customHeight="1">
      <c r="A114" s="153"/>
      <c r="B114" s="153"/>
      <c r="C114" s="154" t="s">
        <v>6</v>
      </c>
      <c r="D114" s="153"/>
      <c r="E114" s="153"/>
    </row>
    <row r="115" ht="15.75" customHeight="1">
      <c r="A115" s="153"/>
      <c r="B115" s="153"/>
      <c r="C115" s="154" t="s">
        <v>6</v>
      </c>
      <c r="D115" s="153"/>
      <c r="E115" s="153"/>
    </row>
    <row r="116" ht="15.75" customHeight="1">
      <c r="A116" s="153"/>
      <c r="B116" s="153"/>
      <c r="C116" s="154" t="s">
        <v>6</v>
      </c>
      <c r="D116" s="153"/>
      <c r="E116" s="153"/>
    </row>
    <row r="117" ht="15.75" customHeight="1">
      <c r="A117" s="153"/>
      <c r="B117" s="153"/>
      <c r="C117" s="154" t="s">
        <v>6</v>
      </c>
      <c r="D117" s="153"/>
      <c r="E117" s="153"/>
    </row>
    <row r="118" ht="15.75" customHeight="1">
      <c r="A118" s="153"/>
      <c r="B118" s="153"/>
      <c r="C118" s="154" t="s">
        <v>6</v>
      </c>
      <c r="D118" s="153"/>
      <c r="E118" s="153"/>
    </row>
    <row r="119" ht="15.75" customHeight="1">
      <c r="A119" s="153"/>
      <c r="B119" s="153"/>
      <c r="C119" s="154" t="s">
        <v>6</v>
      </c>
      <c r="D119" s="153"/>
      <c r="E119" s="153"/>
    </row>
    <row r="120" ht="15.75" customHeight="1">
      <c r="A120" s="153"/>
      <c r="B120" s="153"/>
      <c r="C120" s="154" t="s">
        <v>6</v>
      </c>
      <c r="D120" s="153"/>
      <c r="E120" s="153"/>
    </row>
    <row r="121" ht="15.75" customHeight="1">
      <c r="A121" s="153"/>
      <c r="B121" s="153"/>
      <c r="C121" s="154" t="s">
        <v>6</v>
      </c>
      <c r="D121" s="153"/>
      <c r="E121" s="153"/>
    </row>
    <row r="122" ht="15.75" customHeight="1">
      <c r="A122" s="153"/>
      <c r="B122" s="153"/>
      <c r="C122" s="154" t="s">
        <v>6</v>
      </c>
      <c r="D122" s="153"/>
      <c r="E122" s="153"/>
    </row>
    <row r="123" ht="15.75" customHeight="1">
      <c r="A123" s="153"/>
      <c r="B123" s="153"/>
      <c r="C123" s="154" t="s">
        <v>6</v>
      </c>
      <c r="D123" s="153"/>
      <c r="E123" s="153"/>
    </row>
    <row r="124" ht="15.75" customHeight="1">
      <c r="A124" s="153"/>
      <c r="B124" s="153"/>
      <c r="C124" s="154" t="s">
        <v>6</v>
      </c>
      <c r="D124" s="153"/>
      <c r="E124" s="153"/>
    </row>
    <row r="125" ht="15.75" customHeight="1">
      <c r="A125" s="153"/>
      <c r="B125" s="153"/>
      <c r="C125" s="154" t="s">
        <v>6</v>
      </c>
      <c r="D125" s="153"/>
      <c r="E125" s="153"/>
    </row>
    <row r="126" ht="15.75" customHeight="1">
      <c r="A126" s="153"/>
      <c r="B126" s="153"/>
      <c r="C126" s="154" t="s">
        <v>6</v>
      </c>
      <c r="D126" s="153"/>
      <c r="E126" s="153"/>
    </row>
    <row r="127" ht="15.75" customHeight="1">
      <c r="A127" s="153"/>
      <c r="B127" s="153"/>
      <c r="C127" s="154" t="s">
        <v>6</v>
      </c>
      <c r="D127" s="153"/>
      <c r="E127" s="153"/>
    </row>
    <row r="128" ht="15.75" customHeight="1">
      <c r="A128" s="153"/>
      <c r="B128" s="153"/>
      <c r="C128" s="154" t="s">
        <v>6</v>
      </c>
      <c r="D128" s="153"/>
      <c r="E128" s="153"/>
    </row>
    <row r="129" ht="15.75" customHeight="1">
      <c r="A129" s="153"/>
      <c r="B129" s="153"/>
      <c r="C129" s="154" t="s">
        <v>6</v>
      </c>
      <c r="D129" s="153"/>
      <c r="E129" s="153"/>
    </row>
    <row r="130" ht="15.75" customHeight="1">
      <c r="A130" s="153"/>
      <c r="B130" s="153"/>
      <c r="C130" s="154" t="s">
        <v>6</v>
      </c>
      <c r="D130" s="153"/>
      <c r="E130" s="153"/>
    </row>
    <row r="131" ht="15.75" customHeight="1">
      <c r="A131" s="153"/>
      <c r="B131" s="153"/>
      <c r="C131" s="154" t="s">
        <v>6</v>
      </c>
      <c r="D131" s="153"/>
      <c r="E131" s="153"/>
    </row>
    <row r="132" ht="15.75" customHeight="1">
      <c r="A132" s="153"/>
      <c r="B132" s="153"/>
      <c r="C132" s="154" t="s">
        <v>6</v>
      </c>
      <c r="D132" s="153"/>
      <c r="E132" s="153"/>
    </row>
    <row r="133" ht="15.75" customHeight="1">
      <c r="A133" s="153"/>
      <c r="B133" s="153"/>
      <c r="C133" s="154" t="s">
        <v>6</v>
      </c>
      <c r="D133" s="153"/>
      <c r="E133" s="153"/>
    </row>
    <row r="134" ht="15.75" customHeight="1">
      <c r="A134" s="153"/>
      <c r="B134" s="153"/>
      <c r="C134" s="154" t="s">
        <v>6</v>
      </c>
      <c r="D134" s="153"/>
      <c r="E134" s="153"/>
    </row>
    <row r="135" ht="15.75" customHeight="1">
      <c r="A135" s="153"/>
      <c r="B135" s="153"/>
      <c r="C135" s="154" t="s">
        <v>6</v>
      </c>
      <c r="D135" s="153"/>
      <c r="E135" s="153"/>
    </row>
    <row r="136" ht="15.75" customHeight="1">
      <c r="A136" s="153"/>
      <c r="B136" s="153"/>
      <c r="C136" s="154" t="s">
        <v>6</v>
      </c>
      <c r="D136" s="153"/>
      <c r="E136" s="153"/>
    </row>
    <row r="137" ht="15.75" customHeight="1">
      <c r="A137" s="153"/>
      <c r="B137" s="153"/>
      <c r="C137" s="154" t="s">
        <v>6</v>
      </c>
      <c r="D137" s="153"/>
      <c r="E137" s="153"/>
    </row>
    <row r="138" ht="15.75" customHeight="1">
      <c r="A138" s="153"/>
      <c r="B138" s="153"/>
      <c r="C138" s="154" t="s">
        <v>6</v>
      </c>
      <c r="D138" s="153"/>
      <c r="E138" s="153"/>
    </row>
    <row r="139" ht="15.75" customHeight="1">
      <c r="A139" s="153"/>
      <c r="B139" s="153"/>
      <c r="C139" s="154" t="s">
        <v>6</v>
      </c>
      <c r="D139" s="153"/>
      <c r="E139" s="153"/>
    </row>
    <row r="140" ht="15.75" customHeight="1">
      <c r="A140" s="153"/>
      <c r="B140" s="153"/>
      <c r="C140" s="154" t="s">
        <v>6</v>
      </c>
      <c r="D140" s="153"/>
      <c r="E140" s="153"/>
    </row>
    <row r="141" ht="15.75" customHeight="1">
      <c r="A141" s="153"/>
      <c r="B141" s="153"/>
      <c r="C141" s="154" t="s">
        <v>6</v>
      </c>
      <c r="D141" s="153"/>
      <c r="E141" s="153"/>
    </row>
    <row r="142" ht="15.75" customHeight="1">
      <c r="A142" s="153"/>
      <c r="B142" s="153"/>
      <c r="C142" s="154" t="s">
        <v>6</v>
      </c>
      <c r="D142" s="153"/>
      <c r="E142" s="153"/>
    </row>
    <row r="143" ht="15.75" customHeight="1">
      <c r="A143" s="153"/>
      <c r="B143" s="153"/>
      <c r="C143" s="154" t="s">
        <v>6</v>
      </c>
      <c r="D143" s="153"/>
      <c r="E143" s="153"/>
    </row>
    <row r="144" ht="15.75" customHeight="1">
      <c r="A144" s="153"/>
      <c r="B144" s="153"/>
      <c r="C144" s="154" t="s">
        <v>6</v>
      </c>
      <c r="D144" s="153"/>
      <c r="E144" s="153"/>
    </row>
    <row r="145" ht="15.75" customHeight="1">
      <c r="A145" s="153"/>
      <c r="B145" s="153"/>
      <c r="C145" s="154" t="s">
        <v>6</v>
      </c>
      <c r="D145" s="153"/>
      <c r="E145" s="153"/>
    </row>
    <row r="146" ht="15.75" customHeight="1">
      <c r="A146" s="153"/>
      <c r="B146" s="153"/>
      <c r="C146" s="154" t="s">
        <v>6</v>
      </c>
      <c r="D146" s="153"/>
      <c r="E146" s="153"/>
    </row>
    <row r="147" ht="15.75" customHeight="1">
      <c r="A147" s="153"/>
      <c r="B147" s="153"/>
      <c r="C147" s="154" t="s">
        <v>6</v>
      </c>
      <c r="D147" s="153"/>
      <c r="E147" s="153"/>
    </row>
    <row r="148" ht="15.75" customHeight="1">
      <c r="A148" s="153"/>
      <c r="B148" s="153"/>
      <c r="C148" s="154" t="s">
        <v>6</v>
      </c>
      <c r="D148" s="153"/>
      <c r="E148" s="153"/>
    </row>
    <row r="149" ht="15.75" customHeight="1">
      <c r="A149" s="153"/>
      <c r="B149" s="153"/>
      <c r="C149" s="154" t="s">
        <v>6</v>
      </c>
      <c r="D149" s="153"/>
      <c r="E149" s="153"/>
    </row>
    <row r="150" ht="15.75" customHeight="1">
      <c r="A150" s="153"/>
      <c r="B150" s="153"/>
      <c r="C150" s="154" t="s">
        <v>6</v>
      </c>
      <c r="D150" s="153"/>
      <c r="E150" s="153"/>
    </row>
    <row r="151" ht="15.75" customHeight="1">
      <c r="A151" s="153"/>
      <c r="B151" s="153"/>
      <c r="C151" s="154" t="s">
        <v>6</v>
      </c>
      <c r="D151" s="153"/>
      <c r="E151" s="153"/>
    </row>
    <row r="152" ht="15.75" customHeight="1">
      <c r="A152" s="153"/>
      <c r="B152" s="153"/>
      <c r="C152" s="154" t="s">
        <v>6</v>
      </c>
      <c r="D152" s="153"/>
      <c r="E152" s="153"/>
    </row>
    <row r="153" ht="15.75" customHeight="1">
      <c r="A153" s="153"/>
      <c r="B153" s="153"/>
      <c r="C153" s="154" t="s">
        <v>6</v>
      </c>
      <c r="D153" s="153"/>
      <c r="E153" s="153"/>
    </row>
    <row r="154" ht="15.75" customHeight="1">
      <c r="A154" s="153"/>
      <c r="B154" s="153"/>
      <c r="C154" s="154" t="s">
        <v>6</v>
      </c>
      <c r="D154" s="153"/>
      <c r="E154" s="153"/>
    </row>
    <row r="155" ht="15.75" customHeight="1">
      <c r="A155" s="153"/>
      <c r="B155" s="153"/>
      <c r="C155" s="154" t="s">
        <v>6</v>
      </c>
      <c r="D155" s="153"/>
      <c r="E155" s="153"/>
    </row>
    <row r="156" ht="15.75" customHeight="1">
      <c r="A156" s="153"/>
      <c r="B156" s="153"/>
      <c r="C156" s="154" t="s">
        <v>6</v>
      </c>
      <c r="D156" s="153"/>
      <c r="E156" s="153"/>
    </row>
    <row r="157" ht="15.75" customHeight="1">
      <c r="A157" s="153"/>
      <c r="B157" s="153"/>
      <c r="C157" s="154" t="s">
        <v>6</v>
      </c>
      <c r="D157" s="153"/>
      <c r="E157" s="153"/>
    </row>
    <row r="158" ht="15.75" customHeight="1">
      <c r="A158" s="153"/>
      <c r="B158" s="153"/>
      <c r="C158" s="154" t="s">
        <v>6</v>
      </c>
      <c r="D158" s="153"/>
      <c r="E158" s="153"/>
    </row>
    <row r="159" ht="15.75" customHeight="1">
      <c r="A159" s="153"/>
      <c r="B159" s="153"/>
      <c r="C159" s="154" t="s">
        <v>6</v>
      </c>
      <c r="D159" s="153"/>
      <c r="E159" s="153"/>
    </row>
    <row r="160" ht="15.75" customHeight="1">
      <c r="A160" s="153"/>
      <c r="B160" s="153"/>
      <c r="C160" s="154" t="s">
        <v>6</v>
      </c>
      <c r="D160" s="153"/>
      <c r="E160" s="153"/>
    </row>
    <row r="161" ht="15.75" customHeight="1">
      <c r="A161" s="153"/>
      <c r="B161" s="153"/>
      <c r="C161" s="154" t="s">
        <v>6</v>
      </c>
      <c r="D161" s="153"/>
      <c r="E161" s="153"/>
    </row>
    <row r="162" ht="15.75" customHeight="1">
      <c r="A162" s="153"/>
      <c r="B162" s="153"/>
      <c r="C162" s="154" t="s">
        <v>6</v>
      </c>
      <c r="D162" s="153"/>
      <c r="E162" s="153"/>
    </row>
    <row r="163" ht="15.75" customHeight="1">
      <c r="A163" s="153"/>
      <c r="B163" s="153"/>
      <c r="C163" s="154" t="s">
        <v>6</v>
      </c>
      <c r="D163" s="153"/>
      <c r="E163" s="153"/>
    </row>
    <row r="164" ht="15.75" customHeight="1">
      <c r="A164" s="153"/>
      <c r="B164" s="153"/>
      <c r="C164" s="154" t="s">
        <v>6</v>
      </c>
      <c r="D164" s="153"/>
      <c r="E164" s="153"/>
    </row>
    <row r="165" ht="15.75" customHeight="1">
      <c r="A165" s="153"/>
      <c r="B165" s="153"/>
      <c r="C165" s="154" t="s">
        <v>6</v>
      </c>
      <c r="D165" s="153"/>
      <c r="E165" s="153"/>
    </row>
    <row r="166" ht="15.75" customHeight="1">
      <c r="A166" s="153"/>
      <c r="B166" s="153"/>
      <c r="C166" s="154" t="s">
        <v>6</v>
      </c>
      <c r="D166" s="153"/>
      <c r="E166" s="153"/>
    </row>
    <row r="167" ht="15.75" customHeight="1">
      <c r="A167" s="153"/>
      <c r="B167" s="153"/>
      <c r="C167" s="154" t="s">
        <v>6</v>
      </c>
      <c r="D167" s="153"/>
      <c r="E167" s="153"/>
    </row>
    <row r="168" ht="15.75" customHeight="1">
      <c r="A168" s="153"/>
      <c r="B168" s="153"/>
      <c r="C168" s="154" t="s">
        <v>6</v>
      </c>
      <c r="D168" s="153"/>
      <c r="E168" s="153"/>
    </row>
    <row r="169" ht="15.75" customHeight="1">
      <c r="A169" s="153"/>
      <c r="B169" s="153"/>
      <c r="C169" s="154" t="s">
        <v>6</v>
      </c>
      <c r="D169" s="153"/>
      <c r="E169" s="153"/>
    </row>
    <row r="170" ht="15.75" customHeight="1">
      <c r="A170" s="153"/>
      <c r="B170" s="153"/>
      <c r="C170" s="154" t="s">
        <v>6</v>
      </c>
      <c r="D170" s="153"/>
      <c r="E170" s="153"/>
    </row>
    <row r="171" ht="15.75" customHeight="1">
      <c r="A171" s="153"/>
      <c r="B171" s="153"/>
      <c r="C171" s="154" t="s">
        <v>6</v>
      </c>
      <c r="D171" s="153"/>
      <c r="E171" s="153"/>
    </row>
    <row r="172" ht="15.75" customHeight="1">
      <c r="A172" s="153"/>
      <c r="B172" s="153"/>
      <c r="C172" s="154" t="s">
        <v>6</v>
      </c>
      <c r="D172" s="153"/>
      <c r="E172" s="153"/>
    </row>
    <row r="173" ht="15.75" customHeight="1">
      <c r="A173" s="153"/>
      <c r="B173" s="153"/>
      <c r="C173" s="154" t="s">
        <v>6</v>
      </c>
      <c r="D173" s="153"/>
      <c r="E173" s="153"/>
    </row>
    <row r="174" ht="15.75" customHeight="1">
      <c r="A174" s="153"/>
      <c r="B174" s="153"/>
      <c r="C174" s="154" t="s">
        <v>6</v>
      </c>
      <c r="D174" s="153"/>
      <c r="E174" s="153"/>
    </row>
    <row r="175" ht="15.75" customHeight="1">
      <c r="A175" s="153"/>
      <c r="B175" s="153"/>
      <c r="C175" s="154" t="s">
        <v>6</v>
      </c>
      <c r="D175" s="153"/>
      <c r="E175" s="153"/>
    </row>
    <row r="176" ht="15.75" customHeight="1">
      <c r="A176" s="153"/>
      <c r="B176" s="153"/>
      <c r="C176" s="154" t="s">
        <v>6</v>
      </c>
      <c r="D176" s="153"/>
      <c r="E176" s="153"/>
    </row>
    <row r="177" ht="15.75" customHeight="1">
      <c r="A177" s="153"/>
      <c r="B177" s="153"/>
      <c r="C177" s="154" t="s">
        <v>6</v>
      </c>
      <c r="D177" s="153"/>
      <c r="E177" s="153"/>
    </row>
    <row r="178" ht="15.75" customHeight="1">
      <c r="A178" s="153"/>
      <c r="B178" s="153"/>
      <c r="C178" s="154" t="s">
        <v>6</v>
      </c>
      <c r="D178" s="153"/>
      <c r="E178" s="153"/>
    </row>
    <row r="179" ht="15.75" customHeight="1">
      <c r="A179" s="153"/>
      <c r="B179" s="153"/>
      <c r="C179" s="154" t="s">
        <v>6</v>
      </c>
      <c r="D179" s="153"/>
      <c r="E179" s="153"/>
    </row>
    <row r="180" ht="15.75" customHeight="1">
      <c r="A180" s="153"/>
      <c r="B180" s="153"/>
      <c r="C180" s="154" t="s">
        <v>6</v>
      </c>
      <c r="D180" s="153"/>
      <c r="E180" s="153"/>
    </row>
    <row r="181" ht="15.75" customHeight="1">
      <c r="A181" s="153"/>
      <c r="B181" s="153"/>
      <c r="C181" s="154" t="s">
        <v>6</v>
      </c>
      <c r="D181" s="153"/>
      <c r="E181" s="153"/>
    </row>
    <row r="182" ht="15.75" customHeight="1">
      <c r="A182" s="153"/>
      <c r="B182" s="153"/>
      <c r="C182" s="154" t="s">
        <v>6</v>
      </c>
      <c r="D182" s="153"/>
      <c r="E182" s="153"/>
    </row>
    <row r="183" ht="15.75" customHeight="1">
      <c r="A183" s="153"/>
      <c r="B183" s="153"/>
      <c r="C183" s="154" t="s">
        <v>6</v>
      </c>
      <c r="D183" s="153"/>
      <c r="E183" s="153"/>
    </row>
    <row r="184" ht="15.75" customHeight="1">
      <c r="A184" s="153"/>
      <c r="B184" s="153"/>
      <c r="C184" s="154" t="s">
        <v>6</v>
      </c>
      <c r="D184" s="153"/>
      <c r="E184" s="153"/>
    </row>
    <row r="185" ht="15.75" customHeight="1">
      <c r="A185" s="153"/>
      <c r="B185" s="153"/>
      <c r="C185" s="154" t="s">
        <v>6</v>
      </c>
      <c r="D185" s="153"/>
      <c r="E185" s="153"/>
    </row>
    <row r="186" ht="15.75" customHeight="1">
      <c r="A186" s="153"/>
      <c r="B186" s="153"/>
      <c r="C186" s="154" t="s">
        <v>6</v>
      </c>
      <c r="D186" s="153"/>
      <c r="E186" s="153"/>
    </row>
    <row r="187" ht="15.75" customHeight="1">
      <c r="A187" s="153"/>
      <c r="B187" s="153"/>
      <c r="C187" s="154" t="s">
        <v>6</v>
      </c>
      <c r="D187" s="153"/>
      <c r="E187" s="153"/>
    </row>
    <row r="188" ht="15.75" customHeight="1">
      <c r="A188" s="153"/>
      <c r="B188" s="153"/>
      <c r="C188" s="154" t="s">
        <v>6</v>
      </c>
      <c r="D188" s="153"/>
      <c r="E188" s="153"/>
    </row>
    <row r="189" ht="15.75" customHeight="1">
      <c r="A189" s="153"/>
      <c r="B189" s="153"/>
      <c r="C189" s="154" t="s">
        <v>6</v>
      </c>
      <c r="D189" s="153"/>
      <c r="E189" s="153"/>
    </row>
    <row r="190" ht="15.75" customHeight="1">
      <c r="A190" s="153"/>
      <c r="B190" s="153"/>
      <c r="C190" s="154" t="s">
        <v>6</v>
      </c>
      <c r="D190" s="153"/>
      <c r="E190" s="153"/>
    </row>
    <row r="191" ht="15.75" customHeight="1">
      <c r="A191" s="153"/>
      <c r="B191" s="153"/>
      <c r="C191" s="154" t="s">
        <v>6</v>
      </c>
      <c r="D191" s="153"/>
      <c r="E191" s="153"/>
    </row>
    <row r="192" ht="15.75" customHeight="1">
      <c r="A192" s="153"/>
      <c r="B192" s="153"/>
      <c r="C192" s="154" t="s">
        <v>6</v>
      </c>
      <c r="D192" s="153"/>
      <c r="E192" s="153"/>
    </row>
    <row r="193" ht="15.75" customHeight="1">
      <c r="A193" s="153"/>
      <c r="B193" s="153"/>
      <c r="C193" s="154" t="s">
        <v>6</v>
      </c>
      <c r="D193" s="153"/>
      <c r="E193" s="153"/>
    </row>
    <row r="194" ht="15.75" customHeight="1">
      <c r="A194" s="153"/>
      <c r="B194" s="153"/>
      <c r="C194" s="154" t="s">
        <v>6</v>
      </c>
      <c r="D194" s="153"/>
      <c r="E194" s="153"/>
    </row>
    <row r="195" ht="15.75" customHeight="1">
      <c r="A195" s="153"/>
      <c r="B195" s="153"/>
      <c r="C195" s="154" t="s">
        <v>6</v>
      </c>
      <c r="D195" s="153"/>
      <c r="E195" s="153"/>
    </row>
    <row r="196" ht="15.75" customHeight="1">
      <c r="A196" s="153"/>
      <c r="B196" s="153"/>
      <c r="C196" s="154" t="s">
        <v>6</v>
      </c>
      <c r="D196" s="153"/>
      <c r="E196" s="153"/>
    </row>
    <row r="197" ht="15.75" customHeight="1">
      <c r="A197" s="153"/>
      <c r="B197" s="153"/>
      <c r="C197" s="154" t="s">
        <v>6</v>
      </c>
      <c r="D197" s="153"/>
      <c r="E197" s="153"/>
    </row>
    <row r="198" ht="15.75" customHeight="1">
      <c r="A198" s="153"/>
      <c r="B198" s="153"/>
      <c r="C198" s="154" t="s">
        <v>6</v>
      </c>
      <c r="D198" s="153"/>
      <c r="E198" s="153"/>
    </row>
    <row r="199" ht="15.75" customHeight="1">
      <c r="A199" s="153"/>
      <c r="B199" s="153"/>
      <c r="C199" s="154" t="s">
        <v>6</v>
      </c>
      <c r="D199" s="153"/>
      <c r="E199" s="153"/>
    </row>
    <row r="200" ht="15.75" customHeight="1">
      <c r="A200" s="153"/>
      <c r="B200" s="153"/>
      <c r="C200" s="154" t="s">
        <v>6</v>
      </c>
      <c r="D200" s="153"/>
      <c r="E200" s="153"/>
    </row>
    <row r="201" ht="15.75" customHeight="1">
      <c r="A201" s="153"/>
      <c r="B201" s="153"/>
      <c r="C201" s="154" t="s">
        <v>6</v>
      </c>
      <c r="D201" s="153"/>
      <c r="E201" s="153"/>
    </row>
    <row r="202" ht="15.75" customHeight="1">
      <c r="A202" s="153"/>
      <c r="B202" s="153"/>
      <c r="C202" s="154" t="s">
        <v>6</v>
      </c>
      <c r="D202" s="153"/>
      <c r="E202" s="153"/>
    </row>
    <row r="203" ht="15.75" customHeight="1">
      <c r="A203" s="153"/>
      <c r="B203" s="153"/>
      <c r="C203" s="154" t="s">
        <v>6</v>
      </c>
      <c r="D203" s="153"/>
      <c r="E203" s="153"/>
    </row>
    <row r="204" ht="15.75" customHeight="1">
      <c r="A204" s="153"/>
      <c r="B204" s="153"/>
      <c r="C204" s="154" t="s">
        <v>6</v>
      </c>
      <c r="D204" s="153"/>
      <c r="E204" s="153"/>
    </row>
    <row r="205" ht="15.75" customHeight="1">
      <c r="A205" s="153"/>
      <c r="B205" s="153"/>
      <c r="C205" s="154" t="s">
        <v>6</v>
      </c>
      <c r="D205" s="153"/>
      <c r="E205" s="153"/>
    </row>
    <row r="206" ht="15.75" customHeight="1">
      <c r="A206" s="153"/>
      <c r="B206" s="153"/>
      <c r="C206" s="154" t="s">
        <v>6</v>
      </c>
      <c r="D206" s="153"/>
      <c r="E206" s="153"/>
    </row>
    <row r="207" ht="15.75" customHeight="1">
      <c r="A207" s="153"/>
      <c r="B207" s="153"/>
      <c r="C207" s="154" t="s">
        <v>6</v>
      </c>
      <c r="D207" s="153"/>
      <c r="E207" s="153"/>
    </row>
    <row r="208" ht="15.75" customHeight="1">
      <c r="A208" s="153"/>
      <c r="B208" s="153"/>
      <c r="C208" s="154" t="s">
        <v>6</v>
      </c>
      <c r="D208" s="153"/>
      <c r="E208" s="153"/>
    </row>
    <row r="209" ht="15.75" customHeight="1">
      <c r="A209" s="153"/>
      <c r="B209" s="153"/>
      <c r="C209" s="154" t="s">
        <v>6</v>
      </c>
      <c r="D209" s="153"/>
      <c r="E209" s="153"/>
    </row>
    <row r="210" ht="15.75" customHeight="1">
      <c r="A210" s="153"/>
      <c r="B210" s="153"/>
      <c r="C210" s="154" t="s">
        <v>6</v>
      </c>
      <c r="D210" s="153"/>
      <c r="E210" s="153"/>
    </row>
    <row r="211" ht="15.75" customHeight="1">
      <c r="A211" s="153"/>
      <c r="B211" s="153"/>
      <c r="C211" s="154" t="s">
        <v>6</v>
      </c>
      <c r="D211" s="153"/>
      <c r="E211" s="153"/>
    </row>
    <row r="212" ht="15.75" customHeight="1">
      <c r="A212" s="153"/>
      <c r="B212" s="153"/>
      <c r="C212" s="154" t="s">
        <v>6</v>
      </c>
      <c r="D212" s="153"/>
      <c r="E212" s="153"/>
    </row>
    <row r="213" ht="15.75" customHeight="1">
      <c r="A213" s="153"/>
      <c r="B213" s="153"/>
      <c r="C213" s="154" t="s">
        <v>6</v>
      </c>
      <c r="D213" s="153"/>
      <c r="E213" s="153"/>
    </row>
    <row r="214" ht="15.75" customHeight="1">
      <c r="A214" s="153"/>
      <c r="B214" s="153"/>
      <c r="C214" s="154" t="s">
        <v>6</v>
      </c>
      <c r="D214" s="153"/>
      <c r="E214" s="153"/>
    </row>
    <row r="215" ht="15.75" customHeight="1">
      <c r="A215" s="153"/>
      <c r="B215" s="153"/>
      <c r="C215" s="154" t="s">
        <v>6</v>
      </c>
      <c r="D215" s="153"/>
      <c r="E215" s="153"/>
    </row>
    <row r="216" ht="15.75" customHeight="1">
      <c r="A216" s="153"/>
      <c r="B216" s="153"/>
      <c r="C216" s="154" t="s">
        <v>6</v>
      </c>
      <c r="D216" s="153"/>
      <c r="E216" s="153"/>
    </row>
    <row r="217" ht="15.75" customHeight="1">
      <c r="A217" s="153"/>
      <c r="B217" s="153"/>
      <c r="C217" s="154" t="s">
        <v>6</v>
      </c>
      <c r="D217" s="153"/>
      <c r="E217" s="153"/>
    </row>
    <row r="218" ht="15.75" customHeight="1">
      <c r="A218" s="153"/>
      <c r="B218" s="153"/>
      <c r="C218" s="154" t="s">
        <v>6</v>
      </c>
      <c r="D218" s="153"/>
      <c r="E218" s="153"/>
    </row>
    <row r="219" ht="15.75" customHeight="1">
      <c r="A219" s="153"/>
      <c r="B219" s="153"/>
      <c r="C219" s="154" t="s">
        <v>6</v>
      </c>
      <c r="D219" s="153"/>
      <c r="E219" s="153"/>
    </row>
    <row r="220" ht="15.75" customHeight="1">
      <c r="A220" s="153"/>
      <c r="B220" s="153"/>
      <c r="C220" s="154" t="s">
        <v>6</v>
      </c>
      <c r="D220" s="153"/>
      <c r="E220" s="153"/>
    </row>
    <row r="221" ht="15.75" customHeight="1">
      <c r="C221" s="12" t="s">
        <v>6</v>
      </c>
    </row>
    <row r="222" ht="15.75" customHeight="1">
      <c r="C222" s="12" t="s">
        <v>6</v>
      </c>
    </row>
    <row r="223" ht="15.75" customHeight="1">
      <c r="C223" s="12" t="s">
        <v>6</v>
      </c>
    </row>
    <row r="224" ht="15.75" customHeight="1">
      <c r="C224" s="12" t="s">
        <v>6</v>
      </c>
    </row>
    <row r="225" ht="15.75" customHeight="1">
      <c r="C225" s="12" t="s">
        <v>6</v>
      </c>
    </row>
    <row r="226" ht="15.75" customHeight="1">
      <c r="C226" s="12" t="s">
        <v>6</v>
      </c>
    </row>
    <row r="227" ht="15.75" customHeight="1">
      <c r="C227" s="12" t="s">
        <v>6</v>
      </c>
    </row>
    <row r="228" ht="15.75" customHeight="1">
      <c r="C228" s="12" t="s">
        <v>6</v>
      </c>
    </row>
    <row r="229" ht="15.75" customHeight="1">
      <c r="C229" s="12" t="s">
        <v>6</v>
      </c>
    </row>
    <row r="230" ht="15.75" customHeight="1">
      <c r="C230" s="12" t="s">
        <v>6</v>
      </c>
    </row>
    <row r="231" ht="15.75" customHeight="1">
      <c r="C231" s="12" t="s">
        <v>6</v>
      </c>
    </row>
    <row r="232" ht="15.75" customHeight="1">
      <c r="C232" s="12" t="s">
        <v>6</v>
      </c>
    </row>
    <row r="233" ht="15.75" customHeight="1">
      <c r="C233" s="12" t="s">
        <v>6</v>
      </c>
    </row>
    <row r="234" ht="15.75" customHeight="1">
      <c r="C234" s="12" t="s">
        <v>6</v>
      </c>
    </row>
    <row r="235" ht="15.75" customHeight="1">
      <c r="C235" s="12" t="s">
        <v>6</v>
      </c>
    </row>
    <row r="236" ht="15.75" customHeight="1">
      <c r="C236" s="12" t="s">
        <v>6</v>
      </c>
    </row>
    <row r="237" ht="15.75" customHeight="1">
      <c r="C237" s="12" t="s">
        <v>6</v>
      </c>
    </row>
    <row r="238" ht="15.75" customHeight="1">
      <c r="C238" s="12" t="s">
        <v>6</v>
      </c>
    </row>
    <row r="239" ht="15.75" customHeight="1">
      <c r="C239" s="12" t="s">
        <v>6</v>
      </c>
    </row>
    <row r="240" ht="15.75" customHeight="1">
      <c r="C240" s="12" t="s">
        <v>6</v>
      </c>
    </row>
    <row r="241" ht="15.75" customHeight="1">
      <c r="C241" s="12" t="s">
        <v>6</v>
      </c>
    </row>
    <row r="242" ht="15.75" customHeight="1">
      <c r="C242" s="12" t="s">
        <v>6</v>
      </c>
    </row>
    <row r="243" ht="15.75" customHeight="1">
      <c r="C243" s="12" t="s">
        <v>6</v>
      </c>
    </row>
    <row r="244" ht="15.75" customHeight="1">
      <c r="C244" s="12" t="s">
        <v>6</v>
      </c>
    </row>
    <row r="245" ht="15.75" customHeight="1">
      <c r="C245" s="12" t="s">
        <v>6</v>
      </c>
    </row>
    <row r="246" ht="15.75" customHeight="1">
      <c r="C246" s="12" t="s">
        <v>6</v>
      </c>
    </row>
    <row r="247" ht="15.75" customHeight="1">
      <c r="C247" s="12" t="s">
        <v>6</v>
      </c>
    </row>
    <row r="248" ht="15.75" customHeight="1">
      <c r="C248" s="12" t="s">
        <v>6</v>
      </c>
    </row>
    <row r="249" ht="15.75" customHeight="1">
      <c r="C249" s="12" t="s">
        <v>6</v>
      </c>
    </row>
    <row r="250" ht="15.75" customHeight="1">
      <c r="C250" s="12" t="s">
        <v>6</v>
      </c>
    </row>
    <row r="251" ht="15.75" customHeight="1">
      <c r="C251" s="12" t="s">
        <v>6</v>
      </c>
    </row>
    <row r="252" ht="15.75" customHeight="1">
      <c r="C252" s="12" t="s">
        <v>6</v>
      </c>
    </row>
    <row r="253" ht="15.75" customHeight="1">
      <c r="C253" s="12" t="s">
        <v>6</v>
      </c>
    </row>
    <row r="254" ht="15.75" customHeight="1">
      <c r="C254" s="12" t="s">
        <v>6</v>
      </c>
    </row>
    <row r="255" ht="15.75" customHeight="1">
      <c r="C255" s="12" t="s">
        <v>6</v>
      </c>
    </row>
    <row r="256" ht="15.75" customHeight="1">
      <c r="C256" s="12" t="s">
        <v>6</v>
      </c>
    </row>
    <row r="257" ht="15.75" customHeight="1">
      <c r="C257" s="12" t="s">
        <v>6</v>
      </c>
    </row>
    <row r="258" ht="15.75" customHeight="1">
      <c r="C258" s="12" t="s">
        <v>6</v>
      </c>
    </row>
    <row r="259" ht="15.75" customHeight="1">
      <c r="C259" s="12" t="s">
        <v>6</v>
      </c>
    </row>
    <row r="260" ht="15.75" customHeight="1">
      <c r="C260" s="12" t="s">
        <v>6</v>
      </c>
    </row>
    <row r="261" ht="15.75" customHeight="1">
      <c r="C261" s="12" t="s">
        <v>6</v>
      </c>
    </row>
    <row r="262" ht="15.75" customHeight="1">
      <c r="C262" s="12" t="s">
        <v>6</v>
      </c>
    </row>
    <row r="263" ht="15.75" customHeight="1">
      <c r="C263" s="12" t="s">
        <v>6</v>
      </c>
    </row>
    <row r="264" ht="15.75" customHeight="1">
      <c r="C264" s="12" t="s">
        <v>6</v>
      </c>
    </row>
    <row r="265" ht="15.75" customHeight="1">
      <c r="C265" s="12" t="s">
        <v>6</v>
      </c>
    </row>
    <row r="266" ht="15.75" customHeight="1">
      <c r="C266" s="12" t="s">
        <v>6</v>
      </c>
    </row>
    <row r="267" ht="15.75" customHeight="1">
      <c r="C267" s="12" t="s">
        <v>6</v>
      </c>
    </row>
    <row r="268" ht="15.75" customHeight="1">
      <c r="C268" s="12" t="s">
        <v>6</v>
      </c>
    </row>
    <row r="269" ht="15.75" customHeight="1">
      <c r="C269" s="12" t="s">
        <v>6</v>
      </c>
    </row>
    <row r="270" ht="15.75" customHeight="1">
      <c r="C270" s="12" t="s">
        <v>6</v>
      </c>
    </row>
    <row r="271" ht="15.75" customHeight="1">
      <c r="C271" s="12" t="s">
        <v>6</v>
      </c>
    </row>
    <row r="272" ht="15.75" customHeight="1">
      <c r="C272" s="12" t="s">
        <v>6</v>
      </c>
    </row>
    <row r="273" ht="15.75" customHeight="1">
      <c r="C273" s="12" t="s">
        <v>6</v>
      </c>
    </row>
    <row r="274" ht="15.75" customHeight="1">
      <c r="C274" s="12" t="s">
        <v>6</v>
      </c>
    </row>
    <row r="275" ht="15.75" customHeight="1">
      <c r="C275" s="12" t="s">
        <v>6</v>
      </c>
    </row>
    <row r="276" ht="15.75" customHeight="1">
      <c r="C276" s="12" t="s">
        <v>6</v>
      </c>
    </row>
    <row r="277" ht="15.75" customHeight="1">
      <c r="C277" s="12" t="s">
        <v>6</v>
      </c>
    </row>
    <row r="278" ht="15.75" customHeight="1">
      <c r="C278" s="12" t="s">
        <v>6</v>
      </c>
    </row>
    <row r="279" ht="15.75" customHeight="1">
      <c r="C279" s="12" t="s">
        <v>6</v>
      </c>
    </row>
    <row r="280" ht="15.75" customHeight="1">
      <c r="C280" s="12" t="s">
        <v>6</v>
      </c>
    </row>
    <row r="281" ht="15.75" customHeight="1">
      <c r="C281" s="12" t="s">
        <v>6</v>
      </c>
    </row>
    <row r="282" ht="15.75" customHeight="1">
      <c r="C282" s="12" t="s">
        <v>6</v>
      </c>
    </row>
    <row r="283" ht="15.75" customHeight="1">
      <c r="C283" s="12" t="s">
        <v>6</v>
      </c>
    </row>
    <row r="284" ht="15.75" customHeight="1">
      <c r="C284" s="12" t="s">
        <v>6</v>
      </c>
    </row>
    <row r="285" ht="15.75" customHeight="1">
      <c r="C285" s="12" t="s">
        <v>6</v>
      </c>
    </row>
    <row r="286" ht="15.75" customHeight="1">
      <c r="C286" s="12" t="s">
        <v>6</v>
      </c>
    </row>
    <row r="287" ht="15.75" customHeight="1">
      <c r="C287" s="12" t="s">
        <v>6</v>
      </c>
    </row>
    <row r="288" ht="15.75" customHeight="1">
      <c r="C288" s="12" t="s">
        <v>6</v>
      </c>
    </row>
    <row r="289" ht="15.75" customHeight="1">
      <c r="C289" s="12" t="s">
        <v>6</v>
      </c>
    </row>
    <row r="290" ht="15.75" customHeight="1">
      <c r="C290" s="12" t="s">
        <v>6</v>
      </c>
    </row>
    <row r="291" ht="15.75" customHeight="1">
      <c r="C291" s="12" t="s">
        <v>6</v>
      </c>
    </row>
    <row r="292" ht="15.75" customHeight="1">
      <c r="C292" s="12" t="s">
        <v>6</v>
      </c>
    </row>
    <row r="293" ht="15.75" customHeight="1">
      <c r="C293" s="12" t="s">
        <v>6</v>
      </c>
    </row>
    <row r="294" ht="15.75" customHeight="1">
      <c r="C294" s="12" t="s">
        <v>6</v>
      </c>
    </row>
    <row r="295" ht="15.75" customHeight="1">
      <c r="C295" s="12" t="s">
        <v>6</v>
      </c>
    </row>
    <row r="296" ht="15.75" customHeight="1">
      <c r="C296" s="12" t="s">
        <v>6</v>
      </c>
    </row>
    <row r="297" ht="15.75" customHeight="1">
      <c r="C297" s="12" t="s">
        <v>6</v>
      </c>
    </row>
    <row r="298" ht="15.75" customHeight="1">
      <c r="C298" s="12" t="s">
        <v>6</v>
      </c>
    </row>
    <row r="299" ht="15.75" customHeight="1">
      <c r="C299" s="12" t="s">
        <v>6</v>
      </c>
    </row>
    <row r="300" ht="15.75" customHeight="1">
      <c r="C300" s="12" t="s">
        <v>6</v>
      </c>
    </row>
    <row r="301" ht="15.75" customHeight="1">
      <c r="C301" s="12" t="s">
        <v>6</v>
      </c>
    </row>
    <row r="302" ht="15.75" customHeight="1">
      <c r="C302" s="12" t="s">
        <v>6</v>
      </c>
    </row>
    <row r="303" ht="15.75" customHeight="1">
      <c r="C303" s="12" t="s">
        <v>6</v>
      </c>
    </row>
    <row r="304" ht="15.75" customHeight="1">
      <c r="C304" s="12" t="s">
        <v>6</v>
      </c>
    </row>
    <row r="305" ht="15.75" customHeight="1">
      <c r="C305" s="12" t="s">
        <v>6</v>
      </c>
    </row>
    <row r="306" ht="15.75" customHeight="1">
      <c r="C306" s="12" t="s">
        <v>6</v>
      </c>
    </row>
    <row r="307" ht="15.75" customHeight="1">
      <c r="C307" s="12" t="s">
        <v>6</v>
      </c>
    </row>
    <row r="308" ht="15.75" customHeight="1">
      <c r="C308" s="12" t="s">
        <v>6</v>
      </c>
    </row>
    <row r="309" ht="15.75" customHeight="1">
      <c r="C309" s="12" t="s">
        <v>6</v>
      </c>
    </row>
    <row r="310" ht="15.75" customHeight="1">
      <c r="C310" s="12" t="s">
        <v>6</v>
      </c>
    </row>
    <row r="311" ht="15.75" customHeight="1">
      <c r="C311" s="12" t="s">
        <v>6</v>
      </c>
    </row>
    <row r="312" ht="15.75" customHeight="1">
      <c r="C312" s="12" t="s">
        <v>6</v>
      </c>
    </row>
    <row r="313" ht="15.75" customHeight="1">
      <c r="C313" s="12" t="s">
        <v>6</v>
      </c>
    </row>
    <row r="314" ht="15.75" customHeight="1">
      <c r="C314" s="12" t="s">
        <v>6</v>
      </c>
    </row>
    <row r="315" ht="15.75" customHeight="1">
      <c r="C315" s="12" t="s">
        <v>6</v>
      </c>
    </row>
    <row r="316" ht="15.75" customHeight="1">
      <c r="C316" s="12" t="s">
        <v>6</v>
      </c>
    </row>
    <row r="317" ht="15.75" customHeight="1">
      <c r="C317" s="12" t="s">
        <v>6</v>
      </c>
    </row>
    <row r="318" ht="15.75" customHeight="1">
      <c r="C318" s="12" t="s">
        <v>6</v>
      </c>
    </row>
    <row r="319" ht="15.75" customHeight="1">
      <c r="C319" s="12" t="s">
        <v>6</v>
      </c>
    </row>
    <row r="320" ht="15.75" customHeight="1">
      <c r="C320" s="12" t="s">
        <v>6</v>
      </c>
    </row>
    <row r="321" ht="15.75" customHeight="1">
      <c r="C321" s="12" t="s">
        <v>6</v>
      </c>
    </row>
    <row r="322" ht="15.75" customHeight="1">
      <c r="C322" s="12" t="s">
        <v>6</v>
      </c>
    </row>
    <row r="323" ht="15.75" customHeight="1">
      <c r="C323" s="12" t="s">
        <v>6</v>
      </c>
    </row>
    <row r="324" ht="15.75" customHeight="1">
      <c r="C324" s="12" t="s">
        <v>6</v>
      </c>
    </row>
    <row r="325" ht="15.75" customHeight="1">
      <c r="C325" s="12" t="s">
        <v>6</v>
      </c>
    </row>
    <row r="326" ht="15.75" customHeight="1">
      <c r="C326" s="12" t="s">
        <v>6</v>
      </c>
    </row>
    <row r="327" ht="15.75" customHeight="1">
      <c r="C327" s="12" t="s">
        <v>6</v>
      </c>
    </row>
    <row r="328" ht="15.75" customHeight="1">
      <c r="C328" s="12" t="s">
        <v>6</v>
      </c>
    </row>
    <row r="329" ht="15.75" customHeight="1">
      <c r="C329" s="12" t="s">
        <v>6</v>
      </c>
    </row>
    <row r="330" ht="15.75" customHeight="1">
      <c r="C330" s="12" t="s">
        <v>6</v>
      </c>
    </row>
    <row r="331" ht="15.75" customHeight="1">
      <c r="C331" s="12" t="s">
        <v>6</v>
      </c>
    </row>
    <row r="332" ht="15.75" customHeight="1">
      <c r="C332" s="12" t="s">
        <v>6</v>
      </c>
    </row>
    <row r="333" ht="15.75" customHeight="1">
      <c r="C333" s="12" t="s">
        <v>6</v>
      </c>
    </row>
    <row r="334" ht="15.75" customHeight="1">
      <c r="C334" s="12" t="s">
        <v>6</v>
      </c>
    </row>
    <row r="335" ht="15.75" customHeight="1">
      <c r="C335" s="12" t="s">
        <v>6</v>
      </c>
    </row>
    <row r="336" ht="15.75" customHeight="1">
      <c r="C336" s="12" t="s">
        <v>6</v>
      </c>
    </row>
    <row r="337" ht="15.75" customHeight="1">
      <c r="C337" s="12" t="s">
        <v>6</v>
      </c>
    </row>
    <row r="338" ht="15.75" customHeight="1">
      <c r="C338" s="12" t="s">
        <v>6</v>
      </c>
    </row>
    <row r="339" ht="15.75" customHeight="1">
      <c r="C339" s="12" t="s">
        <v>6</v>
      </c>
    </row>
    <row r="340" ht="15.75" customHeight="1">
      <c r="C340" s="12" t="s">
        <v>6</v>
      </c>
    </row>
    <row r="341" ht="15.75" customHeight="1">
      <c r="C341" s="12" t="s">
        <v>6</v>
      </c>
    </row>
    <row r="342" ht="15.75" customHeight="1">
      <c r="C342" s="12" t="s">
        <v>6</v>
      </c>
    </row>
    <row r="343" ht="15.75" customHeight="1">
      <c r="C343" s="12" t="s">
        <v>6</v>
      </c>
    </row>
    <row r="344" ht="15.75" customHeight="1">
      <c r="C344" s="12" t="s">
        <v>6</v>
      </c>
    </row>
    <row r="345" ht="15.75" customHeight="1">
      <c r="C345" s="12" t="s">
        <v>6</v>
      </c>
    </row>
    <row r="346" ht="15.75" customHeight="1">
      <c r="C346" s="12" t="s">
        <v>6</v>
      </c>
    </row>
    <row r="347" ht="15.75" customHeight="1">
      <c r="C347" s="12" t="s">
        <v>6</v>
      </c>
    </row>
    <row r="348" ht="15.75" customHeight="1">
      <c r="C348" s="12" t="s">
        <v>6</v>
      </c>
    </row>
    <row r="349" ht="15.75" customHeight="1">
      <c r="C349" s="12" t="s">
        <v>6</v>
      </c>
    </row>
    <row r="350" ht="15.75" customHeight="1">
      <c r="C350" s="12" t="s">
        <v>6</v>
      </c>
    </row>
    <row r="351" ht="15.75" customHeight="1">
      <c r="C351" s="12" t="s">
        <v>6</v>
      </c>
    </row>
    <row r="352" ht="15.75" customHeight="1">
      <c r="C352" s="12" t="s">
        <v>6</v>
      </c>
    </row>
    <row r="353" ht="15.75" customHeight="1">
      <c r="C353" s="12" t="s">
        <v>6</v>
      </c>
    </row>
    <row r="354" ht="15.75" customHeight="1">
      <c r="C354" s="12" t="s">
        <v>6</v>
      </c>
    </row>
    <row r="355" ht="15.75" customHeight="1">
      <c r="C355" s="12" t="s">
        <v>6</v>
      </c>
    </row>
    <row r="356" ht="15.75" customHeight="1">
      <c r="C356" s="12" t="s">
        <v>6</v>
      </c>
    </row>
    <row r="357" ht="15.75" customHeight="1">
      <c r="C357" s="12" t="s">
        <v>6</v>
      </c>
    </row>
    <row r="358" ht="15.75" customHeight="1">
      <c r="C358" s="12" t="s">
        <v>6</v>
      </c>
    </row>
    <row r="359" ht="15.75" customHeight="1">
      <c r="C359" s="12" t="s">
        <v>6</v>
      </c>
    </row>
    <row r="360" ht="15.75" customHeight="1">
      <c r="C360" s="12" t="s">
        <v>6</v>
      </c>
    </row>
    <row r="361" ht="15.75" customHeight="1">
      <c r="C361" s="12" t="s">
        <v>6</v>
      </c>
    </row>
    <row r="362" ht="15.75" customHeight="1">
      <c r="C362" s="12" t="s">
        <v>6</v>
      </c>
    </row>
    <row r="363" ht="15.75" customHeight="1">
      <c r="C363" s="12" t="s">
        <v>6</v>
      </c>
    </row>
    <row r="364" ht="15.75" customHeight="1">
      <c r="C364" s="12" t="s">
        <v>6</v>
      </c>
    </row>
    <row r="365" ht="15.75" customHeight="1">
      <c r="C365" s="12" t="s">
        <v>6</v>
      </c>
    </row>
    <row r="366" ht="15.75" customHeight="1">
      <c r="C366" s="12" t="s">
        <v>6</v>
      </c>
    </row>
    <row r="367" ht="15.75" customHeight="1">
      <c r="C367" s="12" t="s">
        <v>6</v>
      </c>
    </row>
    <row r="368" ht="15.75" customHeight="1">
      <c r="C368" s="12" t="s">
        <v>6</v>
      </c>
    </row>
    <row r="369" ht="15.75" customHeight="1">
      <c r="C369" s="12" t="s">
        <v>6</v>
      </c>
    </row>
    <row r="370" ht="15.75" customHeight="1">
      <c r="C370" s="12" t="s">
        <v>6</v>
      </c>
    </row>
    <row r="371" ht="15.75" customHeight="1">
      <c r="C371" s="12" t="s">
        <v>6</v>
      </c>
    </row>
    <row r="372" ht="15.75" customHeight="1">
      <c r="C372" s="12" t="s">
        <v>6</v>
      </c>
    </row>
    <row r="373" ht="15.75" customHeight="1">
      <c r="C373" s="12" t="s">
        <v>6</v>
      </c>
    </row>
    <row r="374" ht="15.75" customHeight="1">
      <c r="C374" s="12" t="s">
        <v>6</v>
      </c>
    </row>
    <row r="375" ht="15.75" customHeight="1">
      <c r="C375" s="12" t="s">
        <v>6</v>
      </c>
    </row>
    <row r="376" ht="15.75" customHeight="1">
      <c r="C376" s="12" t="s">
        <v>6</v>
      </c>
    </row>
    <row r="377" ht="15.75" customHeight="1">
      <c r="C377" s="12" t="s">
        <v>6</v>
      </c>
    </row>
    <row r="378" ht="15.75" customHeight="1">
      <c r="C378" s="12" t="s">
        <v>6</v>
      </c>
    </row>
    <row r="379" ht="15.75" customHeight="1">
      <c r="C379" s="12" t="s">
        <v>6</v>
      </c>
    </row>
    <row r="380" ht="15.75" customHeight="1">
      <c r="C380" s="12" t="s">
        <v>6</v>
      </c>
    </row>
    <row r="381" ht="15.75" customHeight="1">
      <c r="C381" s="12" t="s">
        <v>6</v>
      </c>
    </row>
    <row r="382" ht="15.75" customHeight="1">
      <c r="C382" s="12" t="s">
        <v>6</v>
      </c>
    </row>
    <row r="383" ht="15.75" customHeight="1">
      <c r="C383" s="12" t="s">
        <v>6</v>
      </c>
    </row>
    <row r="384" ht="15.75" customHeight="1">
      <c r="C384" s="12" t="s">
        <v>6</v>
      </c>
    </row>
    <row r="385" ht="15.75" customHeight="1">
      <c r="C385" s="12" t="s">
        <v>6</v>
      </c>
    </row>
    <row r="386" ht="15.75" customHeight="1">
      <c r="C386" s="12" t="s">
        <v>6</v>
      </c>
    </row>
    <row r="387" ht="15.75" customHeight="1">
      <c r="C387" s="12" t="s">
        <v>6</v>
      </c>
    </row>
    <row r="388" ht="15.75" customHeight="1">
      <c r="C388" s="12" t="s">
        <v>6</v>
      </c>
    </row>
    <row r="389" ht="15.75" customHeight="1">
      <c r="C389" s="12" t="s">
        <v>6</v>
      </c>
    </row>
    <row r="390" ht="15.75" customHeight="1">
      <c r="C390" s="12" t="s">
        <v>6</v>
      </c>
    </row>
    <row r="391" ht="15.75" customHeight="1">
      <c r="C391" s="12" t="s">
        <v>6</v>
      </c>
    </row>
    <row r="392" ht="15.75" customHeight="1">
      <c r="C392" s="12" t="s">
        <v>6</v>
      </c>
    </row>
    <row r="393" ht="15.75" customHeight="1">
      <c r="C393" s="12" t="s">
        <v>6</v>
      </c>
    </row>
    <row r="394" ht="15.75" customHeight="1">
      <c r="C394" s="12" t="s">
        <v>6</v>
      </c>
    </row>
    <row r="395" ht="15.75" customHeight="1">
      <c r="C395" s="12" t="s">
        <v>6</v>
      </c>
    </row>
    <row r="396" ht="15.75" customHeight="1">
      <c r="C396" s="12" t="s">
        <v>6</v>
      </c>
    </row>
    <row r="397" ht="15.75" customHeight="1">
      <c r="C397" s="12" t="s">
        <v>6</v>
      </c>
    </row>
    <row r="398" ht="15.75" customHeight="1">
      <c r="C398" s="12" t="s">
        <v>6</v>
      </c>
    </row>
    <row r="399" ht="15.75" customHeight="1">
      <c r="C399" s="12" t="s">
        <v>6</v>
      </c>
    </row>
    <row r="400" ht="15.75" customHeight="1">
      <c r="C400" s="12" t="s">
        <v>6</v>
      </c>
    </row>
    <row r="401" ht="15.75" customHeight="1">
      <c r="C401" s="12" t="s">
        <v>6</v>
      </c>
    </row>
    <row r="402" ht="15.75" customHeight="1">
      <c r="C402" s="12" t="s">
        <v>6</v>
      </c>
    </row>
    <row r="403" ht="15.75" customHeight="1">
      <c r="C403" s="12" t="s">
        <v>6</v>
      </c>
    </row>
    <row r="404" ht="15.75" customHeight="1">
      <c r="C404" s="12" t="s">
        <v>6</v>
      </c>
    </row>
    <row r="405" ht="15.75" customHeight="1">
      <c r="C405" s="12" t="s">
        <v>6</v>
      </c>
    </row>
    <row r="406" ht="15.75" customHeight="1">
      <c r="C406" s="12" t="s">
        <v>6</v>
      </c>
    </row>
    <row r="407" ht="15.75" customHeight="1">
      <c r="C407" s="12" t="s">
        <v>6</v>
      </c>
    </row>
    <row r="408" ht="15.75" customHeight="1">
      <c r="C408" s="12" t="s">
        <v>6</v>
      </c>
    </row>
    <row r="409" ht="15.75" customHeight="1">
      <c r="C409" s="12" t="s">
        <v>6</v>
      </c>
    </row>
    <row r="410" ht="15.75" customHeight="1">
      <c r="C410" s="12" t="s">
        <v>6</v>
      </c>
    </row>
    <row r="411" ht="15.75" customHeight="1">
      <c r="C411" s="12" t="s">
        <v>6</v>
      </c>
    </row>
    <row r="412" ht="15.75" customHeight="1">
      <c r="C412" s="12" t="s">
        <v>6</v>
      </c>
    </row>
    <row r="413" ht="15.75" customHeight="1">
      <c r="C413" s="12" t="s">
        <v>6</v>
      </c>
    </row>
    <row r="414" ht="15.75" customHeight="1">
      <c r="C414" s="12" t="s">
        <v>6</v>
      </c>
    </row>
    <row r="415" ht="15.75" customHeight="1">
      <c r="C415" s="12" t="s">
        <v>6</v>
      </c>
    </row>
    <row r="416" ht="15.75" customHeight="1">
      <c r="C416" s="12" t="s">
        <v>6</v>
      </c>
    </row>
    <row r="417" ht="15.75" customHeight="1">
      <c r="C417" s="12" t="s">
        <v>6</v>
      </c>
    </row>
    <row r="418" ht="15.75" customHeight="1">
      <c r="C418" s="12" t="s">
        <v>6</v>
      </c>
    </row>
    <row r="419" ht="15.75" customHeight="1">
      <c r="C419" s="12" t="s">
        <v>6</v>
      </c>
    </row>
    <row r="420" ht="15.75" customHeight="1">
      <c r="C420" s="12" t="s">
        <v>6</v>
      </c>
    </row>
    <row r="421" ht="15.75" customHeight="1">
      <c r="C421" s="12" t="s">
        <v>6</v>
      </c>
    </row>
    <row r="422" ht="15.75" customHeight="1">
      <c r="C422" s="12" t="s">
        <v>6</v>
      </c>
    </row>
    <row r="423" ht="15.75" customHeight="1">
      <c r="C423" s="12" t="s">
        <v>6</v>
      </c>
    </row>
    <row r="424" ht="15.75" customHeight="1">
      <c r="C424" s="12" t="s">
        <v>6</v>
      </c>
    </row>
    <row r="425" ht="15.75" customHeight="1">
      <c r="C425" s="12" t="s">
        <v>6</v>
      </c>
    </row>
    <row r="426" ht="15.75" customHeight="1">
      <c r="C426" s="12" t="s">
        <v>6</v>
      </c>
    </row>
    <row r="427" ht="15.75" customHeight="1">
      <c r="C427" s="12" t="s">
        <v>6</v>
      </c>
    </row>
    <row r="428" ht="15.75" customHeight="1">
      <c r="C428" s="12" t="s">
        <v>6</v>
      </c>
    </row>
    <row r="429" ht="15.75" customHeight="1">
      <c r="C429" s="12" t="s">
        <v>6</v>
      </c>
    </row>
    <row r="430" ht="15.75" customHeight="1">
      <c r="C430" s="12" t="s">
        <v>6</v>
      </c>
    </row>
    <row r="431" ht="15.75" customHeight="1">
      <c r="C431" s="12" t="s">
        <v>6</v>
      </c>
    </row>
    <row r="432" ht="15.75" customHeight="1">
      <c r="C432" s="12" t="s">
        <v>6</v>
      </c>
    </row>
    <row r="433" ht="15.75" customHeight="1">
      <c r="C433" s="12" t="s">
        <v>6</v>
      </c>
    </row>
    <row r="434" ht="15.75" customHeight="1">
      <c r="C434" s="12" t="s">
        <v>6</v>
      </c>
    </row>
    <row r="435" ht="15.75" customHeight="1">
      <c r="C435" s="12" t="s">
        <v>6</v>
      </c>
    </row>
    <row r="436" ht="15.75" customHeight="1">
      <c r="C436" s="12" t="s">
        <v>6</v>
      </c>
    </row>
    <row r="437" ht="15.75" customHeight="1">
      <c r="C437" s="12" t="s">
        <v>6</v>
      </c>
    </row>
    <row r="438" ht="15.75" customHeight="1">
      <c r="C438" s="12" t="s">
        <v>6</v>
      </c>
    </row>
    <row r="439" ht="15.75" customHeight="1">
      <c r="C439" s="12" t="s">
        <v>6</v>
      </c>
    </row>
    <row r="440" ht="15.75" customHeight="1">
      <c r="C440" s="12" t="s">
        <v>6</v>
      </c>
    </row>
    <row r="441" ht="15.75" customHeight="1">
      <c r="C441" s="12" t="s">
        <v>6</v>
      </c>
    </row>
    <row r="442" ht="15.75" customHeight="1">
      <c r="C442" s="12" t="s">
        <v>6</v>
      </c>
    </row>
    <row r="443" ht="15.75" customHeight="1">
      <c r="C443" s="12" t="s">
        <v>6</v>
      </c>
    </row>
    <row r="444" ht="15.75" customHeight="1">
      <c r="C444" s="12" t="s">
        <v>6</v>
      </c>
    </row>
    <row r="445" ht="15.75" customHeight="1">
      <c r="C445" s="12" t="s">
        <v>6</v>
      </c>
    </row>
    <row r="446" ht="15.75" customHeight="1">
      <c r="C446" s="12" t="s">
        <v>6</v>
      </c>
    </row>
    <row r="447" ht="15.75" customHeight="1">
      <c r="C447" s="12" t="s">
        <v>6</v>
      </c>
    </row>
    <row r="448" ht="15.75" customHeight="1">
      <c r="C448" s="12" t="s">
        <v>6</v>
      </c>
    </row>
    <row r="449" ht="15.75" customHeight="1">
      <c r="C449" s="12" t="s">
        <v>6</v>
      </c>
    </row>
    <row r="450" ht="15.75" customHeight="1">
      <c r="C450" s="12" t="s">
        <v>6</v>
      </c>
    </row>
    <row r="451" ht="15.75" customHeight="1">
      <c r="C451" s="12" t="s">
        <v>6</v>
      </c>
    </row>
    <row r="452" ht="15.75" customHeight="1">
      <c r="C452" s="12" t="s">
        <v>6</v>
      </c>
    </row>
    <row r="453" ht="15.75" customHeight="1">
      <c r="C453" s="12" t="s">
        <v>6</v>
      </c>
    </row>
    <row r="454" ht="15.75" customHeight="1">
      <c r="C454" s="12" t="s">
        <v>6</v>
      </c>
    </row>
    <row r="455" ht="15.75" customHeight="1">
      <c r="C455" s="12" t="s">
        <v>6</v>
      </c>
    </row>
    <row r="456" ht="15.75" customHeight="1">
      <c r="C456" s="12" t="s">
        <v>6</v>
      </c>
    </row>
    <row r="457" ht="15.75" customHeight="1">
      <c r="C457" s="12" t="s">
        <v>6</v>
      </c>
    </row>
    <row r="458" ht="15.75" customHeight="1">
      <c r="C458" s="12" t="s">
        <v>6</v>
      </c>
    </row>
    <row r="459" ht="15.75" customHeight="1">
      <c r="C459" s="12" t="s">
        <v>6</v>
      </c>
    </row>
    <row r="460" ht="15.75" customHeight="1">
      <c r="C460" s="12" t="s">
        <v>6</v>
      </c>
    </row>
    <row r="461" ht="15.75" customHeight="1">
      <c r="C461" s="12" t="s">
        <v>6</v>
      </c>
    </row>
    <row r="462" ht="15.75" customHeight="1">
      <c r="C462" s="12" t="s">
        <v>6</v>
      </c>
    </row>
    <row r="463" ht="15.75" customHeight="1">
      <c r="C463" s="12" t="s">
        <v>6</v>
      </c>
    </row>
    <row r="464" ht="15.75" customHeight="1">
      <c r="C464" s="12" t="s">
        <v>6</v>
      </c>
    </row>
    <row r="465" ht="15.75" customHeight="1">
      <c r="C465" s="12" t="s">
        <v>6</v>
      </c>
    </row>
    <row r="466" ht="15.75" customHeight="1">
      <c r="C466" s="12" t="s">
        <v>6</v>
      </c>
    </row>
    <row r="467" ht="15.75" customHeight="1">
      <c r="C467" s="12" t="s">
        <v>6</v>
      </c>
    </row>
    <row r="468" ht="15.75" customHeight="1">
      <c r="C468" s="12" t="s">
        <v>6</v>
      </c>
    </row>
    <row r="469" ht="15.75" customHeight="1">
      <c r="C469" s="12" t="s">
        <v>6</v>
      </c>
    </row>
    <row r="470" ht="15.75" customHeight="1">
      <c r="C470" s="12" t="s">
        <v>6</v>
      </c>
    </row>
    <row r="471" ht="15.75" customHeight="1">
      <c r="C471" s="12" t="s">
        <v>6</v>
      </c>
    </row>
    <row r="472" ht="15.75" customHeight="1">
      <c r="C472" s="12" t="s">
        <v>6</v>
      </c>
    </row>
    <row r="473" ht="15.75" customHeight="1">
      <c r="C473" s="12" t="s">
        <v>6</v>
      </c>
    </row>
    <row r="474" ht="15.75" customHeight="1">
      <c r="C474" s="12" t="s">
        <v>6</v>
      </c>
    </row>
    <row r="475" ht="15.75" customHeight="1">
      <c r="C475" s="12" t="s">
        <v>6</v>
      </c>
    </row>
    <row r="476" ht="15.75" customHeight="1">
      <c r="C476" s="12" t="s">
        <v>6</v>
      </c>
    </row>
    <row r="477" ht="15.75" customHeight="1">
      <c r="C477" s="12" t="s">
        <v>6</v>
      </c>
    </row>
    <row r="478" ht="15.75" customHeight="1">
      <c r="C478" s="12" t="s">
        <v>6</v>
      </c>
    </row>
    <row r="479" ht="15.75" customHeight="1">
      <c r="C479" s="12" t="s">
        <v>6</v>
      </c>
    </row>
    <row r="480" ht="15.75" customHeight="1">
      <c r="C480" s="12" t="s">
        <v>6</v>
      </c>
    </row>
    <row r="481" ht="15.75" customHeight="1">
      <c r="C481" s="12" t="s">
        <v>6</v>
      </c>
    </row>
    <row r="482" ht="15.75" customHeight="1">
      <c r="C482" s="12" t="s">
        <v>6</v>
      </c>
    </row>
    <row r="483" ht="15.75" customHeight="1">
      <c r="C483" s="12" t="s">
        <v>6</v>
      </c>
    </row>
    <row r="484" ht="15.75" customHeight="1">
      <c r="C484" s="12" t="s">
        <v>6</v>
      </c>
    </row>
    <row r="485" ht="15.75" customHeight="1">
      <c r="C485" s="12" t="s">
        <v>6</v>
      </c>
    </row>
    <row r="486" ht="15.75" customHeight="1">
      <c r="C486" s="12" t="s">
        <v>6</v>
      </c>
    </row>
    <row r="487" ht="15.75" customHeight="1">
      <c r="C487" s="12" t="s">
        <v>6</v>
      </c>
    </row>
    <row r="488" ht="15.75" customHeight="1">
      <c r="C488" s="12" t="s">
        <v>6</v>
      </c>
    </row>
    <row r="489" ht="15.75" customHeight="1">
      <c r="C489" s="12" t="s">
        <v>6</v>
      </c>
    </row>
    <row r="490" ht="15.75" customHeight="1">
      <c r="C490" s="12" t="s">
        <v>6</v>
      </c>
    </row>
    <row r="491" ht="15.75" customHeight="1">
      <c r="C491" s="12" t="s">
        <v>6</v>
      </c>
    </row>
    <row r="492" ht="15.75" customHeight="1">
      <c r="C492" s="12" t="s">
        <v>6</v>
      </c>
    </row>
    <row r="493" ht="15.75" customHeight="1">
      <c r="C493" s="12" t="s">
        <v>6</v>
      </c>
    </row>
    <row r="494" ht="15.75" customHeight="1">
      <c r="C494" s="12" t="s">
        <v>6</v>
      </c>
    </row>
    <row r="495" ht="15.75" customHeight="1">
      <c r="C495" s="12" t="s">
        <v>6</v>
      </c>
    </row>
    <row r="496" ht="15.75" customHeight="1">
      <c r="C496" s="12" t="s">
        <v>6</v>
      </c>
    </row>
    <row r="497" ht="15.75" customHeight="1">
      <c r="C497" s="12" t="s">
        <v>6</v>
      </c>
    </row>
    <row r="498" ht="15.75" customHeight="1">
      <c r="C498" s="12" t="s">
        <v>6</v>
      </c>
    </row>
    <row r="499" ht="15.75" customHeight="1">
      <c r="C499" s="12" t="s">
        <v>6</v>
      </c>
    </row>
    <row r="500" ht="15.75" customHeight="1">
      <c r="C500" s="12" t="s">
        <v>6</v>
      </c>
    </row>
    <row r="501" ht="15.75" customHeight="1">
      <c r="C501" s="12" t="s">
        <v>6</v>
      </c>
    </row>
    <row r="502" ht="15.75" customHeight="1">
      <c r="C502" s="12" t="s">
        <v>6</v>
      </c>
    </row>
    <row r="503" ht="15.75" customHeight="1">
      <c r="C503" s="12" t="s">
        <v>6</v>
      </c>
    </row>
    <row r="504" ht="15.75" customHeight="1">
      <c r="C504" s="12" t="s">
        <v>6</v>
      </c>
    </row>
    <row r="505" ht="15.75" customHeight="1">
      <c r="C505" s="12" t="s">
        <v>6</v>
      </c>
    </row>
    <row r="506" ht="15.75" customHeight="1">
      <c r="C506" s="12" t="s">
        <v>6</v>
      </c>
    </row>
    <row r="507" ht="15.75" customHeight="1">
      <c r="C507" s="12" t="s">
        <v>6</v>
      </c>
    </row>
    <row r="508" ht="15.75" customHeight="1">
      <c r="C508" s="12" t="s">
        <v>6</v>
      </c>
    </row>
    <row r="509" ht="15.75" customHeight="1">
      <c r="C509" s="12" t="s">
        <v>6</v>
      </c>
    </row>
    <row r="510" ht="15.75" customHeight="1">
      <c r="C510" s="12" t="s">
        <v>6</v>
      </c>
    </row>
    <row r="511" ht="15.75" customHeight="1">
      <c r="C511" s="12" t="s">
        <v>6</v>
      </c>
    </row>
    <row r="512" ht="15.75" customHeight="1">
      <c r="C512" s="12" t="s">
        <v>6</v>
      </c>
    </row>
    <row r="513" ht="15.75" customHeight="1">
      <c r="C513" s="12" t="s">
        <v>6</v>
      </c>
    </row>
    <row r="514" ht="15.75" customHeight="1">
      <c r="C514" s="12" t="s">
        <v>6</v>
      </c>
    </row>
    <row r="515" ht="15.75" customHeight="1">
      <c r="C515" s="12" t="s">
        <v>6</v>
      </c>
    </row>
    <row r="516" ht="15.75" customHeight="1">
      <c r="C516" s="12" t="s">
        <v>6</v>
      </c>
    </row>
    <row r="517" ht="15.75" customHeight="1">
      <c r="C517" s="12" t="s">
        <v>6</v>
      </c>
    </row>
    <row r="518" ht="15.75" customHeight="1">
      <c r="C518" s="12" t="s">
        <v>6</v>
      </c>
    </row>
    <row r="519" ht="15.75" customHeight="1">
      <c r="C519" s="12" t="s">
        <v>6</v>
      </c>
    </row>
    <row r="520" ht="15.75" customHeight="1">
      <c r="C520" s="12" t="s">
        <v>6</v>
      </c>
    </row>
    <row r="521" ht="15.75" customHeight="1">
      <c r="C521" s="12" t="s">
        <v>6</v>
      </c>
    </row>
    <row r="522" ht="15.75" customHeight="1">
      <c r="C522" s="12" t="s">
        <v>6</v>
      </c>
    </row>
    <row r="523" ht="15.75" customHeight="1">
      <c r="C523" s="12" t="s">
        <v>6</v>
      </c>
    </row>
    <row r="524" ht="15.75" customHeight="1">
      <c r="C524" s="12" t="s">
        <v>6</v>
      </c>
    </row>
    <row r="525" ht="15.75" customHeight="1">
      <c r="C525" s="12" t="s">
        <v>6</v>
      </c>
    </row>
    <row r="526" ht="15.75" customHeight="1">
      <c r="C526" s="12" t="s">
        <v>6</v>
      </c>
    </row>
    <row r="527" ht="15.75" customHeight="1">
      <c r="C527" s="12" t="s">
        <v>6</v>
      </c>
    </row>
    <row r="528" ht="15.75" customHeight="1">
      <c r="C528" s="12" t="s">
        <v>6</v>
      </c>
    </row>
    <row r="529" ht="15.75" customHeight="1">
      <c r="C529" s="12" t="s">
        <v>6</v>
      </c>
    </row>
    <row r="530" ht="15.75" customHeight="1">
      <c r="C530" s="12" t="s">
        <v>6</v>
      </c>
    </row>
    <row r="531" ht="15.75" customHeight="1">
      <c r="C531" s="12" t="s">
        <v>6</v>
      </c>
    </row>
    <row r="532" ht="15.75" customHeight="1">
      <c r="C532" s="12" t="s">
        <v>6</v>
      </c>
    </row>
    <row r="533" ht="15.75" customHeight="1">
      <c r="C533" s="12" t="s">
        <v>6</v>
      </c>
    </row>
    <row r="534" ht="15.75" customHeight="1">
      <c r="C534" s="12" t="s">
        <v>6</v>
      </c>
    </row>
    <row r="535" ht="15.75" customHeight="1">
      <c r="C535" s="12" t="s">
        <v>6</v>
      </c>
    </row>
    <row r="536" ht="15.75" customHeight="1">
      <c r="C536" s="12" t="s">
        <v>6</v>
      </c>
    </row>
    <row r="537" ht="15.75" customHeight="1">
      <c r="C537" s="12" t="s">
        <v>6</v>
      </c>
    </row>
    <row r="538" ht="15.75" customHeight="1">
      <c r="C538" s="12" t="s">
        <v>6</v>
      </c>
    </row>
    <row r="539" ht="15.75" customHeight="1">
      <c r="C539" s="12" t="s">
        <v>6</v>
      </c>
    </row>
    <row r="540" ht="15.75" customHeight="1">
      <c r="C540" s="12" t="s">
        <v>6</v>
      </c>
    </row>
    <row r="541" ht="15.75" customHeight="1">
      <c r="C541" s="12" t="s">
        <v>6</v>
      </c>
    </row>
    <row r="542" ht="15.75" customHeight="1">
      <c r="C542" s="12" t="s">
        <v>6</v>
      </c>
    </row>
    <row r="543" ht="15.75" customHeight="1">
      <c r="C543" s="12" t="s">
        <v>6</v>
      </c>
    </row>
    <row r="544" ht="15.75" customHeight="1">
      <c r="C544" s="12" t="s">
        <v>6</v>
      </c>
    </row>
    <row r="545" ht="15.75" customHeight="1">
      <c r="C545" s="12" t="s">
        <v>6</v>
      </c>
    </row>
    <row r="546" ht="15.75" customHeight="1">
      <c r="C546" s="12" t="s">
        <v>6</v>
      </c>
    </row>
    <row r="547" ht="15.75" customHeight="1">
      <c r="C547" s="12" t="s">
        <v>6</v>
      </c>
    </row>
    <row r="548" ht="15.75" customHeight="1">
      <c r="C548" s="12" t="s">
        <v>6</v>
      </c>
    </row>
    <row r="549" ht="15.75" customHeight="1">
      <c r="C549" s="12" t="s">
        <v>6</v>
      </c>
    </row>
    <row r="550" ht="15.75" customHeight="1">
      <c r="C550" s="12" t="s">
        <v>6</v>
      </c>
    </row>
    <row r="551" ht="15.75" customHeight="1">
      <c r="C551" s="12" t="s">
        <v>6</v>
      </c>
    </row>
    <row r="552" ht="15.75" customHeight="1">
      <c r="C552" s="12" t="s">
        <v>6</v>
      </c>
    </row>
    <row r="553" ht="15.75" customHeight="1">
      <c r="C553" s="12" t="s">
        <v>6</v>
      </c>
    </row>
    <row r="554" ht="15.75" customHeight="1">
      <c r="C554" s="12" t="s">
        <v>6</v>
      </c>
    </row>
    <row r="555" ht="15.75" customHeight="1">
      <c r="C555" s="12" t="s">
        <v>6</v>
      </c>
    </row>
    <row r="556" ht="15.75" customHeight="1">
      <c r="C556" s="12" t="s">
        <v>6</v>
      </c>
    </row>
    <row r="557" ht="15.75" customHeight="1">
      <c r="C557" s="12" t="s">
        <v>6</v>
      </c>
    </row>
    <row r="558" ht="15.75" customHeight="1">
      <c r="C558" s="12" t="s">
        <v>6</v>
      </c>
    </row>
    <row r="559" ht="15.75" customHeight="1">
      <c r="C559" s="12" t="s">
        <v>6</v>
      </c>
    </row>
    <row r="560" ht="15.75" customHeight="1">
      <c r="C560" s="12" t="s">
        <v>6</v>
      </c>
    </row>
    <row r="561" ht="15.75" customHeight="1">
      <c r="C561" s="12" t="s">
        <v>6</v>
      </c>
    </row>
    <row r="562" ht="15.75" customHeight="1">
      <c r="C562" s="12" t="s">
        <v>6</v>
      </c>
    </row>
    <row r="563" ht="15.75" customHeight="1">
      <c r="C563" s="12" t="s">
        <v>6</v>
      </c>
    </row>
    <row r="564" ht="15.75" customHeight="1">
      <c r="C564" s="12" t="s">
        <v>6</v>
      </c>
    </row>
    <row r="565" ht="15.75" customHeight="1">
      <c r="C565" s="12" t="s">
        <v>6</v>
      </c>
    </row>
    <row r="566" ht="15.75" customHeight="1">
      <c r="C566" s="12" t="s">
        <v>6</v>
      </c>
    </row>
    <row r="567" ht="15.75" customHeight="1">
      <c r="C567" s="12" t="s">
        <v>6</v>
      </c>
    </row>
    <row r="568" ht="15.75" customHeight="1">
      <c r="C568" s="12" t="s">
        <v>6</v>
      </c>
    </row>
    <row r="569" ht="15.75" customHeight="1">
      <c r="C569" s="12" t="s">
        <v>6</v>
      </c>
    </row>
    <row r="570" ht="15.75" customHeight="1">
      <c r="C570" s="12" t="s">
        <v>6</v>
      </c>
    </row>
    <row r="571" ht="15.75" customHeight="1">
      <c r="C571" s="12" t="s">
        <v>6</v>
      </c>
    </row>
    <row r="572" ht="15.75" customHeight="1">
      <c r="C572" s="12" t="s">
        <v>6</v>
      </c>
    </row>
    <row r="573" ht="15.75" customHeight="1">
      <c r="C573" s="12" t="s">
        <v>6</v>
      </c>
    </row>
    <row r="574" ht="15.75" customHeight="1">
      <c r="C574" s="12" t="s">
        <v>6</v>
      </c>
    </row>
    <row r="575" ht="15.75" customHeight="1">
      <c r="C575" s="12" t="s">
        <v>6</v>
      </c>
    </row>
    <row r="576" ht="15.75" customHeight="1">
      <c r="C576" s="12" t="s">
        <v>6</v>
      </c>
    </row>
    <row r="577" ht="15.75" customHeight="1">
      <c r="C577" s="12" t="s">
        <v>6</v>
      </c>
    </row>
    <row r="578" ht="15.75" customHeight="1">
      <c r="C578" s="12" t="s">
        <v>6</v>
      </c>
    </row>
    <row r="579" ht="15.75" customHeight="1">
      <c r="C579" s="12" t="s">
        <v>6</v>
      </c>
    </row>
    <row r="580" ht="15.75" customHeight="1">
      <c r="C580" s="12" t="s">
        <v>6</v>
      </c>
    </row>
    <row r="581" ht="15.75" customHeight="1">
      <c r="C581" s="12" t="s">
        <v>6</v>
      </c>
    </row>
    <row r="582" ht="15.75" customHeight="1">
      <c r="C582" s="12" t="s">
        <v>6</v>
      </c>
    </row>
    <row r="583" ht="15.75" customHeight="1">
      <c r="C583" s="12" t="s">
        <v>6</v>
      </c>
    </row>
    <row r="584" ht="15.75" customHeight="1">
      <c r="C584" s="12" t="s">
        <v>6</v>
      </c>
    </row>
    <row r="585" ht="15.75" customHeight="1">
      <c r="C585" s="12" t="s">
        <v>6</v>
      </c>
    </row>
    <row r="586" ht="15.75" customHeight="1">
      <c r="C586" s="12" t="s">
        <v>6</v>
      </c>
    </row>
    <row r="587" ht="15.75" customHeight="1">
      <c r="C587" s="12" t="s">
        <v>6</v>
      </c>
    </row>
    <row r="588" ht="15.75" customHeight="1">
      <c r="C588" s="12" t="s">
        <v>6</v>
      </c>
    </row>
    <row r="589" ht="15.75" customHeight="1">
      <c r="C589" s="12" t="s">
        <v>6</v>
      </c>
    </row>
    <row r="590" ht="15.75" customHeight="1">
      <c r="C590" s="12" t="s">
        <v>6</v>
      </c>
    </row>
    <row r="591" ht="15.75" customHeight="1">
      <c r="C591" s="12" t="s">
        <v>6</v>
      </c>
    </row>
    <row r="592" ht="15.75" customHeight="1">
      <c r="C592" s="12" t="s">
        <v>6</v>
      </c>
    </row>
    <row r="593" ht="15.75" customHeight="1">
      <c r="C593" s="12" t="s">
        <v>6</v>
      </c>
    </row>
    <row r="594" ht="15.75" customHeight="1">
      <c r="C594" s="12" t="s">
        <v>6</v>
      </c>
    </row>
    <row r="595" ht="15.75" customHeight="1">
      <c r="C595" s="12" t="s">
        <v>6</v>
      </c>
    </row>
    <row r="596" ht="15.75" customHeight="1">
      <c r="C596" s="12" t="s">
        <v>6</v>
      </c>
    </row>
    <row r="597" ht="15.75" customHeight="1">
      <c r="C597" s="12" t="s">
        <v>6</v>
      </c>
    </row>
    <row r="598" ht="15.75" customHeight="1">
      <c r="C598" s="12" t="s">
        <v>6</v>
      </c>
    </row>
    <row r="599" ht="15.75" customHeight="1">
      <c r="C599" s="12" t="s">
        <v>6</v>
      </c>
    </row>
    <row r="600" ht="15.75" customHeight="1">
      <c r="C600" s="12" t="s">
        <v>6</v>
      </c>
    </row>
    <row r="601" ht="15.75" customHeight="1">
      <c r="C601" s="12" t="s">
        <v>6</v>
      </c>
    </row>
    <row r="602" ht="15.75" customHeight="1">
      <c r="C602" s="12" t="s">
        <v>6</v>
      </c>
    </row>
    <row r="603" ht="15.75" customHeight="1">
      <c r="C603" s="12" t="s">
        <v>6</v>
      </c>
    </row>
    <row r="604" ht="15.75" customHeight="1">
      <c r="C604" s="12" t="s">
        <v>6</v>
      </c>
    </row>
    <row r="605" ht="15.75" customHeight="1">
      <c r="C605" s="12" t="s">
        <v>6</v>
      </c>
    </row>
    <row r="606" ht="15.75" customHeight="1">
      <c r="C606" s="12" t="s">
        <v>6</v>
      </c>
    </row>
    <row r="607" ht="15.75" customHeight="1">
      <c r="C607" s="12" t="s">
        <v>6</v>
      </c>
    </row>
    <row r="608" ht="15.75" customHeight="1">
      <c r="C608" s="12" t="s">
        <v>6</v>
      </c>
    </row>
    <row r="609" ht="15.75" customHeight="1">
      <c r="C609" s="12" t="s">
        <v>6</v>
      </c>
    </row>
    <row r="610" ht="15.75" customHeight="1">
      <c r="C610" s="12" t="s">
        <v>6</v>
      </c>
    </row>
    <row r="611" ht="15.75" customHeight="1">
      <c r="C611" s="12" t="s">
        <v>6</v>
      </c>
    </row>
    <row r="612" ht="15.75" customHeight="1">
      <c r="C612" s="12" t="s">
        <v>6</v>
      </c>
    </row>
    <row r="613" ht="15.75" customHeight="1">
      <c r="C613" s="12" t="s">
        <v>6</v>
      </c>
    </row>
    <row r="614" ht="15.75" customHeight="1">
      <c r="C614" s="12" t="s">
        <v>6</v>
      </c>
    </row>
    <row r="615" ht="15.75" customHeight="1">
      <c r="C615" s="12" t="s">
        <v>6</v>
      </c>
    </row>
    <row r="616" ht="15.75" customHeight="1">
      <c r="C616" s="12" t="s">
        <v>6</v>
      </c>
    </row>
    <row r="617" ht="15.75" customHeight="1">
      <c r="C617" s="12" t="s">
        <v>6</v>
      </c>
    </row>
    <row r="618" ht="15.75" customHeight="1">
      <c r="C618" s="12" t="s">
        <v>6</v>
      </c>
    </row>
    <row r="619" ht="15.75" customHeight="1">
      <c r="C619" s="12" t="s">
        <v>6</v>
      </c>
    </row>
    <row r="620" ht="15.75" customHeight="1">
      <c r="C620" s="12" t="s">
        <v>6</v>
      </c>
    </row>
    <row r="621" ht="15.75" customHeight="1">
      <c r="C621" s="12" t="s">
        <v>6</v>
      </c>
    </row>
    <row r="622" ht="15.75" customHeight="1">
      <c r="C622" s="12" t="s">
        <v>6</v>
      </c>
    </row>
    <row r="623" ht="15.75" customHeight="1">
      <c r="C623" s="12" t="s">
        <v>6</v>
      </c>
    </row>
    <row r="624" ht="15.75" customHeight="1">
      <c r="C624" s="12" t="s">
        <v>6</v>
      </c>
    </row>
    <row r="625" ht="15.75" customHeight="1">
      <c r="C625" s="12" t="s">
        <v>6</v>
      </c>
    </row>
    <row r="626" ht="15.75" customHeight="1">
      <c r="C626" s="12" t="s">
        <v>6</v>
      </c>
    </row>
    <row r="627" ht="15.75" customHeight="1">
      <c r="C627" s="12" t="s">
        <v>6</v>
      </c>
    </row>
    <row r="628" ht="15.75" customHeight="1">
      <c r="C628" s="12" t="s">
        <v>6</v>
      </c>
    </row>
    <row r="629" ht="15.75" customHeight="1">
      <c r="C629" s="12" t="s">
        <v>6</v>
      </c>
    </row>
    <row r="630" ht="15.75" customHeight="1">
      <c r="C630" s="12" t="s">
        <v>6</v>
      </c>
    </row>
    <row r="631" ht="15.75" customHeight="1">
      <c r="C631" s="12" t="s">
        <v>6</v>
      </c>
    </row>
    <row r="632" ht="15.75" customHeight="1">
      <c r="C632" s="12" t="s">
        <v>6</v>
      </c>
    </row>
    <row r="633" ht="15.75" customHeight="1">
      <c r="C633" s="12" t="s">
        <v>6</v>
      </c>
    </row>
    <row r="634" ht="15.75" customHeight="1">
      <c r="C634" s="12" t="s">
        <v>6</v>
      </c>
    </row>
    <row r="635" ht="15.75" customHeight="1">
      <c r="C635" s="12" t="s">
        <v>6</v>
      </c>
    </row>
    <row r="636" ht="15.75" customHeight="1">
      <c r="C636" s="12" t="s">
        <v>6</v>
      </c>
    </row>
    <row r="637" ht="15.75" customHeight="1">
      <c r="C637" s="12" t="s">
        <v>6</v>
      </c>
    </row>
    <row r="638" ht="15.75" customHeight="1">
      <c r="C638" s="12" t="s">
        <v>6</v>
      </c>
    </row>
    <row r="639" ht="15.75" customHeight="1">
      <c r="C639" s="12" t="s">
        <v>6</v>
      </c>
    </row>
    <row r="640" ht="15.75" customHeight="1">
      <c r="C640" s="12" t="s">
        <v>6</v>
      </c>
    </row>
    <row r="641" ht="15.75" customHeight="1">
      <c r="C641" s="12" t="s">
        <v>6</v>
      </c>
    </row>
    <row r="642" ht="15.75" customHeight="1">
      <c r="C642" s="12" t="s">
        <v>6</v>
      </c>
    </row>
    <row r="643" ht="15.75" customHeight="1">
      <c r="C643" s="12" t="s">
        <v>6</v>
      </c>
    </row>
    <row r="644" ht="15.75" customHeight="1">
      <c r="C644" s="12" t="s">
        <v>6</v>
      </c>
    </row>
    <row r="645" ht="15.75" customHeight="1">
      <c r="C645" s="12" t="s">
        <v>6</v>
      </c>
    </row>
    <row r="646" ht="15.75" customHeight="1">
      <c r="C646" s="12" t="s">
        <v>6</v>
      </c>
    </row>
    <row r="647" ht="15.75" customHeight="1">
      <c r="C647" s="12" t="s">
        <v>6</v>
      </c>
    </row>
    <row r="648" ht="15.75" customHeight="1">
      <c r="C648" s="12" t="s">
        <v>6</v>
      </c>
    </row>
    <row r="649" ht="15.75" customHeight="1">
      <c r="C649" s="12" t="s">
        <v>6</v>
      </c>
    </row>
    <row r="650" ht="15.75" customHeight="1">
      <c r="C650" s="12" t="s">
        <v>6</v>
      </c>
    </row>
    <row r="651" ht="15.75" customHeight="1">
      <c r="C651" s="12" t="s">
        <v>6</v>
      </c>
    </row>
    <row r="652" ht="15.75" customHeight="1">
      <c r="C652" s="12" t="s">
        <v>6</v>
      </c>
    </row>
    <row r="653" ht="15.75" customHeight="1">
      <c r="C653" s="12" t="s">
        <v>6</v>
      </c>
    </row>
    <row r="654" ht="15.75" customHeight="1">
      <c r="C654" s="12" t="s">
        <v>6</v>
      </c>
    </row>
    <row r="655" ht="15.75" customHeight="1">
      <c r="C655" s="12" t="s">
        <v>6</v>
      </c>
    </row>
    <row r="656" ht="15.75" customHeight="1">
      <c r="C656" s="12" t="s">
        <v>6</v>
      </c>
    </row>
    <row r="657" ht="15.75" customHeight="1">
      <c r="C657" s="12" t="s">
        <v>6</v>
      </c>
    </row>
    <row r="658" ht="15.75" customHeight="1">
      <c r="C658" s="12" t="s">
        <v>6</v>
      </c>
    </row>
    <row r="659" ht="15.75" customHeight="1">
      <c r="C659" s="12" t="s">
        <v>6</v>
      </c>
    </row>
    <row r="660" ht="15.75" customHeight="1">
      <c r="C660" s="12" t="s">
        <v>6</v>
      </c>
    </row>
    <row r="661" ht="15.75" customHeight="1">
      <c r="C661" s="12" t="s">
        <v>6</v>
      </c>
    </row>
    <row r="662" ht="15.75" customHeight="1">
      <c r="C662" s="12" t="s">
        <v>6</v>
      </c>
    </row>
    <row r="663" ht="15.75" customHeight="1">
      <c r="C663" s="12" t="s">
        <v>6</v>
      </c>
    </row>
    <row r="664" ht="15.75" customHeight="1">
      <c r="C664" s="12" t="s">
        <v>6</v>
      </c>
    </row>
    <row r="665" ht="15.75" customHeight="1">
      <c r="C665" s="12" t="s">
        <v>6</v>
      </c>
    </row>
    <row r="666" ht="15.75" customHeight="1">
      <c r="C666" s="12" t="s">
        <v>6</v>
      </c>
    </row>
    <row r="667" ht="15.75" customHeight="1">
      <c r="C667" s="12" t="s">
        <v>6</v>
      </c>
    </row>
    <row r="668" ht="15.75" customHeight="1">
      <c r="C668" s="12" t="s">
        <v>6</v>
      </c>
    </row>
    <row r="669" ht="15.75" customHeight="1">
      <c r="C669" s="12" t="s">
        <v>6</v>
      </c>
    </row>
    <row r="670" ht="15.75" customHeight="1">
      <c r="C670" s="12" t="s">
        <v>6</v>
      </c>
    </row>
    <row r="671" ht="15.75" customHeight="1">
      <c r="C671" s="12" t="s">
        <v>6</v>
      </c>
    </row>
    <row r="672" ht="15.75" customHeight="1">
      <c r="C672" s="12" t="s">
        <v>6</v>
      </c>
    </row>
    <row r="673" ht="15.75" customHeight="1">
      <c r="C673" s="12" t="s">
        <v>6</v>
      </c>
    </row>
    <row r="674" ht="15.75" customHeight="1">
      <c r="C674" s="12" t="s">
        <v>6</v>
      </c>
    </row>
    <row r="675" ht="15.75" customHeight="1">
      <c r="C675" s="12" t="s">
        <v>6</v>
      </c>
    </row>
    <row r="676" ht="15.75" customHeight="1">
      <c r="C676" s="12" t="s">
        <v>6</v>
      </c>
    </row>
    <row r="677" ht="15.75" customHeight="1">
      <c r="C677" s="12" t="s">
        <v>6</v>
      </c>
    </row>
    <row r="678" ht="15.75" customHeight="1">
      <c r="C678" s="12" t="s">
        <v>6</v>
      </c>
    </row>
    <row r="679" ht="15.75" customHeight="1">
      <c r="C679" s="12" t="s">
        <v>6</v>
      </c>
    </row>
    <row r="680" ht="15.75" customHeight="1">
      <c r="C680" s="12" t="s">
        <v>6</v>
      </c>
    </row>
    <row r="681" ht="15.75" customHeight="1">
      <c r="C681" s="12" t="s">
        <v>6</v>
      </c>
    </row>
    <row r="682" ht="15.75" customHeight="1">
      <c r="C682" s="12" t="s">
        <v>6</v>
      </c>
    </row>
    <row r="683" ht="15.75" customHeight="1">
      <c r="C683" s="12" t="s">
        <v>6</v>
      </c>
    </row>
    <row r="684" ht="15.75" customHeight="1">
      <c r="C684" s="12" t="s">
        <v>6</v>
      </c>
    </row>
    <row r="685" ht="15.75" customHeight="1">
      <c r="C685" s="12" t="s">
        <v>6</v>
      </c>
    </row>
    <row r="686" ht="15.75" customHeight="1">
      <c r="C686" s="12" t="s">
        <v>6</v>
      </c>
    </row>
    <row r="687" ht="15.75" customHeight="1">
      <c r="C687" s="12" t="s">
        <v>6</v>
      </c>
    </row>
    <row r="688" ht="15.75" customHeight="1">
      <c r="C688" s="12" t="s">
        <v>6</v>
      </c>
    </row>
    <row r="689" ht="15.75" customHeight="1">
      <c r="C689" s="12" t="s">
        <v>6</v>
      </c>
    </row>
    <row r="690" ht="15.75" customHeight="1">
      <c r="C690" s="12" t="s">
        <v>6</v>
      </c>
    </row>
    <row r="691" ht="15.75" customHeight="1">
      <c r="C691" s="12" t="s">
        <v>6</v>
      </c>
    </row>
    <row r="692" ht="15.75" customHeight="1">
      <c r="C692" s="12" t="s">
        <v>6</v>
      </c>
    </row>
    <row r="693" ht="15.75" customHeight="1">
      <c r="C693" s="12" t="s">
        <v>6</v>
      </c>
    </row>
    <row r="694" ht="15.75" customHeight="1">
      <c r="C694" s="12" t="s">
        <v>6</v>
      </c>
    </row>
    <row r="695" ht="15.75" customHeight="1">
      <c r="C695" s="12" t="s">
        <v>6</v>
      </c>
    </row>
    <row r="696" ht="15.75" customHeight="1">
      <c r="C696" s="12" t="s">
        <v>6</v>
      </c>
    </row>
    <row r="697" ht="15.75" customHeight="1">
      <c r="C697" s="12" t="s">
        <v>6</v>
      </c>
    </row>
    <row r="698" ht="15.75" customHeight="1">
      <c r="C698" s="12" t="s">
        <v>6</v>
      </c>
    </row>
    <row r="699" ht="15.75" customHeight="1">
      <c r="C699" s="12" t="s">
        <v>6</v>
      </c>
    </row>
    <row r="700" ht="15.75" customHeight="1">
      <c r="C700" s="12" t="s">
        <v>6</v>
      </c>
    </row>
    <row r="701" ht="15.75" customHeight="1">
      <c r="C701" s="12" t="s">
        <v>6</v>
      </c>
    </row>
    <row r="702" ht="15.75" customHeight="1">
      <c r="C702" s="12" t="s">
        <v>6</v>
      </c>
    </row>
    <row r="703" ht="15.75" customHeight="1">
      <c r="C703" s="12" t="s">
        <v>6</v>
      </c>
    </row>
    <row r="704" ht="15.75" customHeight="1">
      <c r="C704" s="12" t="s">
        <v>6</v>
      </c>
    </row>
    <row r="705" ht="15.75" customHeight="1">
      <c r="C705" s="12" t="s">
        <v>6</v>
      </c>
    </row>
    <row r="706" ht="15.75" customHeight="1">
      <c r="C706" s="12" t="s">
        <v>6</v>
      </c>
    </row>
    <row r="707" ht="15.75" customHeight="1">
      <c r="C707" s="12" t="s">
        <v>6</v>
      </c>
    </row>
    <row r="708" ht="15.75" customHeight="1">
      <c r="C708" s="12" t="s">
        <v>6</v>
      </c>
    </row>
    <row r="709" ht="15.75" customHeight="1">
      <c r="C709" s="12" t="s">
        <v>6</v>
      </c>
    </row>
    <row r="710" ht="15.75" customHeight="1">
      <c r="C710" s="12" t="s">
        <v>6</v>
      </c>
    </row>
    <row r="711" ht="15.75" customHeight="1">
      <c r="C711" s="12" t="s">
        <v>6</v>
      </c>
    </row>
    <row r="712" ht="15.75" customHeight="1">
      <c r="C712" s="12" t="s">
        <v>6</v>
      </c>
    </row>
    <row r="713" ht="15.75" customHeight="1">
      <c r="C713" s="12" t="s">
        <v>6</v>
      </c>
    </row>
    <row r="714" ht="15.75" customHeight="1">
      <c r="C714" s="12" t="s">
        <v>6</v>
      </c>
    </row>
    <row r="715" ht="15.75" customHeight="1">
      <c r="C715" s="12" t="s">
        <v>6</v>
      </c>
    </row>
    <row r="716" ht="15.75" customHeight="1">
      <c r="C716" s="12" t="s">
        <v>6</v>
      </c>
    </row>
    <row r="717" ht="15.75" customHeight="1">
      <c r="C717" s="12" t="s">
        <v>6</v>
      </c>
    </row>
    <row r="718" ht="15.75" customHeight="1">
      <c r="C718" s="12" t="s">
        <v>6</v>
      </c>
    </row>
    <row r="719" ht="15.75" customHeight="1">
      <c r="C719" s="12" t="s">
        <v>6</v>
      </c>
    </row>
    <row r="720" ht="15.75" customHeight="1">
      <c r="C720" s="12" t="s">
        <v>6</v>
      </c>
    </row>
    <row r="721" ht="15.75" customHeight="1">
      <c r="C721" s="12" t="s">
        <v>6</v>
      </c>
    </row>
    <row r="722" ht="15.75" customHeight="1">
      <c r="C722" s="12" t="s">
        <v>6</v>
      </c>
    </row>
    <row r="723" ht="15.75" customHeight="1">
      <c r="C723" s="12" t="s">
        <v>6</v>
      </c>
    </row>
    <row r="724" ht="15.75" customHeight="1">
      <c r="C724" s="12" t="s">
        <v>6</v>
      </c>
    </row>
    <row r="725" ht="15.75" customHeight="1">
      <c r="C725" s="12" t="s">
        <v>6</v>
      </c>
    </row>
    <row r="726" ht="15.75" customHeight="1">
      <c r="C726" s="12" t="s">
        <v>6</v>
      </c>
    </row>
    <row r="727" ht="15.75" customHeight="1">
      <c r="C727" s="12" t="s">
        <v>6</v>
      </c>
    </row>
    <row r="728" ht="15.75" customHeight="1">
      <c r="C728" s="12" t="s">
        <v>6</v>
      </c>
    </row>
    <row r="729" ht="15.75" customHeight="1">
      <c r="C729" s="12" t="s">
        <v>6</v>
      </c>
    </row>
    <row r="730" ht="15.75" customHeight="1">
      <c r="C730" s="12" t="s">
        <v>6</v>
      </c>
    </row>
    <row r="731" ht="15.75" customHeight="1">
      <c r="C731" s="12" t="s">
        <v>6</v>
      </c>
    </row>
    <row r="732" ht="15.75" customHeight="1">
      <c r="C732" s="12" t="s">
        <v>6</v>
      </c>
    </row>
    <row r="733" ht="15.75" customHeight="1">
      <c r="C733" s="12" t="s">
        <v>6</v>
      </c>
    </row>
    <row r="734" ht="15.75" customHeight="1">
      <c r="C734" s="12" t="s">
        <v>6</v>
      </c>
    </row>
    <row r="735" ht="15.75" customHeight="1">
      <c r="C735" s="12" t="s">
        <v>6</v>
      </c>
    </row>
    <row r="736" ht="15.75" customHeight="1">
      <c r="C736" s="12" t="s">
        <v>6</v>
      </c>
    </row>
    <row r="737" ht="15.75" customHeight="1">
      <c r="C737" s="12" t="s">
        <v>6</v>
      </c>
    </row>
    <row r="738" ht="15.75" customHeight="1">
      <c r="C738" s="12" t="s">
        <v>6</v>
      </c>
    </row>
    <row r="739" ht="15.75" customHeight="1">
      <c r="C739" s="12" t="s">
        <v>6</v>
      </c>
    </row>
    <row r="740" ht="15.75" customHeight="1">
      <c r="C740" s="12" t="s">
        <v>6</v>
      </c>
    </row>
    <row r="741" ht="15.75" customHeight="1">
      <c r="C741" s="12" t="s">
        <v>6</v>
      </c>
    </row>
    <row r="742" ht="15.75" customHeight="1">
      <c r="C742" s="12" t="s">
        <v>6</v>
      </c>
    </row>
    <row r="743" ht="15.75" customHeight="1">
      <c r="C743" s="12" t="s">
        <v>6</v>
      </c>
    </row>
    <row r="744" ht="15.75" customHeight="1">
      <c r="C744" s="12" t="s">
        <v>6</v>
      </c>
    </row>
    <row r="745" ht="15.75" customHeight="1">
      <c r="C745" s="12" t="s">
        <v>6</v>
      </c>
    </row>
    <row r="746" ht="15.75" customHeight="1">
      <c r="C746" s="12" t="s">
        <v>6</v>
      </c>
    </row>
    <row r="747" ht="15.75" customHeight="1">
      <c r="C747" s="12" t="s">
        <v>6</v>
      </c>
    </row>
    <row r="748" ht="15.75" customHeight="1">
      <c r="C748" s="12" t="s">
        <v>6</v>
      </c>
    </row>
    <row r="749" ht="15.75" customHeight="1">
      <c r="C749" s="12" t="s">
        <v>6</v>
      </c>
    </row>
    <row r="750" ht="15.75" customHeight="1">
      <c r="C750" s="12" t="s">
        <v>6</v>
      </c>
    </row>
    <row r="751" ht="15.75" customHeight="1">
      <c r="C751" s="12" t="s">
        <v>6</v>
      </c>
    </row>
    <row r="752" ht="15.75" customHeight="1">
      <c r="C752" s="12" t="s">
        <v>6</v>
      </c>
    </row>
    <row r="753" ht="15.75" customHeight="1">
      <c r="C753" s="12" t="s">
        <v>6</v>
      </c>
    </row>
    <row r="754" ht="15.75" customHeight="1">
      <c r="C754" s="12" t="s">
        <v>6</v>
      </c>
    </row>
    <row r="755" ht="15.75" customHeight="1">
      <c r="C755" s="12" t="s">
        <v>6</v>
      </c>
    </row>
    <row r="756" ht="15.75" customHeight="1">
      <c r="C756" s="12" t="s">
        <v>6</v>
      </c>
    </row>
    <row r="757" ht="15.75" customHeight="1">
      <c r="C757" s="12" t="s">
        <v>6</v>
      </c>
    </row>
    <row r="758" ht="15.75" customHeight="1">
      <c r="C758" s="12" t="s">
        <v>6</v>
      </c>
    </row>
    <row r="759" ht="15.75" customHeight="1">
      <c r="C759" s="12" t="s">
        <v>6</v>
      </c>
    </row>
    <row r="760" ht="15.75" customHeight="1">
      <c r="C760" s="12" t="s">
        <v>6</v>
      </c>
    </row>
    <row r="761" ht="15.75" customHeight="1">
      <c r="C761" s="12" t="s">
        <v>6</v>
      </c>
    </row>
    <row r="762" ht="15.75" customHeight="1">
      <c r="C762" s="12" t="s">
        <v>6</v>
      </c>
    </row>
    <row r="763" ht="15.75" customHeight="1">
      <c r="C763" s="12" t="s">
        <v>6</v>
      </c>
    </row>
    <row r="764" ht="15.75" customHeight="1">
      <c r="C764" s="12" t="s">
        <v>6</v>
      </c>
    </row>
    <row r="765" ht="15.75" customHeight="1">
      <c r="C765" s="12" t="s">
        <v>6</v>
      </c>
    </row>
    <row r="766" ht="15.75" customHeight="1">
      <c r="C766" s="12" t="s">
        <v>6</v>
      </c>
    </row>
    <row r="767" ht="15.75" customHeight="1">
      <c r="C767" s="12" t="s">
        <v>6</v>
      </c>
    </row>
    <row r="768" ht="15.75" customHeight="1">
      <c r="C768" s="12" t="s">
        <v>6</v>
      </c>
    </row>
    <row r="769" ht="15.75" customHeight="1">
      <c r="C769" s="12" t="s">
        <v>6</v>
      </c>
    </row>
    <row r="770" ht="15.75" customHeight="1">
      <c r="C770" s="12" t="s">
        <v>6</v>
      </c>
    </row>
    <row r="771" ht="15.75" customHeight="1">
      <c r="C771" s="12" t="s">
        <v>6</v>
      </c>
    </row>
    <row r="772" ht="15.75" customHeight="1">
      <c r="C772" s="12" t="s">
        <v>6</v>
      </c>
    </row>
    <row r="773" ht="15.75" customHeight="1">
      <c r="C773" s="12" t="s">
        <v>6</v>
      </c>
    </row>
    <row r="774" ht="15.75" customHeight="1">
      <c r="C774" s="12" t="s">
        <v>6</v>
      </c>
    </row>
    <row r="775" ht="15.75" customHeight="1">
      <c r="C775" s="12" t="s">
        <v>6</v>
      </c>
    </row>
    <row r="776" ht="15.75" customHeight="1">
      <c r="C776" s="12" t="s">
        <v>6</v>
      </c>
    </row>
    <row r="777" ht="15.75" customHeight="1">
      <c r="C777" s="12" t="s">
        <v>6</v>
      </c>
    </row>
    <row r="778" ht="15.75" customHeight="1">
      <c r="C778" s="12" t="s">
        <v>6</v>
      </c>
    </row>
    <row r="779" ht="15.75" customHeight="1">
      <c r="C779" s="12" t="s">
        <v>6</v>
      </c>
    </row>
    <row r="780" ht="15.75" customHeight="1">
      <c r="C780" s="12" t="s">
        <v>6</v>
      </c>
    </row>
    <row r="781" ht="15.75" customHeight="1">
      <c r="C781" s="12" t="s">
        <v>6</v>
      </c>
    </row>
    <row r="782" ht="15.75" customHeight="1">
      <c r="C782" s="12" t="s">
        <v>6</v>
      </c>
    </row>
    <row r="783" ht="15.75" customHeight="1">
      <c r="C783" s="12" t="s">
        <v>6</v>
      </c>
    </row>
    <row r="784" ht="15.75" customHeight="1">
      <c r="C784" s="12" t="s">
        <v>6</v>
      </c>
    </row>
    <row r="785" ht="15.75" customHeight="1">
      <c r="C785" s="12" t="s">
        <v>6</v>
      </c>
    </row>
    <row r="786" ht="15.75" customHeight="1">
      <c r="C786" s="12" t="s">
        <v>6</v>
      </c>
    </row>
    <row r="787" ht="15.75" customHeight="1">
      <c r="C787" s="12" t="s">
        <v>6</v>
      </c>
    </row>
    <row r="788" ht="15.75" customHeight="1">
      <c r="C788" s="12" t="s">
        <v>6</v>
      </c>
    </row>
    <row r="789" ht="15.75" customHeight="1">
      <c r="C789" s="12" t="s">
        <v>6</v>
      </c>
    </row>
    <row r="790" ht="15.75" customHeight="1">
      <c r="C790" s="12" t="s">
        <v>6</v>
      </c>
    </row>
    <row r="791" ht="15.75" customHeight="1">
      <c r="C791" s="12" t="s">
        <v>6</v>
      </c>
    </row>
    <row r="792" ht="15.75" customHeight="1">
      <c r="C792" s="12" t="s">
        <v>6</v>
      </c>
    </row>
    <row r="793" ht="15.75" customHeight="1">
      <c r="C793" s="12" t="s">
        <v>6</v>
      </c>
    </row>
    <row r="794" ht="15.75" customHeight="1">
      <c r="C794" s="12" t="s">
        <v>6</v>
      </c>
    </row>
    <row r="795" ht="15.75" customHeight="1">
      <c r="C795" s="12" t="s">
        <v>6</v>
      </c>
    </row>
    <row r="796" ht="15.75" customHeight="1">
      <c r="C796" s="12" t="s">
        <v>6</v>
      </c>
    </row>
    <row r="797" ht="15.75" customHeight="1">
      <c r="C797" s="12" t="s">
        <v>6</v>
      </c>
    </row>
    <row r="798" ht="15.75" customHeight="1">
      <c r="C798" s="12" t="s">
        <v>6</v>
      </c>
    </row>
    <row r="799" ht="15.75" customHeight="1">
      <c r="C799" s="12" t="s">
        <v>6</v>
      </c>
    </row>
    <row r="800" ht="15.75" customHeight="1">
      <c r="C800" s="12" t="s">
        <v>6</v>
      </c>
    </row>
    <row r="801" ht="15.75" customHeight="1">
      <c r="C801" s="12" t="s">
        <v>6</v>
      </c>
    </row>
    <row r="802" ht="15.75" customHeight="1">
      <c r="C802" s="12" t="s">
        <v>6</v>
      </c>
    </row>
    <row r="803" ht="15.75" customHeight="1">
      <c r="C803" s="12" t="s">
        <v>6</v>
      </c>
    </row>
    <row r="804" ht="15.75" customHeight="1">
      <c r="C804" s="12" t="s">
        <v>6</v>
      </c>
    </row>
    <row r="805" ht="15.75" customHeight="1">
      <c r="C805" s="12" t="s">
        <v>6</v>
      </c>
    </row>
    <row r="806" ht="15.75" customHeight="1">
      <c r="C806" s="12" t="s">
        <v>6</v>
      </c>
    </row>
    <row r="807" ht="15.75" customHeight="1">
      <c r="C807" s="12" t="s">
        <v>6</v>
      </c>
    </row>
    <row r="808" ht="15.75" customHeight="1">
      <c r="C808" s="12" t="s">
        <v>6</v>
      </c>
    </row>
    <row r="809" ht="15.75" customHeight="1">
      <c r="C809" s="12" t="s">
        <v>6</v>
      </c>
    </row>
    <row r="810" ht="15.75" customHeight="1">
      <c r="C810" s="12" t="s">
        <v>6</v>
      </c>
    </row>
    <row r="811" ht="15.75" customHeight="1">
      <c r="C811" s="12" t="s">
        <v>6</v>
      </c>
    </row>
    <row r="812" ht="15.75" customHeight="1">
      <c r="C812" s="12" t="s">
        <v>6</v>
      </c>
    </row>
    <row r="813" ht="15.75" customHeight="1">
      <c r="C813" s="12" t="s">
        <v>6</v>
      </c>
    </row>
    <row r="814" ht="15.75" customHeight="1">
      <c r="C814" s="12" t="s">
        <v>6</v>
      </c>
    </row>
    <row r="815" ht="15.75" customHeight="1">
      <c r="C815" s="12" t="s">
        <v>6</v>
      </c>
    </row>
    <row r="816" ht="15.75" customHeight="1">
      <c r="C816" s="12" t="s">
        <v>6</v>
      </c>
    </row>
    <row r="817" ht="15.75" customHeight="1">
      <c r="C817" s="12" t="s">
        <v>6</v>
      </c>
    </row>
    <row r="818" ht="15.75" customHeight="1">
      <c r="C818" s="12" t="s">
        <v>6</v>
      </c>
    </row>
    <row r="819" ht="15.75" customHeight="1">
      <c r="C819" s="12" t="s">
        <v>6</v>
      </c>
    </row>
    <row r="820" ht="15.75" customHeight="1">
      <c r="C820" s="12" t="s">
        <v>6</v>
      </c>
    </row>
    <row r="821" ht="15.75" customHeight="1">
      <c r="C821" s="12" t="s">
        <v>6</v>
      </c>
    </row>
    <row r="822" ht="15.75" customHeight="1">
      <c r="C822" s="12" t="s">
        <v>6</v>
      </c>
    </row>
    <row r="823" ht="15.75" customHeight="1">
      <c r="C823" s="12" t="s">
        <v>6</v>
      </c>
    </row>
    <row r="824" ht="15.75" customHeight="1">
      <c r="C824" s="12" t="s">
        <v>6</v>
      </c>
    </row>
    <row r="825" ht="15.75" customHeight="1">
      <c r="C825" s="12" t="s">
        <v>6</v>
      </c>
    </row>
    <row r="826" ht="15.75" customHeight="1">
      <c r="C826" s="12" t="s">
        <v>6</v>
      </c>
    </row>
    <row r="827" ht="15.75" customHeight="1">
      <c r="C827" s="12" t="s">
        <v>6</v>
      </c>
    </row>
    <row r="828" ht="15.75" customHeight="1">
      <c r="C828" s="12" t="s">
        <v>6</v>
      </c>
    </row>
    <row r="829" ht="15.75" customHeight="1">
      <c r="C829" s="12" t="s">
        <v>6</v>
      </c>
    </row>
    <row r="830" ht="15.75" customHeight="1">
      <c r="C830" s="12" t="s">
        <v>6</v>
      </c>
    </row>
    <row r="831" ht="15.75" customHeight="1">
      <c r="C831" s="12" t="s">
        <v>6</v>
      </c>
    </row>
    <row r="832" ht="15.75" customHeight="1">
      <c r="C832" s="12" t="s">
        <v>6</v>
      </c>
    </row>
    <row r="833" ht="15.75" customHeight="1">
      <c r="C833" s="12" t="s">
        <v>6</v>
      </c>
    </row>
    <row r="834" ht="15.75" customHeight="1">
      <c r="C834" s="12" t="s">
        <v>6</v>
      </c>
    </row>
    <row r="835" ht="15.75" customHeight="1">
      <c r="C835" s="12" t="s">
        <v>6</v>
      </c>
    </row>
    <row r="836" ht="15.75" customHeight="1">
      <c r="C836" s="12" t="s">
        <v>6</v>
      </c>
    </row>
    <row r="837" ht="15.75" customHeight="1">
      <c r="C837" s="12" t="s">
        <v>6</v>
      </c>
    </row>
    <row r="838" ht="15.75" customHeight="1">
      <c r="C838" s="12" t="s">
        <v>6</v>
      </c>
    </row>
    <row r="839" ht="15.75" customHeight="1">
      <c r="C839" s="12" t="s">
        <v>6</v>
      </c>
    </row>
    <row r="840" ht="15.75" customHeight="1">
      <c r="C840" s="12" t="s">
        <v>6</v>
      </c>
    </row>
    <row r="841" ht="15.75" customHeight="1">
      <c r="C841" s="12" t="s">
        <v>6</v>
      </c>
    </row>
    <row r="842" ht="15.75" customHeight="1">
      <c r="C842" s="12" t="s">
        <v>6</v>
      </c>
    </row>
    <row r="843" ht="15.75" customHeight="1">
      <c r="C843" s="12" t="s">
        <v>6</v>
      </c>
    </row>
    <row r="844" ht="15.75" customHeight="1">
      <c r="C844" s="12" t="s">
        <v>6</v>
      </c>
    </row>
    <row r="845" ht="15.75" customHeight="1">
      <c r="C845" s="12" t="s">
        <v>6</v>
      </c>
    </row>
    <row r="846" ht="15.75" customHeight="1">
      <c r="C846" s="12" t="s">
        <v>6</v>
      </c>
    </row>
    <row r="847" ht="15.75" customHeight="1">
      <c r="C847" s="12" t="s">
        <v>6</v>
      </c>
    </row>
    <row r="848" ht="15.75" customHeight="1">
      <c r="C848" s="12" t="s">
        <v>6</v>
      </c>
    </row>
    <row r="849" ht="15.75" customHeight="1">
      <c r="C849" s="12" t="s">
        <v>6</v>
      </c>
    </row>
    <row r="850" ht="15.75" customHeight="1">
      <c r="C850" s="12" t="s">
        <v>6</v>
      </c>
    </row>
    <row r="851" ht="15.75" customHeight="1">
      <c r="C851" s="12" t="s">
        <v>6</v>
      </c>
    </row>
    <row r="852" ht="15.75" customHeight="1">
      <c r="C852" s="12" t="s">
        <v>6</v>
      </c>
    </row>
    <row r="853" ht="15.75" customHeight="1">
      <c r="C853" s="12" t="s">
        <v>6</v>
      </c>
    </row>
    <row r="854" ht="15.75" customHeight="1">
      <c r="C854" s="12" t="s">
        <v>6</v>
      </c>
    </row>
    <row r="855" ht="15.75" customHeight="1">
      <c r="C855" s="12" t="s">
        <v>6</v>
      </c>
    </row>
    <row r="856" ht="15.75" customHeight="1">
      <c r="C856" s="12" t="s">
        <v>6</v>
      </c>
    </row>
    <row r="857" ht="15.75" customHeight="1">
      <c r="C857" s="12" t="s">
        <v>6</v>
      </c>
    </row>
    <row r="858" ht="15.75" customHeight="1">
      <c r="C858" s="12" t="s">
        <v>6</v>
      </c>
    </row>
    <row r="859" ht="15.75" customHeight="1">
      <c r="C859" s="12" t="s">
        <v>6</v>
      </c>
    </row>
    <row r="860" ht="15.75" customHeight="1">
      <c r="C860" s="12" t="s">
        <v>6</v>
      </c>
    </row>
    <row r="861" ht="15.75" customHeight="1">
      <c r="C861" s="12" t="s">
        <v>6</v>
      </c>
    </row>
    <row r="862" ht="15.75" customHeight="1">
      <c r="C862" s="12" t="s">
        <v>6</v>
      </c>
    </row>
    <row r="863" ht="15.75" customHeight="1">
      <c r="C863" s="12" t="s">
        <v>6</v>
      </c>
    </row>
    <row r="864" ht="15.75" customHeight="1">
      <c r="C864" s="12" t="s">
        <v>6</v>
      </c>
    </row>
    <row r="865" ht="15.75" customHeight="1">
      <c r="C865" s="12" t="s">
        <v>6</v>
      </c>
    </row>
    <row r="866" ht="15.75" customHeight="1">
      <c r="C866" s="12" t="s">
        <v>6</v>
      </c>
    </row>
    <row r="867" ht="15.75" customHeight="1">
      <c r="C867" s="12" t="s">
        <v>6</v>
      </c>
    </row>
    <row r="868" ht="15.75" customHeight="1">
      <c r="C868" s="12" t="s">
        <v>6</v>
      </c>
    </row>
    <row r="869" ht="15.75" customHeight="1">
      <c r="C869" s="12" t="s">
        <v>6</v>
      </c>
    </row>
    <row r="870" ht="15.75" customHeight="1">
      <c r="C870" s="12" t="s">
        <v>6</v>
      </c>
    </row>
    <row r="871" ht="15.75" customHeight="1">
      <c r="C871" s="12" t="s">
        <v>6</v>
      </c>
    </row>
    <row r="872" ht="15.75" customHeight="1">
      <c r="C872" s="12" t="s">
        <v>6</v>
      </c>
    </row>
    <row r="873" ht="15.75" customHeight="1">
      <c r="C873" s="12" t="s">
        <v>6</v>
      </c>
    </row>
    <row r="874" ht="15.75" customHeight="1">
      <c r="C874" s="12" t="s">
        <v>6</v>
      </c>
    </row>
    <row r="875" ht="15.75" customHeight="1">
      <c r="C875" s="12" t="s">
        <v>6</v>
      </c>
    </row>
    <row r="876" ht="15.75" customHeight="1">
      <c r="C876" s="12" t="s">
        <v>6</v>
      </c>
    </row>
    <row r="877" ht="15.75" customHeight="1">
      <c r="C877" s="12" t="s">
        <v>6</v>
      </c>
    </row>
    <row r="878" ht="15.75" customHeight="1">
      <c r="C878" s="12" t="s">
        <v>6</v>
      </c>
    </row>
    <row r="879" ht="15.75" customHeight="1">
      <c r="C879" s="12" t="s">
        <v>6</v>
      </c>
    </row>
    <row r="880" ht="15.75" customHeight="1">
      <c r="C880" s="12" t="s">
        <v>6</v>
      </c>
    </row>
    <row r="881" ht="15.75" customHeight="1">
      <c r="C881" s="12" t="s">
        <v>6</v>
      </c>
    </row>
    <row r="882" ht="15.75" customHeight="1">
      <c r="C882" s="12" t="s">
        <v>6</v>
      </c>
    </row>
    <row r="883" ht="15.75" customHeight="1">
      <c r="C883" s="12" t="s">
        <v>6</v>
      </c>
    </row>
    <row r="884" ht="15.75" customHeight="1">
      <c r="C884" s="12" t="s">
        <v>6</v>
      </c>
    </row>
    <row r="885" ht="15.75" customHeight="1">
      <c r="C885" s="12" t="s">
        <v>6</v>
      </c>
    </row>
    <row r="886" ht="15.75" customHeight="1">
      <c r="C886" s="12" t="s">
        <v>6</v>
      </c>
    </row>
    <row r="887" ht="15.75" customHeight="1">
      <c r="C887" s="12" t="s">
        <v>6</v>
      </c>
    </row>
    <row r="888" ht="15.75" customHeight="1">
      <c r="C888" s="12" t="s">
        <v>6</v>
      </c>
    </row>
    <row r="889" ht="15.75" customHeight="1">
      <c r="C889" s="12" t="s">
        <v>6</v>
      </c>
    </row>
    <row r="890" ht="15.75" customHeight="1">
      <c r="C890" s="12" t="s">
        <v>6</v>
      </c>
    </row>
    <row r="891" ht="15.75" customHeight="1">
      <c r="C891" s="12" t="s">
        <v>6</v>
      </c>
    </row>
    <row r="892" ht="15.75" customHeight="1">
      <c r="C892" s="12" t="s">
        <v>6</v>
      </c>
    </row>
    <row r="893" ht="15.75" customHeight="1">
      <c r="C893" s="12" t="s">
        <v>6</v>
      </c>
    </row>
    <row r="894" ht="15.75" customHeight="1">
      <c r="C894" s="12" t="s">
        <v>6</v>
      </c>
    </row>
    <row r="895" ht="15.75" customHeight="1">
      <c r="C895" s="12" t="s">
        <v>6</v>
      </c>
    </row>
    <row r="896" ht="15.75" customHeight="1">
      <c r="C896" s="12" t="s">
        <v>6</v>
      </c>
    </row>
    <row r="897" ht="15.75" customHeight="1">
      <c r="C897" s="12" t="s">
        <v>6</v>
      </c>
    </row>
    <row r="898" ht="15.75" customHeight="1">
      <c r="C898" s="12" t="s">
        <v>6</v>
      </c>
    </row>
    <row r="899" ht="15.75" customHeight="1">
      <c r="C899" s="12" t="s">
        <v>6</v>
      </c>
    </row>
    <row r="900" ht="15.75" customHeight="1">
      <c r="C900" s="12" t="s">
        <v>6</v>
      </c>
    </row>
    <row r="901" ht="15.75" customHeight="1">
      <c r="C901" s="12" t="s">
        <v>6</v>
      </c>
    </row>
    <row r="902" ht="15.75" customHeight="1">
      <c r="C902" s="12" t="s">
        <v>6</v>
      </c>
    </row>
    <row r="903" ht="15.75" customHeight="1">
      <c r="C903" s="12" t="s">
        <v>6</v>
      </c>
    </row>
    <row r="904" ht="15.75" customHeight="1">
      <c r="C904" s="12" t="s">
        <v>6</v>
      </c>
    </row>
    <row r="905" ht="15.75" customHeight="1">
      <c r="C905" s="12" t="s">
        <v>6</v>
      </c>
    </row>
    <row r="906" ht="15.75" customHeight="1">
      <c r="C906" s="12" t="s">
        <v>6</v>
      </c>
    </row>
    <row r="907" ht="15.75" customHeight="1">
      <c r="C907" s="12" t="s">
        <v>6</v>
      </c>
    </row>
    <row r="908" ht="15.75" customHeight="1">
      <c r="C908" s="12" t="s">
        <v>6</v>
      </c>
    </row>
    <row r="909" ht="15.75" customHeight="1">
      <c r="C909" s="12" t="s">
        <v>6</v>
      </c>
    </row>
    <row r="910" ht="15.75" customHeight="1">
      <c r="C910" s="12" t="s">
        <v>6</v>
      </c>
    </row>
    <row r="911" ht="15.75" customHeight="1">
      <c r="C911" s="12" t="s">
        <v>6</v>
      </c>
    </row>
    <row r="912" ht="15.75" customHeight="1">
      <c r="C912" s="12" t="s">
        <v>6</v>
      </c>
    </row>
    <row r="913" ht="15.75" customHeight="1">
      <c r="C913" s="12" t="s">
        <v>6</v>
      </c>
    </row>
    <row r="914" ht="15.75" customHeight="1">
      <c r="C914" s="12" t="s">
        <v>6</v>
      </c>
    </row>
    <row r="915" ht="15.75" customHeight="1">
      <c r="C915" s="12" t="s">
        <v>6</v>
      </c>
    </row>
    <row r="916" ht="15.75" customHeight="1">
      <c r="C916" s="12" t="s">
        <v>6</v>
      </c>
    </row>
    <row r="917" ht="15.75" customHeight="1">
      <c r="C917" s="12" t="s">
        <v>6</v>
      </c>
    </row>
    <row r="918" ht="15.75" customHeight="1">
      <c r="C918" s="12" t="s">
        <v>6</v>
      </c>
    </row>
    <row r="919" ht="15.75" customHeight="1">
      <c r="C919" s="12" t="s">
        <v>6</v>
      </c>
    </row>
    <row r="920" ht="15.75" customHeight="1">
      <c r="C920" s="12" t="s">
        <v>6</v>
      </c>
    </row>
    <row r="921" ht="15.75" customHeight="1">
      <c r="C921" s="12" t="s">
        <v>6</v>
      </c>
    </row>
    <row r="922" ht="15.75" customHeight="1">
      <c r="C922" s="12" t="s">
        <v>6</v>
      </c>
    </row>
    <row r="923" ht="15.75" customHeight="1">
      <c r="C923" s="12" t="s">
        <v>6</v>
      </c>
    </row>
    <row r="924" ht="15.75" customHeight="1">
      <c r="C924" s="12" t="s">
        <v>6</v>
      </c>
    </row>
    <row r="925" ht="15.75" customHeight="1">
      <c r="C925" s="12" t="s">
        <v>6</v>
      </c>
    </row>
    <row r="926" ht="15.75" customHeight="1">
      <c r="C926" s="12" t="s">
        <v>6</v>
      </c>
    </row>
    <row r="927" ht="15.75" customHeight="1">
      <c r="C927" s="12" t="s">
        <v>6</v>
      </c>
    </row>
    <row r="928" ht="15.75" customHeight="1">
      <c r="C928" s="12" t="s">
        <v>6</v>
      </c>
    </row>
    <row r="929" ht="15.75" customHeight="1">
      <c r="C929" s="12" t="s">
        <v>6</v>
      </c>
    </row>
    <row r="930" ht="15.75" customHeight="1">
      <c r="C930" s="12" t="s">
        <v>6</v>
      </c>
    </row>
    <row r="931" ht="15.75" customHeight="1">
      <c r="C931" s="12" t="s">
        <v>6</v>
      </c>
    </row>
    <row r="932" ht="15.75" customHeight="1">
      <c r="C932" s="12" t="s">
        <v>6</v>
      </c>
    </row>
    <row r="933" ht="15.75" customHeight="1">
      <c r="C933" s="12" t="s">
        <v>6</v>
      </c>
    </row>
    <row r="934" ht="15.75" customHeight="1">
      <c r="C934" s="12" t="s">
        <v>6</v>
      </c>
    </row>
    <row r="935" ht="15.75" customHeight="1">
      <c r="C935" s="12" t="s">
        <v>6</v>
      </c>
    </row>
    <row r="936" ht="15.75" customHeight="1">
      <c r="C936" s="12" t="s">
        <v>6</v>
      </c>
    </row>
    <row r="937" ht="15.75" customHeight="1">
      <c r="C937" s="12" t="s">
        <v>6</v>
      </c>
    </row>
    <row r="938" ht="15.75" customHeight="1">
      <c r="C938" s="12" t="s">
        <v>6</v>
      </c>
    </row>
    <row r="939" ht="15.75" customHeight="1">
      <c r="C939" s="12" t="s">
        <v>6</v>
      </c>
    </row>
    <row r="940" ht="15.75" customHeight="1">
      <c r="C940" s="12" t="s">
        <v>6</v>
      </c>
    </row>
    <row r="941" ht="15.75" customHeight="1">
      <c r="C941" s="12" t="s">
        <v>6</v>
      </c>
    </row>
    <row r="942" ht="15.75" customHeight="1">
      <c r="C942" s="12" t="s">
        <v>6</v>
      </c>
    </row>
    <row r="943" ht="15.75" customHeight="1">
      <c r="C943" s="12" t="s">
        <v>6</v>
      </c>
    </row>
    <row r="944" ht="15.75" customHeight="1">
      <c r="C944" s="12" t="s">
        <v>6</v>
      </c>
    </row>
    <row r="945" ht="15.75" customHeight="1">
      <c r="C945" s="12" t="s">
        <v>6</v>
      </c>
    </row>
    <row r="946" ht="15.75" customHeight="1">
      <c r="C946" s="12" t="s">
        <v>6</v>
      </c>
    </row>
    <row r="947" ht="15.75" customHeight="1">
      <c r="C947" s="12" t="s">
        <v>6</v>
      </c>
    </row>
    <row r="948" ht="15.75" customHeight="1">
      <c r="C948" s="12" t="s">
        <v>6</v>
      </c>
    </row>
    <row r="949" ht="15.75" customHeight="1">
      <c r="C949" s="12" t="s">
        <v>6</v>
      </c>
    </row>
    <row r="950" ht="15.75" customHeight="1">
      <c r="C950" s="12" t="s">
        <v>6</v>
      </c>
    </row>
    <row r="951" ht="15.75" customHeight="1">
      <c r="C951" s="12" t="s">
        <v>6</v>
      </c>
    </row>
    <row r="952" ht="15.75" customHeight="1">
      <c r="C952" s="12" t="s">
        <v>6</v>
      </c>
    </row>
    <row r="953" ht="15.75" customHeight="1">
      <c r="C953" s="12" t="s">
        <v>6</v>
      </c>
    </row>
    <row r="954" ht="15.75" customHeight="1">
      <c r="C954" s="12" t="s">
        <v>6</v>
      </c>
    </row>
    <row r="955" ht="15.75" customHeight="1">
      <c r="C955" s="12" t="s">
        <v>6</v>
      </c>
    </row>
    <row r="956" ht="15.75" customHeight="1">
      <c r="C956" s="12" t="s">
        <v>6</v>
      </c>
    </row>
    <row r="957" ht="15.75" customHeight="1">
      <c r="C957" s="12" t="s">
        <v>6</v>
      </c>
    </row>
    <row r="958" ht="15.75" customHeight="1">
      <c r="C958" s="12" t="s">
        <v>6</v>
      </c>
    </row>
    <row r="959" ht="15.75" customHeight="1">
      <c r="C959" s="12" t="s">
        <v>6</v>
      </c>
    </row>
    <row r="960" ht="15.75" customHeight="1">
      <c r="C960" s="12" t="s">
        <v>6</v>
      </c>
    </row>
    <row r="961" ht="15.75" customHeight="1">
      <c r="C961" s="12" t="s">
        <v>6</v>
      </c>
    </row>
    <row r="962" ht="15.75" customHeight="1">
      <c r="C962" s="12" t="s">
        <v>6</v>
      </c>
    </row>
    <row r="963" ht="15.75" customHeight="1">
      <c r="C963" s="12" t="s">
        <v>6</v>
      </c>
    </row>
    <row r="964" ht="15.75" customHeight="1">
      <c r="C964" s="12" t="s">
        <v>6</v>
      </c>
    </row>
    <row r="965" ht="15.75" customHeight="1">
      <c r="C965" s="12" t="s">
        <v>6</v>
      </c>
    </row>
    <row r="966" ht="15.75" customHeight="1">
      <c r="C966" s="12" t="s">
        <v>6</v>
      </c>
    </row>
    <row r="967" ht="15.75" customHeight="1">
      <c r="C967" s="12" t="s">
        <v>6</v>
      </c>
    </row>
    <row r="968" ht="15.75" customHeight="1">
      <c r="C968" s="12" t="s">
        <v>6</v>
      </c>
    </row>
    <row r="969" ht="15.75" customHeight="1">
      <c r="C969" s="12" t="s">
        <v>6</v>
      </c>
    </row>
    <row r="970" ht="15.75" customHeight="1">
      <c r="C970" s="12" t="s">
        <v>6</v>
      </c>
    </row>
    <row r="971" ht="15.75" customHeight="1">
      <c r="C971" s="12" t="s">
        <v>6</v>
      </c>
    </row>
    <row r="972" ht="15.75" customHeight="1">
      <c r="C972" s="12" t="s">
        <v>6</v>
      </c>
    </row>
    <row r="973" ht="15.75" customHeight="1">
      <c r="C973" s="12" t="s">
        <v>6</v>
      </c>
    </row>
    <row r="974" ht="15.75" customHeight="1">
      <c r="C974" s="12" t="s">
        <v>6</v>
      </c>
    </row>
    <row r="975" ht="15.75" customHeight="1">
      <c r="C975" s="12" t="s">
        <v>6</v>
      </c>
    </row>
    <row r="976" ht="15.75" customHeight="1">
      <c r="C976" s="12" t="s">
        <v>6</v>
      </c>
    </row>
    <row r="977" ht="15.75" customHeight="1">
      <c r="C977" s="12" t="s">
        <v>6</v>
      </c>
    </row>
    <row r="978" ht="15.75" customHeight="1">
      <c r="C978" s="12" t="s">
        <v>6</v>
      </c>
    </row>
    <row r="979" ht="15.75" customHeight="1">
      <c r="C979" s="12" t="s">
        <v>6</v>
      </c>
    </row>
    <row r="980" ht="15.75" customHeight="1">
      <c r="C980" s="12" t="s">
        <v>6</v>
      </c>
    </row>
    <row r="981" ht="15.75" customHeight="1">
      <c r="C981" s="12" t="s">
        <v>6</v>
      </c>
    </row>
    <row r="982" ht="15.75" customHeight="1">
      <c r="C982" s="12" t="s">
        <v>6</v>
      </c>
    </row>
    <row r="983" ht="15.75" customHeight="1">
      <c r="C983" s="12" t="s">
        <v>6</v>
      </c>
    </row>
    <row r="984" ht="15.75" customHeight="1">
      <c r="C984" s="12" t="s">
        <v>6</v>
      </c>
    </row>
    <row r="985" ht="15.75" customHeight="1">
      <c r="C985" s="12" t="s">
        <v>6</v>
      </c>
    </row>
    <row r="986" ht="15.75" customHeight="1">
      <c r="C986" s="12" t="s">
        <v>6</v>
      </c>
    </row>
    <row r="987" ht="15.75" customHeight="1">
      <c r="C987" s="12" t="s">
        <v>6</v>
      </c>
    </row>
    <row r="988" ht="15.75" customHeight="1">
      <c r="C988" s="12" t="s">
        <v>6</v>
      </c>
    </row>
    <row r="989" ht="15.75" customHeight="1">
      <c r="C989" s="12" t="s">
        <v>6</v>
      </c>
    </row>
    <row r="990" ht="15.75" customHeight="1">
      <c r="C990" s="12" t="s">
        <v>6</v>
      </c>
    </row>
    <row r="991" ht="15.75" customHeight="1">
      <c r="C991" s="12" t="s">
        <v>6</v>
      </c>
    </row>
    <row r="992" ht="15.75" customHeight="1">
      <c r="C992" s="12" t="s">
        <v>6</v>
      </c>
    </row>
    <row r="993" ht="15.75" customHeight="1">
      <c r="C993" s="12" t="s">
        <v>6</v>
      </c>
    </row>
    <row r="994" ht="15.75" customHeight="1">
      <c r="C994" s="12" t="s">
        <v>6</v>
      </c>
    </row>
    <row r="995" ht="15.75" customHeight="1">
      <c r="C995" s="12" t="s">
        <v>6</v>
      </c>
    </row>
    <row r="996" ht="15.75" customHeight="1">
      <c r="C996" s="12" t="s">
        <v>6</v>
      </c>
    </row>
    <row r="997" ht="15.75" customHeight="1">
      <c r="C997" s="12" t="s">
        <v>6</v>
      </c>
    </row>
    <row r="998" ht="15.75" customHeight="1">
      <c r="C998" s="12" t="s">
        <v>6</v>
      </c>
    </row>
    <row r="999" ht="15.75" customHeight="1">
      <c r="C999" s="12" t="s">
        <v>6</v>
      </c>
    </row>
    <row r="1000" ht="15.75" customHeight="1">
      <c r="C1000" s="12" t="s">
        <v>6</v>
      </c>
    </row>
    <row r="1001" ht="15.75" customHeight="1">
      <c r="C1001" s="12" t="s">
        <v>6</v>
      </c>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sheetData>
    <row r="1" ht="15.75" customHeight="1">
      <c r="A1" s="156" t="s">
        <v>1946</v>
      </c>
      <c r="B1" s="156" t="s">
        <v>1947</v>
      </c>
      <c r="C1" s="156" t="s">
        <v>1948</v>
      </c>
    </row>
    <row r="2" ht="15.75" customHeight="1">
      <c r="A2" s="157">
        <f t="shared" ref="A2:A15" si="1">A3-1</f>
        <v>-14</v>
      </c>
      <c r="B2" s="158">
        <f t="array" ref="B2">SUMIF(INDIRECT("'Check-in'!"&amp;Parameters!C$2&amp;":"&amp;Parameters!C$2&amp;""),A2,INDIRECT("'Check-in'!"&amp;Parameters!C$3&amp;":"&amp;Parameters!C$3&amp;""))</f>
        <v>0</v>
      </c>
      <c r="C2" s="158">
        <f t="array" ref="C2">SUMIF(INDIRECT("'Check-out'!"&amp;Parameters!C$4&amp;":"&amp;Parameters!C$4&amp;""),A2,INDIRECT("'Check-out'!"&amp;Parameters!C$5&amp;":"&amp;Parameters!C$5&amp;""))</f>
        <v>0</v>
      </c>
    </row>
    <row r="3" ht="15.75" customHeight="1">
      <c r="A3" s="157">
        <f t="shared" si="1"/>
        <v>-13</v>
      </c>
      <c r="B3" s="158">
        <f t="array" ref="B3">SUMIF(INDIRECT("'Check-in'!"&amp;Parameters!C$2&amp;":"&amp;Parameters!C$2&amp;""),A3,INDIRECT("'Check-in'!"&amp;Parameters!C$3&amp;":"&amp;Parameters!C$3&amp;""))</f>
        <v>0</v>
      </c>
      <c r="C3" s="158">
        <f t="array" ref="C3">SUMIF(INDIRECT("'Check-out'!"&amp;Parameters!C$4&amp;":"&amp;Parameters!C$4&amp;""),A3,INDIRECT("'Check-out'!"&amp;Parameters!C$5&amp;":"&amp;Parameters!C$5&amp;""))</f>
        <v>0</v>
      </c>
    </row>
    <row r="4" ht="15.75" customHeight="1">
      <c r="A4" s="157">
        <f t="shared" si="1"/>
        <v>-12</v>
      </c>
      <c r="B4" s="158">
        <f t="array" ref="B4">SUMIF(INDIRECT("'Check-in'!"&amp;Parameters!C$2&amp;":"&amp;Parameters!C$2&amp;""),A4,INDIRECT("'Check-in'!"&amp;Parameters!C$3&amp;":"&amp;Parameters!C$3&amp;""))</f>
        <v>0</v>
      </c>
      <c r="C4" s="158">
        <f t="array" ref="C4">SUMIF(INDIRECT("'Check-out'!"&amp;Parameters!C$4&amp;":"&amp;Parameters!C$4&amp;""),A4,INDIRECT("'Check-out'!"&amp;Parameters!C$5&amp;":"&amp;Parameters!C$5&amp;""))</f>
        <v>0</v>
      </c>
    </row>
    <row r="5" ht="15.75" customHeight="1">
      <c r="A5" s="157">
        <f t="shared" si="1"/>
        <v>-11</v>
      </c>
      <c r="B5" s="158">
        <f t="array" ref="B5">SUMIF(INDIRECT("'Check-in'!"&amp;Parameters!C$2&amp;":"&amp;Parameters!C$2&amp;""),A5,INDIRECT("'Check-in'!"&amp;Parameters!C$3&amp;":"&amp;Parameters!C$3&amp;""))</f>
        <v>0</v>
      </c>
      <c r="C5" s="158">
        <f t="array" ref="C5">SUMIF(INDIRECT("'Check-out'!"&amp;Parameters!C$4&amp;":"&amp;Parameters!C$4&amp;""),A5,INDIRECT("'Check-out'!"&amp;Parameters!C$5&amp;":"&amp;Parameters!C$5&amp;""))</f>
        <v>0</v>
      </c>
    </row>
    <row r="6" ht="15.75" customHeight="1">
      <c r="A6" s="157">
        <f t="shared" si="1"/>
        <v>-10</v>
      </c>
      <c r="B6" s="158">
        <f t="array" ref="B6">SUMIF(INDIRECT("'Check-in'!"&amp;Parameters!C$2&amp;":"&amp;Parameters!C$2&amp;""),A6,INDIRECT("'Check-in'!"&amp;Parameters!C$3&amp;":"&amp;Parameters!C$3&amp;""))</f>
        <v>0</v>
      </c>
      <c r="C6" s="158">
        <f t="array" ref="C6">SUMIF(INDIRECT("'Check-out'!"&amp;Parameters!C$4&amp;":"&amp;Parameters!C$4&amp;""),A6,INDIRECT("'Check-out'!"&amp;Parameters!C$5&amp;":"&amp;Parameters!C$5&amp;""))</f>
        <v>0</v>
      </c>
    </row>
    <row r="7" ht="15.75" customHeight="1">
      <c r="A7" s="157">
        <f t="shared" si="1"/>
        <v>-9</v>
      </c>
      <c r="B7" s="158">
        <f t="array" ref="B7">SUMIF(INDIRECT("'Check-in'!"&amp;Parameters!C$2&amp;":"&amp;Parameters!C$2&amp;""),A7,INDIRECT("'Check-in'!"&amp;Parameters!C$3&amp;":"&amp;Parameters!C$3&amp;""))</f>
        <v>0</v>
      </c>
      <c r="C7" s="158">
        <f t="array" ref="C7">SUMIF(INDIRECT("'Check-out'!"&amp;Parameters!C$4&amp;":"&amp;Parameters!C$4&amp;""),A7,INDIRECT("'Check-out'!"&amp;Parameters!C$5&amp;":"&amp;Parameters!C$5&amp;""))</f>
        <v>0</v>
      </c>
    </row>
    <row r="8" ht="15.75" customHeight="1">
      <c r="A8" s="157">
        <f t="shared" si="1"/>
        <v>-8</v>
      </c>
      <c r="B8" s="158">
        <f t="array" ref="B8">SUMIF(INDIRECT("'Check-in'!"&amp;Parameters!C$2&amp;":"&amp;Parameters!C$2&amp;""),A8,INDIRECT("'Check-in'!"&amp;Parameters!C$3&amp;":"&amp;Parameters!C$3&amp;""))</f>
        <v>0</v>
      </c>
      <c r="C8" s="158">
        <f t="array" ref="C8">SUMIF(INDIRECT("'Check-out'!"&amp;Parameters!C$4&amp;":"&amp;Parameters!C$4&amp;""),A8,INDIRECT("'Check-out'!"&amp;Parameters!C$5&amp;":"&amp;Parameters!C$5&amp;""))</f>
        <v>0</v>
      </c>
    </row>
    <row r="9" ht="15.75" customHeight="1">
      <c r="A9" s="157">
        <f t="shared" si="1"/>
        <v>-7</v>
      </c>
      <c r="B9" s="158">
        <f t="array" ref="B9">SUMIF(INDIRECT("'Check-in'!"&amp;Parameters!C$2&amp;":"&amp;Parameters!C$2&amp;""),A9,INDIRECT("'Check-in'!"&amp;Parameters!C$3&amp;":"&amp;Parameters!C$3&amp;""))</f>
        <v>0</v>
      </c>
      <c r="C9" s="158">
        <f t="array" ref="C9">SUMIF(INDIRECT("'Check-out'!"&amp;Parameters!C$4&amp;":"&amp;Parameters!C$4&amp;""),A9,INDIRECT("'Check-out'!"&amp;Parameters!C$5&amp;":"&amp;Parameters!C$5&amp;""))</f>
        <v>0</v>
      </c>
    </row>
    <row r="10" ht="15.75" customHeight="1">
      <c r="A10" s="157">
        <f t="shared" si="1"/>
        <v>-6</v>
      </c>
      <c r="B10" s="158">
        <f t="array" ref="B10">SUMIF(INDIRECT("'Check-in'!"&amp;Parameters!C$2&amp;":"&amp;Parameters!C$2&amp;""),A10,INDIRECT("'Check-in'!"&amp;Parameters!C$3&amp;":"&amp;Parameters!C$3&amp;""))</f>
        <v>0</v>
      </c>
      <c r="C10" s="158">
        <f t="array" ref="C10">SUMIF(INDIRECT("'Check-out'!"&amp;Parameters!C$4&amp;":"&amp;Parameters!C$4&amp;""),A10,INDIRECT("'Check-out'!"&amp;Parameters!C$5&amp;":"&amp;Parameters!C$5&amp;""))</f>
        <v>0</v>
      </c>
    </row>
    <row r="11" ht="15.75" customHeight="1">
      <c r="A11" s="157">
        <f t="shared" si="1"/>
        <v>-5</v>
      </c>
      <c r="B11" s="158">
        <f t="array" ref="B11">SUMIF(INDIRECT("'Check-in'!"&amp;Parameters!C$2&amp;":"&amp;Parameters!C$2&amp;""),A11,INDIRECT("'Check-in'!"&amp;Parameters!C$3&amp;":"&amp;Parameters!C$3&amp;""))</f>
        <v>0</v>
      </c>
      <c r="C11" s="158">
        <f t="array" ref="C11">SUMIF(INDIRECT("'Check-out'!"&amp;Parameters!C$4&amp;":"&amp;Parameters!C$4&amp;""),A11,INDIRECT("'Check-out'!"&amp;Parameters!C$5&amp;":"&amp;Parameters!C$5&amp;""))</f>
        <v>0</v>
      </c>
    </row>
    <row r="12" ht="15.75" customHeight="1">
      <c r="A12" s="157">
        <f t="shared" si="1"/>
        <v>-4</v>
      </c>
      <c r="B12" s="158">
        <f t="array" ref="B12">SUMIF(INDIRECT("'Check-in'!"&amp;Parameters!C$2&amp;":"&amp;Parameters!C$2&amp;""),A12,INDIRECT("'Check-in'!"&amp;Parameters!C$3&amp;":"&amp;Parameters!C$3&amp;""))</f>
        <v>0</v>
      </c>
      <c r="C12" s="158">
        <f t="array" ref="C12">SUMIF(INDIRECT("'Check-out'!"&amp;Parameters!C$4&amp;":"&amp;Parameters!C$4&amp;""),A12,INDIRECT("'Check-out'!"&amp;Parameters!C$5&amp;":"&amp;Parameters!C$5&amp;""))</f>
        <v>0</v>
      </c>
    </row>
    <row r="13" ht="15.75" customHeight="1">
      <c r="A13" s="157">
        <f t="shared" si="1"/>
        <v>-3</v>
      </c>
      <c r="B13" s="158">
        <f t="array" ref="B13">SUMIF(INDIRECT("'Check-in'!"&amp;Parameters!C$2&amp;":"&amp;Parameters!C$2&amp;""),A13,INDIRECT("'Check-in'!"&amp;Parameters!C$3&amp;":"&amp;Parameters!C$3&amp;""))</f>
        <v>0</v>
      </c>
      <c r="C13" s="158">
        <f t="array" ref="C13">SUMIF(INDIRECT("'Check-out'!"&amp;Parameters!C$4&amp;":"&amp;Parameters!C$4&amp;""),A13,INDIRECT("'Check-out'!"&amp;Parameters!C$5&amp;":"&amp;Parameters!C$5&amp;""))</f>
        <v>0</v>
      </c>
    </row>
    <row r="14" ht="15.75" customHeight="1">
      <c r="A14" s="157">
        <f t="shared" si="1"/>
        <v>-2</v>
      </c>
      <c r="B14" s="158">
        <f t="array" ref="B14">SUMIF(INDIRECT("'Check-in'!"&amp;Parameters!C$2&amp;":"&amp;Parameters!C$2&amp;""),A14,INDIRECT("'Check-in'!"&amp;Parameters!C$3&amp;":"&amp;Parameters!C$3&amp;""))</f>
        <v>0</v>
      </c>
      <c r="C14" s="158">
        <f t="array" ref="C14">SUMIF(INDIRECT("'Check-out'!"&amp;Parameters!C$4&amp;":"&amp;Parameters!C$4&amp;""),A14,INDIRECT("'Check-out'!"&amp;Parameters!C$5&amp;":"&amp;Parameters!C$5&amp;""))</f>
        <v>0</v>
      </c>
    </row>
    <row r="15" ht="15.75" customHeight="1">
      <c r="A15" s="157">
        <f t="shared" si="1"/>
        <v>-1</v>
      </c>
      <c r="B15" s="158">
        <f t="array" ref="B15">SUMIF(INDIRECT("'Check-in'!"&amp;Parameters!C$2&amp;":"&amp;Parameters!C$2&amp;""),A15,INDIRECT("'Check-in'!"&amp;Parameters!C$3&amp;":"&amp;Parameters!C$3&amp;""))</f>
        <v>0</v>
      </c>
      <c r="C15" s="158">
        <f t="array" ref="C15">SUMIF(INDIRECT("'Check-out'!"&amp;Parameters!C$4&amp;":"&amp;Parameters!C$4&amp;""),A15,INDIRECT("'Check-out'!"&amp;Parameters!C$5&amp;":"&amp;Parameters!C$5&amp;""))</f>
        <v>0</v>
      </c>
    </row>
    <row r="16" ht="15.75" customHeight="1">
      <c r="A16" s="157">
        <f>MAX('Check-out'!A2:A992)</f>
        <v>0</v>
      </c>
      <c r="B16" s="158">
        <f t="array" ref="B16">SUMIF(INDIRECT("'Check-in'!"&amp;Parameters!C$2&amp;":"&amp;Parameters!C$2&amp;""),A16,INDIRECT("'Check-in'!"&amp;Parameters!C$3&amp;":"&amp;Parameters!C$3&amp;""))</f>
        <v>0</v>
      </c>
      <c r="C16" s="158">
        <f t="array" ref="C16">SUMIF(INDIRECT("'Check-out'!"&amp;Parameters!C$4&amp;":"&amp;Parameters!C$4&amp;""),A16,INDIRECT("'Check-out'!"&amp;Parameters!C$5&amp;":"&amp;Parameters!C$5&amp;""))</f>
        <v>0</v>
      </c>
    </row>
    <row r="17" ht="15.75" customHeight="1">
      <c r="A17" s="159"/>
      <c r="B17" s="159"/>
      <c r="C17" s="159"/>
    </row>
    <row r="18" ht="15.75" customHeight="1">
      <c r="A18" s="159"/>
      <c r="B18" s="159"/>
      <c r="C18" s="159"/>
    </row>
    <row r="19" ht="15.75" customHeight="1">
      <c r="A19" s="159"/>
      <c r="B19" s="159"/>
      <c r="C19" s="159"/>
    </row>
    <row r="20" ht="15.75" customHeight="1">
      <c r="A20" s="159"/>
      <c r="B20" s="159"/>
      <c r="C20" s="159"/>
    </row>
    <row r="21" ht="15.75" customHeight="1">
      <c r="A21" s="159"/>
      <c r="B21" s="159"/>
      <c r="C21" s="159"/>
    </row>
    <row r="22" ht="15.75" customHeight="1">
      <c r="A22" s="159"/>
      <c r="B22" s="159"/>
      <c r="C22" s="159"/>
    </row>
    <row r="23" ht="15.75" customHeight="1">
      <c r="A23" s="159"/>
      <c r="B23" s="159"/>
      <c r="C23" s="159"/>
    </row>
    <row r="24" ht="15.75" customHeight="1">
      <c r="A24" s="159"/>
      <c r="B24" s="159"/>
      <c r="C24" s="159"/>
    </row>
    <row r="25" ht="15.75" customHeight="1">
      <c r="A25" s="159"/>
      <c r="B25" s="159"/>
      <c r="C25" s="159"/>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63"/>
  </cols>
  <sheetData>
    <row r="1" ht="15.75" customHeight="1">
      <c r="A1" s="160" t="s">
        <v>1949</v>
      </c>
      <c r="B1" s="42"/>
      <c r="C1" s="42"/>
      <c r="D1" s="42"/>
      <c r="E1" s="156" t="s">
        <v>1950</v>
      </c>
    </row>
    <row r="2" ht="15.75" customHeight="1">
      <c r="A2" s="158" t="str">
        <f>IFERROR(__xludf.DUMMYFUNCTION("IFERROR(QUERY('Current inventory list'!A2:G15,""SELECT B WHERE F&lt;0 LIMIT 9"",0),""None"")"),"Barware")</f>
        <v>Barware</v>
      </c>
      <c r="B2" s="158"/>
      <c r="C2" s="158"/>
      <c r="D2" s="158"/>
      <c r="E2" s="158">
        <f>IFERROR(__xludf.DUMMYFUNCTION("IFERROR(QUERY('Current inventory list'!A2:G15,""SELECT F WHERE F&lt;0 LIMIT 9"",0),""None"")"),-1.0)</f>
        <v>-1</v>
      </c>
    </row>
    <row r="3" ht="15.75" customHeight="1">
      <c r="A3" s="158"/>
      <c r="B3" s="158"/>
      <c r="C3" s="158"/>
      <c r="D3" s="158"/>
      <c r="E3" s="158"/>
    </row>
    <row r="4" ht="15.75" customHeight="1">
      <c r="A4" s="158"/>
      <c r="B4" s="158"/>
      <c r="C4" s="158"/>
      <c r="D4" s="158"/>
      <c r="E4" s="158"/>
    </row>
    <row r="5" ht="15.75" customHeight="1">
      <c r="A5" s="158"/>
      <c r="B5" s="158"/>
      <c r="C5" s="158"/>
      <c r="D5" s="158"/>
      <c r="E5" s="158"/>
    </row>
    <row r="6" ht="15.75" customHeight="1">
      <c r="A6" s="158"/>
      <c r="B6" s="158"/>
      <c r="C6" s="158"/>
      <c r="D6" s="158"/>
      <c r="E6" s="158"/>
    </row>
    <row r="7" ht="15.75" customHeight="1">
      <c r="A7" s="159"/>
      <c r="B7" s="159"/>
      <c r="C7" s="159"/>
      <c r="D7" s="159"/>
      <c r="E7" s="159"/>
    </row>
    <row r="8" ht="15.75" customHeight="1">
      <c r="A8" s="159"/>
      <c r="B8" s="159"/>
      <c r="C8" s="159"/>
      <c r="D8" s="159"/>
      <c r="E8" s="159"/>
    </row>
    <row r="9" ht="15.75" customHeight="1">
      <c r="A9" s="159"/>
      <c r="B9" s="159"/>
      <c r="C9" s="159"/>
      <c r="D9" s="159"/>
      <c r="E9" s="159"/>
    </row>
    <row r="10" ht="15.75" customHeight="1">
      <c r="A10" s="159"/>
      <c r="B10" s="159"/>
      <c r="C10" s="159"/>
      <c r="D10" s="159"/>
      <c r="E10" s="159"/>
    </row>
    <row r="11" ht="15.75" customHeight="1">
      <c r="A11" s="159"/>
      <c r="B11" s="159"/>
      <c r="C11" s="159"/>
      <c r="D11" s="159"/>
      <c r="E11" s="159"/>
    </row>
    <row r="12" ht="15.75" customHeight="1">
      <c r="A12" s="159"/>
      <c r="B12" s="159"/>
      <c r="C12" s="159"/>
      <c r="D12" s="159"/>
      <c r="E12" s="159"/>
    </row>
    <row r="13" ht="15.75" customHeight="1">
      <c r="A13" s="159"/>
      <c r="B13" s="159"/>
      <c r="C13" s="159"/>
      <c r="D13" s="159"/>
      <c r="E13" s="159"/>
    </row>
    <row r="14" ht="15.75" customHeight="1">
      <c r="A14" s="159"/>
      <c r="B14" s="159"/>
      <c r="C14" s="159"/>
      <c r="D14" s="159"/>
      <c r="E14" s="159"/>
    </row>
    <row r="15" ht="15.75" customHeight="1">
      <c r="A15" s="159"/>
      <c r="B15" s="159"/>
      <c r="C15" s="159"/>
      <c r="D15" s="159"/>
      <c r="E15" s="159"/>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